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0565DFA-E52E-4CFE-BC3B-C18999D2BAD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 DES DONNEES " sheetId="3" r:id="rId1"/>
    <sheet name="ICON" sheetId="2" r:id="rId2"/>
    <sheet name="TDB" sheetId="4" r:id="rId3"/>
  </sheets>
  <definedNames>
    <definedName name="_xlnm._FilterDatabase" localSheetId="0" hidden="1">'BASE DES DONNEES '!$A$1:$K$154</definedName>
    <definedName name="LISTEDESDIRECTIONS">#REF!</definedName>
    <definedName name="LISTEDESGSP">#REF!</definedName>
    <definedName name="LISTEDIRECTIONS">#REF!</definedName>
    <definedName name="LISTEMF">#REF!</definedName>
    <definedName name="TABLEHF">#REF!</definedName>
    <definedName name="TABLESEXE">#REF!</definedName>
    <definedName name="TABLGSP">#REF!</definedName>
    <definedName name="_xlnm.Print_Area" localSheetId="0">'BASE DES DONNEES '!$A$1:$L$154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4" i="3" l="1"/>
  <c r="D154" i="3"/>
  <c r="J153" i="3"/>
  <c r="D153" i="3"/>
  <c r="J152" i="3"/>
  <c r="D152" i="3"/>
  <c r="J151" i="3"/>
  <c r="D151" i="3"/>
  <c r="J150" i="3"/>
  <c r="D150" i="3"/>
  <c r="J149" i="3"/>
  <c r="D149" i="3"/>
  <c r="J148" i="3"/>
  <c r="D148" i="3"/>
  <c r="J147" i="3"/>
  <c r="D147" i="3"/>
  <c r="J146" i="3"/>
  <c r="D146" i="3"/>
  <c r="J145" i="3"/>
  <c r="D145" i="3"/>
  <c r="J144" i="3"/>
  <c r="D144" i="3"/>
  <c r="J143" i="3"/>
  <c r="D143" i="3"/>
  <c r="J142" i="3"/>
  <c r="D142" i="3"/>
  <c r="J141" i="3"/>
  <c r="D141" i="3"/>
  <c r="J140" i="3"/>
  <c r="D140" i="3"/>
  <c r="J139" i="3"/>
  <c r="D139" i="3"/>
  <c r="J138" i="3"/>
  <c r="D138" i="3"/>
  <c r="J137" i="3"/>
  <c r="D137" i="3"/>
  <c r="J136" i="3"/>
  <c r="D136" i="3"/>
  <c r="J135" i="3"/>
  <c r="D135" i="3"/>
  <c r="J134" i="3"/>
  <c r="D134" i="3"/>
  <c r="J133" i="3"/>
  <c r="D133" i="3"/>
  <c r="J132" i="3"/>
  <c r="D132" i="3"/>
  <c r="J131" i="3"/>
  <c r="D131" i="3"/>
  <c r="J130" i="3"/>
  <c r="D130" i="3"/>
  <c r="J129" i="3"/>
  <c r="D129" i="3"/>
  <c r="J128" i="3"/>
  <c r="D128" i="3"/>
  <c r="J127" i="3"/>
  <c r="D127" i="3"/>
  <c r="J126" i="3"/>
  <c r="D126" i="3"/>
  <c r="J125" i="3"/>
  <c r="D125" i="3"/>
  <c r="J124" i="3"/>
  <c r="D124" i="3"/>
  <c r="J123" i="3"/>
  <c r="D123" i="3"/>
  <c r="J122" i="3"/>
  <c r="D122" i="3"/>
  <c r="J121" i="3"/>
  <c r="D121" i="3"/>
  <c r="J120" i="3"/>
  <c r="D120" i="3"/>
  <c r="J119" i="3"/>
  <c r="D119" i="3"/>
  <c r="J118" i="3"/>
  <c r="D118" i="3"/>
  <c r="J117" i="3"/>
  <c r="D117" i="3"/>
  <c r="J116" i="3"/>
  <c r="D116" i="3"/>
  <c r="J115" i="3"/>
  <c r="D115" i="3"/>
  <c r="J114" i="3"/>
  <c r="D114" i="3"/>
  <c r="J113" i="3"/>
  <c r="D113" i="3"/>
  <c r="J112" i="3"/>
  <c r="D112" i="3"/>
  <c r="J111" i="3"/>
  <c r="D111" i="3"/>
  <c r="J110" i="3"/>
  <c r="D110" i="3"/>
  <c r="J109" i="3"/>
  <c r="D109" i="3"/>
  <c r="J108" i="3"/>
  <c r="D108" i="3"/>
  <c r="J107" i="3"/>
  <c r="D107" i="3"/>
  <c r="J106" i="3"/>
  <c r="D106" i="3"/>
  <c r="J105" i="3"/>
  <c r="D105" i="3"/>
  <c r="J104" i="3"/>
  <c r="D104" i="3"/>
  <c r="J103" i="3"/>
  <c r="D103" i="3"/>
  <c r="J102" i="3"/>
  <c r="D102" i="3"/>
  <c r="J101" i="3"/>
  <c r="D101" i="3"/>
  <c r="J100" i="3"/>
  <c r="D100" i="3"/>
  <c r="J99" i="3"/>
  <c r="D99" i="3"/>
  <c r="J98" i="3"/>
  <c r="D98" i="3"/>
  <c r="J97" i="3"/>
  <c r="D97" i="3"/>
  <c r="J96" i="3"/>
  <c r="D96" i="3"/>
  <c r="J95" i="3"/>
  <c r="D95" i="3"/>
  <c r="J94" i="3"/>
  <c r="D94" i="3"/>
  <c r="J93" i="3"/>
  <c r="D93" i="3"/>
  <c r="J92" i="3"/>
  <c r="D92" i="3"/>
  <c r="J91" i="3"/>
  <c r="D91" i="3"/>
  <c r="J90" i="3"/>
  <c r="D90" i="3"/>
  <c r="J89" i="3"/>
  <c r="D89" i="3"/>
  <c r="J88" i="3"/>
  <c r="D88" i="3"/>
  <c r="J87" i="3"/>
  <c r="D87" i="3"/>
  <c r="J86" i="3"/>
  <c r="D86" i="3"/>
  <c r="J85" i="3"/>
  <c r="D85" i="3"/>
  <c r="J84" i="3"/>
  <c r="D84" i="3"/>
  <c r="J83" i="3"/>
  <c r="D83" i="3"/>
  <c r="J82" i="3"/>
  <c r="D82" i="3"/>
  <c r="J81" i="3"/>
  <c r="D81" i="3"/>
  <c r="J80" i="3"/>
  <c r="D80" i="3"/>
  <c r="J79" i="3"/>
  <c r="D79" i="3"/>
  <c r="J78" i="3"/>
  <c r="D78" i="3"/>
  <c r="J77" i="3"/>
  <c r="D77" i="3"/>
  <c r="J76" i="3"/>
  <c r="D76" i="3"/>
  <c r="J75" i="3"/>
  <c r="D75" i="3"/>
  <c r="J74" i="3"/>
  <c r="D74" i="3"/>
  <c r="J73" i="3"/>
  <c r="D73" i="3"/>
  <c r="J72" i="3"/>
  <c r="D72" i="3"/>
  <c r="J71" i="3"/>
  <c r="D71" i="3"/>
  <c r="J70" i="3"/>
  <c r="D70" i="3"/>
  <c r="J69" i="3"/>
  <c r="D69" i="3"/>
  <c r="J68" i="3"/>
  <c r="D68" i="3"/>
  <c r="J67" i="3"/>
  <c r="D67" i="3"/>
  <c r="J66" i="3"/>
  <c r="D66" i="3"/>
  <c r="J65" i="3"/>
  <c r="D65" i="3"/>
  <c r="J64" i="3"/>
  <c r="D64" i="3"/>
  <c r="J63" i="3"/>
  <c r="D63" i="3"/>
  <c r="J62" i="3"/>
  <c r="D62" i="3"/>
  <c r="J61" i="3"/>
  <c r="D61" i="3"/>
  <c r="J60" i="3"/>
  <c r="D60" i="3"/>
  <c r="J59" i="3"/>
  <c r="D59" i="3"/>
  <c r="J58" i="3"/>
  <c r="D58" i="3"/>
  <c r="J57" i="3"/>
  <c r="D57" i="3"/>
  <c r="J56" i="3"/>
  <c r="D56" i="3"/>
  <c r="J55" i="3"/>
  <c r="D55" i="3"/>
  <c r="J54" i="3"/>
  <c r="D54" i="3"/>
  <c r="J53" i="3"/>
  <c r="D53" i="3"/>
  <c r="J52" i="3"/>
  <c r="D52" i="3"/>
  <c r="J51" i="3"/>
  <c r="D51" i="3"/>
  <c r="J50" i="3"/>
  <c r="D50" i="3"/>
  <c r="J49" i="3"/>
  <c r="D49" i="3"/>
  <c r="J48" i="3"/>
  <c r="D48" i="3"/>
  <c r="J47" i="3"/>
  <c r="D47" i="3"/>
  <c r="J46" i="3"/>
  <c r="D46" i="3"/>
  <c r="J45" i="3"/>
  <c r="D45" i="3"/>
  <c r="J44" i="3"/>
  <c r="D44" i="3"/>
  <c r="J43" i="3"/>
  <c r="D43" i="3"/>
  <c r="J42" i="3"/>
  <c r="D42" i="3"/>
  <c r="J41" i="3"/>
  <c r="D41" i="3"/>
  <c r="J40" i="3"/>
  <c r="D40" i="3"/>
  <c r="J39" i="3"/>
  <c r="D39" i="3"/>
  <c r="J38" i="3"/>
  <c r="D38" i="3"/>
  <c r="J37" i="3"/>
  <c r="D37" i="3"/>
  <c r="J36" i="3"/>
  <c r="D36" i="3"/>
  <c r="J35" i="3"/>
  <c r="D35" i="3"/>
  <c r="J34" i="3"/>
  <c r="D34" i="3"/>
  <c r="J33" i="3"/>
  <c r="D33" i="3"/>
  <c r="J32" i="3"/>
  <c r="D32" i="3"/>
  <c r="J31" i="3"/>
  <c r="D31" i="3"/>
  <c r="J30" i="3"/>
  <c r="D30" i="3"/>
  <c r="J29" i="3"/>
  <c r="D29" i="3"/>
  <c r="J28" i="3"/>
  <c r="D28" i="3"/>
  <c r="J27" i="3"/>
  <c r="D27" i="3"/>
  <c r="J26" i="3"/>
  <c r="D26" i="3"/>
  <c r="J25" i="3"/>
  <c r="D25" i="3"/>
  <c r="J24" i="3"/>
  <c r="D24" i="3"/>
  <c r="J23" i="3"/>
  <c r="D23" i="3"/>
  <c r="J22" i="3"/>
  <c r="D22" i="3"/>
  <c r="J21" i="3"/>
  <c r="D21" i="3"/>
  <c r="J20" i="3"/>
  <c r="D20" i="3"/>
  <c r="J19" i="3"/>
  <c r="D19" i="3"/>
  <c r="J18" i="3"/>
  <c r="D18" i="3"/>
  <c r="J17" i="3"/>
  <c r="D17" i="3"/>
  <c r="J16" i="3"/>
  <c r="D16" i="3"/>
  <c r="J15" i="3"/>
  <c r="D15" i="3"/>
  <c r="J14" i="3"/>
  <c r="D14" i="3"/>
  <c r="J13" i="3"/>
  <c r="D13" i="3"/>
  <c r="J12" i="3"/>
  <c r="D12" i="3"/>
  <c r="J11" i="3"/>
  <c r="D11" i="3"/>
  <c r="J10" i="3"/>
  <c r="D10" i="3"/>
  <c r="J9" i="3"/>
  <c r="D9" i="3"/>
  <c r="J8" i="3"/>
  <c r="D8" i="3"/>
  <c r="J7" i="3"/>
  <c r="D7" i="3"/>
  <c r="J6" i="3"/>
  <c r="D6" i="3"/>
  <c r="J5" i="3"/>
  <c r="D5" i="3"/>
  <c r="J4" i="3"/>
  <c r="D4" i="3"/>
  <c r="J3" i="3"/>
  <c r="D3" i="3"/>
  <c r="J2" i="3"/>
  <c r="D2" i="3"/>
</calcChain>
</file>

<file path=xl/sharedStrings.xml><?xml version="1.0" encoding="utf-8"?>
<sst xmlns="http://schemas.openxmlformats.org/spreadsheetml/2006/main" count="1236" uniqueCount="544">
  <si>
    <t>Moyenne de salaire</t>
  </si>
  <si>
    <t>Moyenne d'expérience</t>
  </si>
  <si>
    <t>Moyenne d'âge</t>
  </si>
  <si>
    <t>Nombre de femmes</t>
  </si>
  <si>
    <t>Nombre d'hommes</t>
  </si>
  <si>
    <t>Nombre total d'employés</t>
  </si>
  <si>
    <t xml:space="preserve">Matricule </t>
  </si>
  <si>
    <t>Nom</t>
  </si>
  <si>
    <t>Naissance</t>
  </si>
  <si>
    <t>age</t>
  </si>
  <si>
    <t>SEXE</t>
  </si>
  <si>
    <t>Fonction</t>
  </si>
  <si>
    <t>Group S/P</t>
  </si>
  <si>
    <t>Structure</t>
  </si>
  <si>
    <t>date recrutement</t>
  </si>
  <si>
    <t>Expérience</t>
  </si>
  <si>
    <t>contrat</t>
  </si>
  <si>
    <t>Salaire</t>
  </si>
  <si>
    <t>0001</t>
  </si>
  <si>
    <t>Aymen 01</t>
  </si>
  <si>
    <t>04/10/2005</t>
  </si>
  <si>
    <t xml:space="preserve">Masculin </t>
  </si>
  <si>
    <t>CONDITIONNEUR (SE)</t>
  </si>
  <si>
    <t>EXECUTION</t>
  </si>
  <si>
    <t xml:space="preserve">PRODUCTION </t>
  </si>
  <si>
    <t>CDD</t>
  </si>
  <si>
    <t>0002</t>
  </si>
  <si>
    <t>Aymen 02</t>
  </si>
  <si>
    <t>26/01/1997</t>
  </si>
  <si>
    <t>AGENT D'ENTRETIEN</t>
  </si>
  <si>
    <t>0003</t>
  </si>
  <si>
    <t>Aymen 03</t>
  </si>
  <si>
    <t>09/05/1963</t>
  </si>
  <si>
    <t>RESPONSABLE DE PRODUCTION</t>
  </si>
  <si>
    <t xml:space="preserve">CADRE </t>
  </si>
  <si>
    <t>0004</t>
  </si>
  <si>
    <t>Aymen 04</t>
  </si>
  <si>
    <t>06/02/1984</t>
  </si>
  <si>
    <t>CHAUFFEUR</t>
  </si>
  <si>
    <t>M.G.X</t>
  </si>
  <si>
    <t>0005</t>
  </si>
  <si>
    <t>Aymen 05</t>
  </si>
  <si>
    <t>26/03/1968</t>
  </si>
  <si>
    <t>AIDE MAGASINIER</t>
  </si>
  <si>
    <t>G.D.S</t>
  </si>
  <si>
    <t>0006</t>
  </si>
  <si>
    <t>AMINA 01</t>
  </si>
  <si>
    <t>21/04/1975</t>
  </si>
  <si>
    <t xml:space="preserve">Féminin </t>
  </si>
  <si>
    <t>OPERATRICE SUR MACHINE</t>
  </si>
  <si>
    <t>CDI</t>
  </si>
  <si>
    <t>0007</t>
  </si>
  <si>
    <t>Aymen 06</t>
  </si>
  <si>
    <t>19/06/1984</t>
  </si>
  <si>
    <t>RESPONSABLE RESSOURCES HUMAINES</t>
  </si>
  <si>
    <t>R.H</t>
  </si>
  <si>
    <t>0008</t>
  </si>
  <si>
    <t>Aymen 07</t>
  </si>
  <si>
    <t>0009</t>
  </si>
  <si>
    <t>AMINA 02</t>
  </si>
  <si>
    <t>02/08/1990</t>
  </si>
  <si>
    <t>ANALYSTE MICRO-BIOLOGISTE</t>
  </si>
  <si>
    <t>MAITRISE</t>
  </si>
  <si>
    <t>LCQ</t>
  </si>
  <si>
    <t>0010</t>
  </si>
  <si>
    <t>Aymen 08</t>
  </si>
  <si>
    <t>18/08/1995</t>
  </si>
  <si>
    <t>0011</t>
  </si>
  <si>
    <t>AMINA 03</t>
  </si>
  <si>
    <t>30/10/1971</t>
  </si>
  <si>
    <t>CHEF D'EQUIPE FABRICATION</t>
  </si>
  <si>
    <t>0012</t>
  </si>
  <si>
    <t>Aymen 09</t>
  </si>
  <si>
    <t>08/12/1984</t>
  </si>
  <si>
    <t>0013</t>
  </si>
  <si>
    <t>Aymen 10</t>
  </si>
  <si>
    <t>04/08/1969</t>
  </si>
  <si>
    <t>DIRECTEUR DE LA MAINT. ET ENG.</t>
  </si>
  <si>
    <t xml:space="preserve">CADRE SUPERIEUR </t>
  </si>
  <si>
    <t>MAINTENANCE</t>
  </si>
  <si>
    <t>STAGE</t>
  </si>
  <si>
    <t>0014</t>
  </si>
  <si>
    <t>AMINA 04</t>
  </si>
  <si>
    <t>05/08/1986</t>
  </si>
  <si>
    <t>INGENIEUR CHRGE DU TRAITEMENT DES EAUX</t>
  </si>
  <si>
    <t>0015</t>
  </si>
  <si>
    <t>AMINA 05</t>
  </si>
  <si>
    <t>10/11/1988</t>
  </si>
  <si>
    <t>RESPONSABLE LABORATOIRE MICROBIOLOGIE</t>
  </si>
  <si>
    <t>0016</t>
  </si>
  <si>
    <t>AMINA 06</t>
  </si>
  <si>
    <t>08/10/1982</t>
  </si>
  <si>
    <t>OPERATEUR SUR MACHINES</t>
  </si>
  <si>
    <t>0017</t>
  </si>
  <si>
    <t>AMINA 07</t>
  </si>
  <si>
    <t>23/06/1979</t>
  </si>
  <si>
    <t>0018</t>
  </si>
  <si>
    <t>AMINA 08</t>
  </si>
  <si>
    <t>24/11/1960</t>
  </si>
  <si>
    <t>H.S.E</t>
  </si>
  <si>
    <t>0019</t>
  </si>
  <si>
    <t>Aymen 11</t>
  </si>
  <si>
    <t>20/03/1966</t>
  </si>
  <si>
    <t>0020</t>
  </si>
  <si>
    <t>AMINA 09</t>
  </si>
  <si>
    <t>06/07/1982</t>
  </si>
  <si>
    <t>0021</t>
  </si>
  <si>
    <t>Aymen 12</t>
  </si>
  <si>
    <t>23/06/2004</t>
  </si>
  <si>
    <t>0022</t>
  </si>
  <si>
    <t>Aymen 13</t>
  </si>
  <si>
    <t>15/07/1991</t>
  </si>
  <si>
    <t>0023</t>
  </si>
  <si>
    <t>AMINA 10</t>
  </si>
  <si>
    <t>01/04/1967</t>
  </si>
  <si>
    <t>0024</t>
  </si>
  <si>
    <t>Aymen 14</t>
  </si>
  <si>
    <t>24/02/2006</t>
  </si>
  <si>
    <t>0025</t>
  </si>
  <si>
    <t>AMINA 11</t>
  </si>
  <si>
    <t>18/03/1981</t>
  </si>
  <si>
    <t>0026</t>
  </si>
  <si>
    <t>AMINA 12</t>
  </si>
  <si>
    <t>29/01/1974</t>
  </si>
  <si>
    <t>0027</t>
  </si>
  <si>
    <t>AMINA 13</t>
  </si>
  <si>
    <t>03/08/1997</t>
  </si>
  <si>
    <t>0028</t>
  </si>
  <si>
    <t>AMINA 14</t>
  </si>
  <si>
    <t>07/05/1984</t>
  </si>
  <si>
    <t>ASSISTANTE DU DIRECTEUR TECHNIQUE</t>
  </si>
  <si>
    <t>D.T</t>
  </si>
  <si>
    <t>0029</t>
  </si>
  <si>
    <t>AMINA 15</t>
  </si>
  <si>
    <t>11/11/1999</t>
  </si>
  <si>
    <t>A.Q</t>
  </si>
  <si>
    <t>0030</t>
  </si>
  <si>
    <t>Aymen 15</t>
  </si>
  <si>
    <t>30/09/1985</t>
  </si>
  <si>
    <t>0031</t>
  </si>
  <si>
    <t>Aymen 16</t>
  </si>
  <si>
    <t>12/08/1984</t>
  </si>
  <si>
    <t>0032</t>
  </si>
  <si>
    <t>Aymen 17</t>
  </si>
  <si>
    <t>21/03/1972</t>
  </si>
  <si>
    <t>MANOEUVRE</t>
  </si>
  <si>
    <t>0033</t>
  </si>
  <si>
    <t>Aymen 18</t>
  </si>
  <si>
    <t>0034</t>
  </si>
  <si>
    <t>AMINA 16</t>
  </si>
  <si>
    <t>27/02/1984</t>
  </si>
  <si>
    <t>0035</t>
  </si>
  <si>
    <t>AMINA 17</t>
  </si>
  <si>
    <t>27/06/1974</t>
  </si>
  <si>
    <t>0036</t>
  </si>
  <si>
    <t>AMINA 18</t>
  </si>
  <si>
    <t>25/02/1973</t>
  </si>
  <si>
    <t>0037</t>
  </si>
  <si>
    <t>Aymen 19</t>
  </si>
  <si>
    <t>19/11/1968</t>
  </si>
  <si>
    <t>AGENT HYGIENE ET DE PROPRETE</t>
  </si>
  <si>
    <t>0038</t>
  </si>
  <si>
    <t>Aymen 20</t>
  </si>
  <si>
    <t>13/02/1973</t>
  </si>
  <si>
    <t>0039</t>
  </si>
  <si>
    <t>AMINA 19</t>
  </si>
  <si>
    <t>16/01/1982</t>
  </si>
  <si>
    <t>0040</t>
  </si>
  <si>
    <t>Aymen 21</t>
  </si>
  <si>
    <t>13/08/1975</t>
  </si>
  <si>
    <t>0041</t>
  </si>
  <si>
    <t>AMINA 20</t>
  </si>
  <si>
    <t>03/03/2005</t>
  </si>
  <si>
    <t>0042</t>
  </si>
  <si>
    <t>AMINA 21</t>
  </si>
  <si>
    <t>17/11/1988</t>
  </si>
  <si>
    <t>0043</t>
  </si>
  <si>
    <t>Aymen 22</t>
  </si>
  <si>
    <t>07/08/1972</t>
  </si>
  <si>
    <t>CHEF DE LIGNE</t>
  </si>
  <si>
    <t>0044</t>
  </si>
  <si>
    <t>Aymen 23</t>
  </si>
  <si>
    <t>23/10/1986</t>
  </si>
  <si>
    <t>0045</t>
  </si>
  <si>
    <t>Aymen 24</t>
  </si>
  <si>
    <t>04/05/1995</t>
  </si>
  <si>
    <t>0046</t>
  </si>
  <si>
    <t>Aymen 25</t>
  </si>
  <si>
    <t>31/08/1959</t>
  </si>
  <si>
    <t>DIRECTEUR TECHNIQUE</t>
  </si>
  <si>
    <t>0047</t>
  </si>
  <si>
    <t>Aymen 26</t>
  </si>
  <si>
    <t>10/04/1989</t>
  </si>
  <si>
    <t>ANALYSTE CHARGE PRELEVEMENT</t>
  </si>
  <si>
    <t>0048</t>
  </si>
  <si>
    <t>Aymen 27</t>
  </si>
  <si>
    <t>27/07/1995</t>
  </si>
  <si>
    <t>0049</t>
  </si>
  <si>
    <t>Aymen 28</t>
  </si>
  <si>
    <t>08/06/1994</t>
  </si>
  <si>
    <t>0050</t>
  </si>
  <si>
    <t>Aymen 29</t>
  </si>
  <si>
    <t>24/12/1986</t>
  </si>
  <si>
    <t>COMPTABLE</t>
  </si>
  <si>
    <t>DIRECTION D'UNITE</t>
  </si>
  <si>
    <t>0051</t>
  </si>
  <si>
    <t>Aymen 30</t>
  </si>
  <si>
    <t>11/09/1977</t>
  </si>
  <si>
    <t>FEMME D'ENTRETIEN</t>
  </si>
  <si>
    <t>0052</t>
  </si>
  <si>
    <t>Aymen 31</t>
  </si>
  <si>
    <t>21/09/1990</t>
  </si>
  <si>
    <t>CHEF D'ATELIER</t>
  </si>
  <si>
    <t>0053</t>
  </si>
  <si>
    <t>Aymen 32</t>
  </si>
  <si>
    <t>23/12/1995</t>
  </si>
  <si>
    <t>0054</t>
  </si>
  <si>
    <t>AMINA 22</t>
  </si>
  <si>
    <t>29/05/1974</t>
  </si>
  <si>
    <t>0055</t>
  </si>
  <si>
    <t>AMINA 23</t>
  </si>
  <si>
    <t>06/02/1976</t>
  </si>
  <si>
    <t>0056</t>
  </si>
  <si>
    <t>Aymen 33</t>
  </si>
  <si>
    <t>09/01/1974</t>
  </si>
  <si>
    <t>0057</t>
  </si>
  <si>
    <t>Aymen 34</t>
  </si>
  <si>
    <t>21/07/1988</t>
  </si>
  <si>
    <t>DIRECTEUR D'UNITE</t>
  </si>
  <si>
    <t>0058</t>
  </si>
  <si>
    <t>Aymen 35</t>
  </si>
  <si>
    <t>12/01/1998</t>
  </si>
  <si>
    <t>ANALYSTE PHYSICO-CHIMIE</t>
  </si>
  <si>
    <t>0059</t>
  </si>
  <si>
    <t>AMINA 24</t>
  </si>
  <si>
    <t>09/07/1997</t>
  </si>
  <si>
    <t>0060</t>
  </si>
  <si>
    <t>Aymen 36</t>
  </si>
  <si>
    <t>30/08/1997</t>
  </si>
  <si>
    <t>MAGASINIER</t>
  </si>
  <si>
    <t>0061</t>
  </si>
  <si>
    <t>AMINA 25</t>
  </si>
  <si>
    <t>17/03/1982</t>
  </si>
  <si>
    <t>CHARGE ASSURANCE QUALITE</t>
  </si>
  <si>
    <t>0062</t>
  </si>
  <si>
    <t>Aymen 37</t>
  </si>
  <si>
    <t>02/04/1994</t>
  </si>
  <si>
    <t>ANALYSTE IN PROCESS</t>
  </si>
  <si>
    <t>0063</t>
  </si>
  <si>
    <t>AMINA 26</t>
  </si>
  <si>
    <t>28/02/1972</t>
  </si>
  <si>
    <t>0064</t>
  </si>
  <si>
    <t>AMINA 27</t>
  </si>
  <si>
    <t>16/08/1984</t>
  </si>
  <si>
    <t>0065</t>
  </si>
  <si>
    <t>Aymen 38</t>
  </si>
  <si>
    <t>07/11/1971</t>
  </si>
  <si>
    <t>RESP.LABORATOIRE</t>
  </si>
  <si>
    <t>0066</t>
  </si>
  <si>
    <t>AMINA 28</t>
  </si>
  <si>
    <t>08/05/1982</t>
  </si>
  <si>
    <t>0067</t>
  </si>
  <si>
    <t>Aymen 39</t>
  </si>
  <si>
    <t>03/06/1991</t>
  </si>
  <si>
    <t>MAGASINIER/CARISTE</t>
  </si>
  <si>
    <t>0068</t>
  </si>
  <si>
    <t>AMINA 29</t>
  </si>
  <si>
    <t>29/09/2002</t>
  </si>
  <si>
    <t>0069</t>
  </si>
  <si>
    <t>AMINA 30</t>
  </si>
  <si>
    <t>14/07/1976</t>
  </si>
  <si>
    <t>0070</t>
  </si>
  <si>
    <t>Aymen 40</t>
  </si>
  <si>
    <t>10/05/1991</t>
  </si>
  <si>
    <t>0071</t>
  </si>
  <si>
    <t>AMINA 31</t>
  </si>
  <si>
    <t>16/05/1984</t>
  </si>
  <si>
    <t>0072</t>
  </si>
  <si>
    <t>AMINA 32</t>
  </si>
  <si>
    <t>0073</t>
  </si>
  <si>
    <t>AMINA 33</t>
  </si>
  <si>
    <t>13/03/1968</t>
  </si>
  <si>
    <t>0074</t>
  </si>
  <si>
    <t>Aymen 41</t>
  </si>
  <si>
    <t>27/03/1969</t>
  </si>
  <si>
    <t>PREPARATEUR</t>
  </si>
  <si>
    <t>0075</t>
  </si>
  <si>
    <t>Aymen 42</t>
  </si>
  <si>
    <t>01/04/2001</t>
  </si>
  <si>
    <t>0076</t>
  </si>
  <si>
    <t>AMINA 34</t>
  </si>
  <si>
    <t>06/12/1985</t>
  </si>
  <si>
    <t>0077</t>
  </si>
  <si>
    <t>Aymen 43</t>
  </si>
  <si>
    <t>07/07/1999</t>
  </si>
  <si>
    <t>0078</t>
  </si>
  <si>
    <t>Aymen 44</t>
  </si>
  <si>
    <t>13/03/1977</t>
  </si>
  <si>
    <t>0079</t>
  </si>
  <si>
    <t>Aymen 45</t>
  </si>
  <si>
    <t>10/07/1979</t>
  </si>
  <si>
    <t>AGENT DE PROTECTION DU PATRIMOINE</t>
  </si>
  <si>
    <t>0080</t>
  </si>
  <si>
    <t>Aymen 46</t>
  </si>
  <si>
    <t>27/04/1990</t>
  </si>
  <si>
    <t>0081</t>
  </si>
  <si>
    <t>AMINA 35</t>
  </si>
  <si>
    <t>12/07/1969</t>
  </si>
  <si>
    <t>0082</t>
  </si>
  <si>
    <t>AMINA 36</t>
  </si>
  <si>
    <t>05/12/1983</t>
  </si>
  <si>
    <t>ASSISTANTE DE DIRECTION</t>
  </si>
  <si>
    <t>0083</t>
  </si>
  <si>
    <t>Aymen 47</t>
  </si>
  <si>
    <t>16/10/2002</t>
  </si>
  <si>
    <t>0084</t>
  </si>
  <si>
    <t>AMINA 37</t>
  </si>
  <si>
    <t>29/04/1979</t>
  </si>
  <si>
    <t>RESP ASSURANCE QUALITE</t>
  </si>
  <si>
    <t>0085</t>
  </si>
  <si>
    <t>Aymen 48</t>
  </si>
  <si>
    <t>19/11/1997</t>
  </si>
  <si>
    <t>0086</t>
  </si>
  <si>
    <t>Aymen 49</t>
  </si>
  <si>
    <t>06/03/2006</t>
  </si>
  <si>
    <t>0087</t>
  </si>
  <si>
    <t>Aymen 50</t>
  </si>
  <si>
    <t>24/01/1978</t>
  </si>
  <si>
    <t>0088</t>
  </si>
  <si>
    <t>Aymen 51</t>
  </si>
  <si>
    <t>21/09/1986</t>
  </si>
  <si>
    <t>TOURNEUR/FRAISEUR</t>
  </si>
  <si>
    <t>0089</t>
  </si>
  <si>
    <t>AMINA 38</t>
  </si>
  <si>
    <t>08/04/1999</t>
  </si>
  <si>
    <t>0090</t>
  </si>
  <si>
    <t>Aymen 52</t>
  </si>
  <si>
    <t>29/08/1964</t>
  </si>
  <si>
    <t>0091</t>
  </si>
  <si>
    <t>AMINA 39</t>
  </si>
  <si>
    <t>12/09/1982</t>
  </si>
  <si>
    <t>ASSISTANTE GEST.PERSONNEL</t>
  </si>
  <si>
    <t>0092</t>
  </si>
  <si>
    <t>Aymen 53</t>
  </si>
  <si>
    <t>14/12/1993</t>
  </si>
  <si>
    <t>0093</t>
  </si>
  <si>
    <t>Aymen 54</t>
  </si>
  <si>
    <t>20/01/1987</t>
  </si>
  <si>
    <t>SOUDEUR</t>
  </si>
  <si>
    <t>0094</t>
  </si>
  <si>
    <t>Aymen 55</t>
  </si>
  <si>
    <t>15/01/1991</t>
  </si>
  <si>
    <t>ELECTRICIEN</t>
  </si>
  <si>
    <t>0095</t>
  </si>
  <si>
    <t>Aymen 56</t>
  </si>
  <si>
    <t>11/09/2004</t>
  </si>
  <si>
    <t>0096</t>
  </si>
  <si>
    <t>Aymen 57</t>
  </si>
  <si>
    <t>21/06/1979</t>
  </si>
  <si>
    <t>GESTIONNAIRE DES STOCKS</t>
  </si>
  <si>
    <t>0097</t>
  </si>
  <si>
    <t>Aymen 58</t>
  </si>
  <si>
    <t>26/08/1982</t>
  </si>
  <si>
    <t>0098</t>
  </si>
  <si>
    <t>Aymen 59</t>
  </si>
  <si>
    <t>07/03/1973</t>
  </si>
  <si>
    <t>0099</t>
  </si>
  <si>
    <t>Aymen 60</t>
  </si>
  <si>
    <t>28/12/1965</t>
  </si>
  <si>
    <t>DIRECETUR MOYENS TECHNIQUE ET LOGISTIQUE</t>
  </si>
  <si>
    <t>0100</t>
  </si>
  <si>
    <t>Aymen 61</t>
  </si>
  <si>
    <t>INFORMATICIEN</t>
  </si>
  <si>
    <t>0101</t>
  </si>
  <si>
    <t>Aymen 62</t>
  </si>
  <si>
    <t>08/06/1991</t>
  </si>
  <si>
    <t>0102</t>
  </si>
  <si>
    <t>Aymen 63</t>
  </si>
  <si>
    <t>01/03/1970</t>
  </si>
  <si>
    <t>0103</t>
  </si>
  <si>
    <t>Aymen 64</t>
  </si>
  <si>
    <t>07/03/1990</t>
  </si>
  <si>
    <t>RESPONSABLE APPROVISIIONNEMENTS ET G.D.S</t>
  </si>
  <si>
    <t>0104</t>
  </si>
  <si>
    <t>Aymen 65</t>
  </si>
  <si>
    <t>28/04/1976</t>
  </si>
  <si>
    <t>TECHNICIEN CTA</t>
  </si>
  <si>
    <t>0105</t>
  </si>
  <si>
    <t>AMINA 40</t>
  </si>
  <si>
    <t>25/08/1985</t>
  </si>
  <si>
    <t>0106</t>
  </si>
  <si>
    <t>AMINA 41</t>
  </si>
  <si>
    <t>19/08/1992</t>
  </si>
  <si>
    <t>0107</t>
  </si>
  <si>
    <t>AMINA 42</t>
  </si>
  <si>
    <t>03/12/1996</t>
  </si>
  <si>
    <t>0108</t>
  </si>
  <si>
    <t>Aymen 66</t>
  </si>
  <si>
    <t>01/02/1991</t>
  </si>
  <si>
    <t>PLOMBIER</t>
  </si>
  <si>
    <t>0109</t>
  </si>
  <si>
    <t>Aymen 67</t>
  </si>
  <si>
    <t>24/04/1984</t>
  </si>
  <si>
    <t>0110</t>
  </si>
  <si>
    <t>Aymen 68</t>
  </si>
  <si>
    <t>20/09/1977</t>
  </si>
  <si>
    <t>0111</t>
  </si>
  <si>
    <t>AMINA 43</t>
  </si>
  <si>
    <t>08/10/1986</t>
  </si>
  <si>
    <t>0112</t>
  </si>
  <si>
    <t>Aymen 69</t>
  </si>
  <si>
    <t>22/08/1996</t>
  </si>
  <si>
    <t>INGENIEUR  AUTOMATICIEN</t>
  </si>
  <si>
    <t>0113</t>
  </si>
  <si>
    <t>AMINA 44</t>
  </si>
  <si>
    <t>02/05/2002</t>
  </si>
  <si>
    <t>0114</t>
  </si>
  <si>
    <t>Aymen 70</t>
  </si>
  <si>
    <t>0115</t>
  </si>
  <si>
    <t>Aymen 71</t>
  </si>
  <si>
    <t>14/04/1967</t>
  </si>
  <si>
    <t>0116</t>
  </si>
  <si>
    <t>Aymen 72</t>
  </si>
  <si>
    <t>27/05/1998</t>
  </si>
  <si>
    <t>0117</t>
  </si>
  <si>
    <t>AMINA 45</t>
  </si>
  <si>
    <t>06/03/1986</t>
  </si>
  <si>
    <t>AIDE CUISINIER (RE)</t>
  </si>
  <si>
    <t>0118</t>
  </si>
  <si>
    <t>AMINA 46</t>
  </si>
  <si>
    <t>23/02/1975</t>
  </si>
  <si>
    <t>0119</t>
  </si>
  <si>
    <t>Aymen 73</t>
  </si>
  <si>
    <t>27/12/1994</t>
  </si>
  <si>
    <t>ELECTROMECANICIEN</t>
  </si>
  <si>
    <t>0120</t>
  </si>
  <si>
    <t>Aymen 74</t>
  </si>
  <si>
    <t>11/09/1966</t>
  </si>
  <si>
    <t>0121</t>
  </si>
  <si>
    <t>Aymen 75</t>
  </si>
  <si>
    <t>09/01/1975</t>
  </si>
  <si>
    <t>0122</t>
  </si>
  <si>
    <t>AMINA 47</t>
  </si>
  <si>
    <t>16/02/1995</t>
  </si>
  <si>
    <t>0123</t>
  </si>
  <si>
    <t>AMINA 48</t>
  </si>
  <si>
    <t>18/11/2000</t>
  </si>
  <si>
    <t>0124</t>
  </si>
  <si>
    <t>Aymen 76</t>
  </si>
  <si>
    <t>27/01/1980</t>
  </si>
  <si>
    <t>MANUTENTIONNAIRE</t>
  </si>
  <si>
    <t>0125</t>
  </si>
  <si>
    <t>Aymen 77</t>
  </si>
  <si>
    <t>27/06/1970</t>
  </si>
  <si>
    <t>0126</t>
  </si>
  <si>
    <t>Aymen 78</t>
  </si>
  <si>
    <t>06/01/2006</t>
  </si>
  <si>
    <t>0127</t>
  </si>
  <si>
    <t>AMINA 49</t>
  </si>
  <si>
    <t>14/05/1998</t>
  </si>
  <si>
    <t>0128</t>
  </si>
  <si>
    <t>Aymen 79</t>
  </si>
  <si>
    <t>12/03/1973</t>
  </si>
  <si>
    <t>MAINTENANCIER</t>
  </si>
  <si>
    <t>0129</t>
  </si>
  <si>
    <t>Aymen 80</t>
  </si>
  <si>
    <t>20/06/1997</t>
  </si>
  <si>
    <t>0130</t>
  </si>
  <si>
    <t>Aymen 81</t>
  </si>
  <si>
    <t>18/06/1978</t>
  </si>
  <si>
    <t>0131</t>
  </si>
  <si>
    <t>Aymen 82</t>
  </si>
  <si>
    <t>22/09/1992</t>
  </si>
  <si>
    <t>0132</t>
  </si>
  <si>
    <t>AMINA 50</t>
  </si>
  <si>
    <t>20/08/1970</t>
  </si>
  <si>
    <t>RESP HYGIENNE SECURITE</t>
  </si>
  <si>
    <t>0133</t>
  </si>
  <si>
    <t>AMINA 51</t>
  </si>
  <si>
    <t>22/05/1971</t>
  </si>
  <si>
    <t>0134</t>
  </si>
  <si>
    <t>Aymen 83</t>
  </si>
  <si>
    <t>25/12/1978</t>
  </si>
  <si>
    <t>0135</t>
  </si>
  <si>
    <t>AMINA 52</t>
  </si>
  <si>
    <t>20/05/1976</t>
  </si>
  <si>
    <t>CUISINIER (E)</t>
  </si>
  <si>
    <t>0136</t>
  </si>
  <si>
    <t>AMINA 53</t>
  </si>
  <si>
    <t>15/02/1976</t>
  </si>
  <si>
    <t>0137</t>
  </si>
  <si>
    <t>AMINA 54</t>
  </si>
  <si>
    <t>17/08/1981</t>
  </si>
  <si>
    <t>PREPARATRICE</t>
  </si>
  <si>
    <t>0138</t>
  </si>
  <si>
    <t>AMINA 55</t>
  </si>
  <si>
    <t>0139</t>
  </si>
  <si>
    <t>AMINA 56</t>
  </si>
  <si>
    <t>11/09/1980</t>
  </si>
  <si>
    <t>0140</t>
  </si>
  <si>
    <t>AMINA 57</t>
  </si>
  <si>
    <t>25/11/1975</t>
  </si>
  <si>
    <t>standartiste</t>
  </si>
  <si>
    <t>0141</t>
  </si>
  <si>
    <t>AMINA 58</t>
  </si>
  <si>
    <t>10/07/1990</t>
  </si>
  <si>
    <t>0142</t>
  </si>
  <si>
    <t>Aymen 84</t>
  </si>
  <si>
    <t>15/11/1990</t>
  </si>
  <si>
    <t>RESPONSABLE AUDIT QUALITE</t>
  </si>
  <si>
    <t>0143</t>
  </si>
  <si>
    <t>Aymen 85</t>
  </si>
  <si>
    <t>11/12/1996</t>
  </si>
  <si>
    <t>0144</t>
  </si>
  <si>
    <t>Aymen 86</t>
  </si>
  <si>
    <t>28/07/2000</t>
  </si>
  <si>
    <t>SOUDEUR TIG</t>
  </si>
  <si>
    <t>0145</t>
  </si>
  <si>
    <t>AMINA 59</t>
  </si>
  <si>
    <t>29/07/1999</t>
  </si>
  <si>
    <t>0146</t>
  </si>
  <si>
    <t>Aymen 87</t>
  </si>
  <si>
    <t>13/10/1998</t>
  </si>
  <si>
    <t>0147</t>
  </si>
  <si>
    <t>Aymen 88</t>
  </si>
  <si>
    <t>28/06/1997</t>
  </si>
  <si>
    <t>0148</t>
  </si>
  <si>
    <t>Aymen 89</t>
  </si>
  <si>
    <t>13/05/1982</t>
  </si>
  <si>
    <t>MECANICIEN INDUSTRIEL</t>
  </si>
  <si>
    <t>0149</t>
  </si>
  <si>
    <t>Aymen 90</t>
  </si>
  <si>
    <t>0150</t>
  </si>
  <si>
    <t>AMINA 60</t>
  </si>
  <si>
    <t>12/01/1990</t>
  </si>
  <si>
    <t>0151</t>
  </si>
  <si>
    <t>Aymen 91</t>
  </si>
  <si>
    <t>25/01/1968</t>
  </si>
  <si>
    <t>0152</t>
  </si>
  <si>
    <t>Aymen 92</t>
  </si>
  <si>
    <t>27/06/2000</t>
  </si>
  <si>
    <t>0153</t>
  </si>
  <si>
    <t>Aymen 93</t>
  </si>
  <si>
    <t>21/11/1971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</si>
</sst>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1" fillId="3" borderId="4" xfId="1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64" fontId="0" fillId="0" borderId="4" xfId="1" applyFont="1" applyBorder="1" applyAlignment="1">
      <alignment horizontal="center"/>
    </xf>
    <xf numFmtId="164" fontId="0" fillId="3" borderId="4" xfId="1" applyFont="1" applyFill="1" applyBorder="1" applyAlignment="1">
      <alignment horizontal="center"/>
    </xf>
  </cellXfs>
  <cellStyles count="2">
    <cellStyle name="Milliers 2" xfId="1" xr:uid="{A28D5AEF-468F-4FD4-87B4-65A4206595B7}"/>
    <cellStyle name="Normal" xfId="0" builtinId="0"/>
  </cellStyles>
  <dxfs count="17"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1"/>
        <scheme val="minor"/>
      </font>
      <numFmt numFmtId="19" formatCode="dd/mm/yyyy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666750</xdr:colOff>
      <xdr:row>0</xdr:row>
      <xdr:rowOff>161925</xdr:rowOff>
    </xdr:from>
    <xdr:to>
      <xdr:col>3</xdr:col>
      <xdr:colOff>57150</xdr:colOff>
      <xdr:row>5</xdr:row>
      <xdr:rowOff>123825</xdr:rowOff>
    </xdr:to>
    <xdr:pic>
      <xdr:nvPicPr>
        <xdr:cNvPr id="3" name="Graphique 2" descr="Homme avec un remplissage uni">
          <a:extLst>
            <a:ext uri="{FF2B5EF4-FFF2-40B4-BE49-F238E27FC236}">
              <a16:creationId xmlns:a16="http://schemas.microsoft.com/office/drawing/2014/main" id="{8E11260D-AED1-BF78-A029-B4EEEDE57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0" y="1619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140475</xdr:colOff>
      <xdr:row>1</xdr:row>
      <xdr:rowOff>16650</xdr:rowOff>
    </xdr:from>
    <xdr:to>
      <xdr:col>4</xdr:col>
      <xdr:colOff>292875</xdr:colOff>
      <xdr:row>5</xdr:row>
      <xdr:rowOff>169050</xdr:rowOff>
    </xdr:to>
    <xdr:pic>
      <xdr:nvPicPr>
        <xdr:cNvPr id="5" name="Graphique 4" descr="Homme et femme avec un remplissage uni">
          <a:extLst>
            <a:ext uri="{FF2B5EF4-FFF2-40B4-BE49-F238E27FC236}">
              <a16:creationId xmlns:a16="http://schemas.microsoft.com/office/drawing/2014/main" id="{AC9FE526-3DFA-54AC-BA4A-9EDD8919A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426475" y="2071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690525</xdr:colOff>
      <xdr:row>0</xdr:row>
      <xdr:rowOff>185700</xdr:rowOff>
    </xdr:from>
    <xdr:to>
      <xdr:col>2</xdr:col>
      <xdr:colOff>80925</xdr:colOff>
      <xdr:row>5</xdr:row>
      <xdr:rowOff>147600</xdr:rowOff>
    </xdr:to>
    <xdr:pic>
      <xdr:nvPicPr>
        <xdr:cNvPr id="7" name="Graphique 6" descr="Femme avec un remplissage uni">
          <a:extLst>
            <a:ext uri="{FF2B5EF4-FFF2-40B4-BE49-F238E27FC236}">
              <a16:creationId xmlns:a16="http://schemas.microsoft.com/office/drawing/2014/main" id="{A4A5DB72-033A-7A9A-CAAE-119E758CF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90525" y="1857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485775</xdr:colOff>
      <xdr:row>1</xdr:row>
      <xdr:rowOff>95250</xdr:rowOff>
    </xdr:from>
    <xdr:to>
      <xdr:col>5</xdr:col>
      <xdr:colOff>638175</xdr:colOff>
      <xdr:row>6</xdr:row>
      <xdr:rowOff>57150</xdr:rowOff>
    </xdr:to>
    <xdr:pic>
      <xdr:nvPicPr>
        <xdr:cNvPr id="9" name="Graphique 8" descr="Argent avec un remplissage uni">
          <a:extLst>
            <a:ext uri="{FF2B5EF4-FFF2-40B4-BE49-F238E27FC236}">
              <a16:creationId xmlns:a16="http://schemas.microsoft.com/office/drawing/2014/main" id="{5B25D03A-9E52-E9B6-9BDE-D72E3D491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533775" y="2857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752475</xdr:colOff>
      <xdr:row>1</xdr:row>
      <xdr:rowOff>57150</xdr:rowOff>
    </xdr:from>
    <xdr:to>
      <xdr:col>7</xdr:col>
      <xdr:colOff>142875</xdr:colOff>
      <xdr:row>6</xdr:row>
      <xdr:rowOff>19050</xdr:rowOff>
    </xdr:to>
    <xdr:pic>
      <xdr:nvPicPr>
        <xdr:cNvPr id="11" name="Graphique 10" descr="Sablier terminé avec un remplissage uni">
          <a:extLst>
            <a:ext uri="{FF2B5EF4-FFF2-40B4-BE49-F238E27FC236}">
              <a16:creationId xmlns:a16="http://schemas.microsoft.com/office/drawing/2014/main" id="{5B3ED90F-993C-85B9-6C7F-E43786121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562475" y="2476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495300</xdr:colOff>
      <xdr:row>1</xdr:row>
      <xdr:rowOff>133350</xdr:rowOff>
    </xdr:from>
    <xdr:to>
      <xdr:col>8</xdr:col>
      <xdr:colOff>597300</xdr:colOff>
      <xdr:row>6</xdr:row>
      <xdr:rowOff>44850</xdr:rowOff>
    </xdr:to>
    <xdr:pic>
      <xdr:nvPicPr>
        <xdr:cNvPr id="13" name="Graphique 12" descr="Croissance de l'activité avec un remplissage uni">
          <a:extLst>
            <a:ext uri="{FF2B5EF4-FFF2-40B4-BE49-F238E27FC236}">
              <a16:creationId xmlns:a16="http://schemas.microsoft.com/office/drawing/2014/main" id="{A559D2FC-39AE-F3A0-D0F7-4F09C01B4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829300" y="323850"/>
          <a:ext cx="864000" cy="864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161925</xdr:rowOff>
    </xdr:from>
    <xdr:to>
      <xdr:col>4</xdr:col>
      <xdr:colOff>723900</xdr:colOff>
      <xdr:row>8</xdr:row>
      <xdr:rowOff>142875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6A883B11-DA4F-4133-921B-702C91D9529F}"/>
            </a:ext>
          </a:extLst>
        </xdr:cNvPr>
        <xdr:cNvSpPr txBox="1"/>
      </xdr:nvSpPr>
      <xdr:spPr>
        <a:xfrm>
          <a:off x="0" y="1304925"/>
          <a:ext cx="37719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solidFill>
                <a:srgbClr val="0070C0"/>
              </a:solidFill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  <a:latin typeface="+mn-lt"/>
              <a:ea typeface="+mn-ea"/>
              <a:cs typeface="+mn-cs"/>
            </a:rPr>
            <a:t>classement des employés pr age :</a:t>
          </a:r>
          <a:endParaRPr lang="fr-FR" sz="2000" b="1">
            <a:solidFill>
              <a:srgbClr val="0070C0"/>
            </a:solidFill>
            <a:effectLst/>
          </a:endParaRPr>
        </a:p>
        <a:p>
          <a:endParaRPr lang="fr-FR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0</xdr:col>
      <xdr:colOff>0</xdr:colOff>
      <xdr:row>13</xdr:row>
      <xdr:rowOff>147638</xdr:rowOff>
    </xdr:from>
    <xdr:to>
      <xdr:col>5</xdr:col>
      <xdr:colOff>152400</xdr:colOff>
      <xdr:row>15</xdr:row>
      <xdr:rowOff>128588</xdr:rowOff>
    </xdr:to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4AAB1490-5F09-4883-BC14-871B0D41A441}"/>
            </a:ext>
          </a:extLst>
        </xdr:cNvPr>
        <xdr:cNvSpPr txBox="1"/>
      </xdr:nvSpPr>
      <xdr:spPr>
        <a:xfrm>
          <a:off x="0" y="2624138"/>
          <a:ext cx="396240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solidFill>
                <a:srgbClr val="0070C0"/>
              </a:solidFill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  <a:latin typeface="+mn-lt"/>
              <a:ea typeface="+mn-ea"/>
              <a:cs typeface="+mn-cs"/>
            </a:rPr>
            <a:t>classement des employés par SEXE:</a:t>
          </a:r>
          <a:endParaRPr lang="fr-FR" sz="2000" b="1">
            <a:solidFill>
              <a:srgbClr val="0070C0"/>
            </a:solidFill>
            <a:effectLst/>
          </a:endParaRPr>
        </a:p>
        <a:p>
          <a:endParaRPr lang="fr-FR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0</xdr:col>
      <xdr:colOff>0</xdr:colOff>
      <xdr:row>9</xdr:row>
      <xdr:rowOff>92869</xdr:rowOff>
    </xdr:from>
    <xdr:to>
      <xdr:col>6</xdr:col>
      <xdr:colOff>323850</xdr:colOff>
      <xdr:row>11</xdr:row>
      <xdr:rowOff>92869</xdr:rowOff>
    </xdr:to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9A81B44A-4597-4B9C-931C-D4C3BAFB08BE}"/>
            </a:ext>
          </a:extLst>
        </xdr:cNvPr>
        <xdr:cNvSpPr txBox="1"/>
      </xdr:nvSpPr>
      <xdr:spPr>
        <a:xfrm>
          <a:off x="0" y="1807369"/>
          <a:ext cx="48958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solidFill>
                <a:srgbClr val="0070C0"/>
              </a:solidFill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  <a:latin typeface="+mn-lt"/>
              <a:ea typeface="+mn-ea"/>
              <a:cs typeface="+mn-cs"/>
            </a:rPr>
            <a:t>classement des employés par structure :</a:t>
          </a:r>
          <a:endParaRPr lang="fr-FR" sz="2000" b="1">
            <a:solidFill>
              <a:srgbClr val="0070C0"/>
            </a:solidFill>
            <a:effectLst/>
          </a:endParaRPr>
        </a:p>
        <a:p>
          <a:endParaRPr lang="fr-FR" sz="1100" b="1">
            <a:solidFill>
              <a:srgbClr val="0070C0"/>
            </a:solidFill>
          </a:endParaRPr>
        </a:p>
      </xdr:txBody>
    </xdr:sp>
    <xdr:clientData/>
  </xdr:twoCellAnchor>
  <xdr:twoCellAnchor>
    <xdr:from>
      <xdr:col>0</xdr:col>
      <xdr:colOff>0</xdr:colOff>
      <xdr:row>11</xdr:row>
      <xdr:rowOff>114300</xdr:rowOff>
    </xdr:from>
    <xdr:to>
      <xdr:col>7</xdr:col>
      <xdr:colOff>438150</xdr:colOff>
      <xdr:row>13</xdr:row>
      <xdr:rowOff>152400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E1AE0699-7F55-445C-B9B0-7506D581CC3E}"/>
            </a:ext>
          </a:extLst>
        </xdr:cNvPr>
        <xdr:cNvSpPr txBox="1"/>
      </xdr:nvSpPr>
      <xdr:spPr>
        <a:xfrm>
          <a:off x="0" y="2209800"/>
          <a:ext cx="577215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i="0" baseline="0">
              <a:solidFill>
                <a:srgbClr val="0070C0"/>
              </a:solidFill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  <a:latin typeface="+mn-lt"/>
              <a:ea typeface="+mn-ea"/>
              <a:cs typeface="+mn-cs"/>
            </a:rPr>
            <a:t>classement des employés par groupe :</a:t>
          </a:r>
          <a:endParaRPr lang="fr-FR" sz="2000" b="1" i="0" baseline="0">
            <a:solidFill>
              <a:srgbClr val="0070C0"/>
            </a:solidFill>
            <a:effectLst>
              <a:outerShdw blurRad="50800" dist="38100" dir="5400000" algn="t" rotWithShape="0">
                <a:srgbClr val="000000">
                  <a:alpha val="40000"/>
                </a:srgb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18</xdr:row>
      <xdr:rowOff>173831</xdr:rowOff>
    </xdr:from>
    <xdr:to>
      <xdr:col>6</xdr:col>
      <xdr:colOff>476250</xdr:colOff>
      <xdr:row>21</xdr:row>
      <xdr:rowOff>2381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ADF3E734-9E56-461C-95D3-4458DBD72BBD}"/>
            </a:ext>
          </a:extLst>
        </xdr:cNvPr>
        <xdr:cNvSpPr txBox="1"/>
      </xdr:nvSpPr>
      <xdr:spPr>
        <a:xfrm>
          <a:off x="0" y="3602831"/>
          <a:ext cx="50482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2000" b="1" i="0" baseline="0">
              <a:solidFill>
                <a:srgbClr val="0070C0"/>
              </a:solidFill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  <a:latin typeface="+mn-lt"/>
              <a:ea typeface="+mn-ea"/>
              <a:cs typeface="+mn-cs"/>
            </a:rPr>
            <a:t>classement des employés par Expérience :</a:t>
          </a:r>
          <a:endParaRPr lang="fr-FR" sz="4000" b="1">
            <a:solidFill>
              <a:srgbClr val="0070C0"/>
            </a:solidFill>
            <a:effectLst/>
          </a:endParaRPr>
        </a:p>
        <a:p>
          <a:endParaRPr lang="fr-FR" sz="2000" b="1">
            <a:solidFill>
              <a:srgbClr val="0070C0"/>
            </a:solidFill>
          </a:endParaRPr>
        </a:p>
      </xdr:txBody>
    </xdr:sp>
    <xdr:clientData/>
  </xdr:twoCellAnchor>
  <xdr:twoCellAnchor>
    <xdr:from>
      <xdr:col>0</xdr:col>
      <xdr:colOff>0</xdr:colOff>
      <xdr:row>16</xdr:row>
      <xdr:rowOff>7144</xdr:rowOff>
    </xdr:from>
    <xdr:to>
      <xdr:col>6</xdr:col>
      <xdr:colOff>476250</xdr:colOff>
      <xdr:row>18</xdr:row>
      <xdr:rowOff>26194</xdr:rowOff>
    </xdr:to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EB568A1A-4FE0-4BBF-A813-96B79E90DE84}"/>
            </a:ext>
          </a:extLst>
        </xdr:cNvPr>
        <xdr:cNvSpPr txBox="1"/>
      </xdr:nvSpPr>
      <xdr:spPr>
        <a:xfrm>
          <a:off x="0" y="3055144"/>
          <a:ext cx="5048250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2000" b="1" i="0" baseline="0">
              <a:solidFill>
                <a:srgbClr val="0070C0"/>
              </a:solidFill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  <a:latin typeface="+mn-lt"/>
              <a:ea typeface="+mn-ea"/>
              <a:cs typeface="+mn-cs"/>
            </a:rPr>
            <a:t>classement des employés par type de contrat  :</a:t>
          </a:r>
          <a:endParaRPr lang="fr-FR" sz="4000" b="1">
            <a:solidFill>
              <a:srgbClr val="0070C0"/>
            </a:solidFill>
            <a:effectLst/>
          </a:endParaRPr>
        </a:p>
        <a:p>
          <a:endParaRPr lang="fr-FR" sz="2000" b="1">
            <a:solidFill>
              <a:srgbClr val="0070C0"/>
            </a:solidFill>
          </a:endParaRPr>
        </a:p>
      </xdr:txBody>
    </xdr:sp>
    <xdr:clientData/>
  </xdr:twoCellAnchor>
  <xdr:twoCellAnchor>
    <xdr:from>
      <xdr:col>0</xdr:col>
      <xdr:colOff>33337</xdr:colOff>
      <xdr:row>21</xdr:row>
      <xdr:rowOff>100012</xdr:rowOff>
    </xdr:from>
    <xdr:to>
      <xdr:col>2</xdr:col>
      <xdr:colOff>357187</xdr:colOff>
      <xdr:row>23</xdr:row>
      <xdr:rowOff>80962</xdr:rowOff>
    </xdr:to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C2D001BE-A55A-4BEC-BB6C-BF535A39136E}"/>
            </a:ext>
          </a:extLst>
        </xdr:cNvPr>
        <xdr:cNvSpPr txBox="1"/>
      </xdr:nvSpPr>
      <xdr:spPr>
        <a:xfrm>
          <a:off x="33337" y="4100512"/>
          <a:ext cx="18478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2000" b="1" i="0" baseline="0">
              <a:solidFill>
                <a:srgbClr val="0070C0"/>
              </a:solidFill>
              <a:effectLst>
                <a:outerShdw blurRad="50800" dist="38100" dir="5400000" algn="t" rotWithShape="0">
                  <a:srgbClr val="000000">
                    <a:alpha val="40000"/>
                  </a:srgbClr>
                </a:outerShdw>
              </a:effectLst>
              <a:latin typeface="+mn-lt"/>
              <a:ea typeface="+mn-ea"/>
              <a:cs typeface="+mn-cs"/>
            </a:rPr>
            <a:t>Top 3 salairiés:</a:t>
          </a:r>
          <a:endParaRPr lang="fr-FR" sz="4000" b="1">
            <a:solidFill>
              <a:srgbClr val="0070C0"/>
            </a:solidFill>
            <a:effectLst/>
          </a:endParaRPr>
        </a:p>
        <a:p>
          <a:endParaRPr lang="fr-FR" sz="2000" b="1">
            <a:solidFill>
              <a:srgbClr val="0070C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CFF48-5641-4824-A85B-EC58B84D799E}" name="Tableau1" displayName="Tableau1" ref="A1:L154" totalsRowShown="0" headerRowDxfId="16" dataDxfId="14" headerRowBorderDxfId="15" tableBorderDxfId="13" totalsRowBorderDxfId="12">
  <autoFilter ref="A1:L154" xr:uid="{267C4621-4706-4438-B941-098C7D71F180}"/>
  <sortState xmlns:xlrd2="http://schemas.microsoft.com/office/spreadsheetml/2017/richdata2" ref="A2:L154">
    <sortCondition ref="A1:A154"/>
  </sortState>
  <tableColumns count="12">
    <tableColumn id="1" xr3:uid="{30A863C9-2BBD-4386-9AD5-9FE08C4F7451}" name="Matricule " dataDxfId="11"/>
    <tableColumn id="2" xr3:uid="{0DCCFB2F-32D0-4C96-BB2B-0924CD14C3A0}" name="Nom" dataDxfId="10"/>
    <tableColumn id="4" xr3:uid="{9A477B03-E739-4661-B49A-9CCB984DAF27}" name="Naissance" dataDxfId="9"/>
    <tableColumn id="7" xr3:uid="{14AA9B6E-7A23-42FB-BEA0-94CAC278F7F6}" name="age" dataDxfId="8">
      <calculatedColumnFormula>IF(Tableau1[[#This Row],[Naissance]]="",0,DATEDIF(Tableau1[[#This Row],[Naissance]],TODAY(),"y"))</calculatedColumnFormula>
    </tableColumn>
    <tableColumn id="8" xr3:uid="{395EEC72-AF95-4D95-A484-39C560DB99E9}" name="SEXE" dataDxfId="7"/>
    <tableColumn id="12" xr3:uid="{86D1FA65-68D6-4CF7-ABF8-3325FBBF4689}" name="Fonction" dataDxfId="6"/>
    <tableColumn id="13" xr3:uid="{FC301909-96B1-40D7-996F-FCB377CB67BC}" name="Group S/P" dataDxfId="5"/>
    <tableColumn id="14" xr3:uid="{63531D74-56DE-4B24-AA2F-09C9C0A4BE59}" name="Structure" dataDxfId="4"/>
    <tableColumn id="15" xr3:uid="{DD51CF48-73E0-45C6-99A2-7659D8C449D6}" name="date recrutement" dataDxfId="3"/>
    <tableColumn id="18" xr3:uid="{B69217B0-6D86-4346-B806-0DADC0A237FE}" name="Expérience" dataDxfId="2">
      <calculatedColumnFormula>DATEDIF(Tableau1[[#This Row],[date recrutement]],TODAY(),"y")</calculatedColumnFormula>
    </tableColumn>
    <tableColumn id="19" xr3:uid="{1D9B6EF7-816D-4E7C-BE5C-B97A7A4B8C7E}" name="contrat" dataDxfId="1"/>
    <tableColumn id="5" xr3:uid="{462F4AC0-D82A-4AEC-A12B-1E6C72EC49BE}" name="Salaire" dataDxfId="0"/>
  </tableColumns>
  <tableStyleInfo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6823-BA9A-43B8-8F31-757A92A80ACF}">
  <dimension ref="A1:L154"/>
  <sheetViews>
    <sheetView showGridLines="0" tabSelected="1" topLeftCell="C1" zoomScale="95" zoomScaleNormal="95" zoomScaleSheetLayoutView="32" workbookViewId="0">
      <selection activeCell="F14" sqref="F14"/>
    </sheetView>
  </sheetViews>
  <sheetFormatPr baseColWidth="10" defaultColWidth="10.42578125" defaultRowHeight="15" x14ac:dyDescent="0.25"/>
  <cols>
    <col min="1" max="1" width="12.7109375" bestFit="1" customWidth="1"/>
    <col min="2" max="2" width="25.140625" bestFit="1" customWidth="1"/>
    <col min="3" max="3" width="12.42578125" bestFit="1" customWidth="1"/>
    <col min="4" max="4" width="6.42578125" bestFit="1" customWidth="1"/>
    <col min="5" max="5" width="10" customWidth="1"/>
    <col min="6" max="6" width="57.140625" bestFit="1" customWidth="1"/>
    <col min="7" max="7" width="22.85546875" bestFit="1" customWidth="1"/>
    <col min="8" max="8" width="23.42578125" bestFit="1" customWidth="1"/>
    <col min="9" max="9" width="18.7109375" bestFit="1" customWidth="1"/>
    <col min="10" max="10" width="13.42578125" bestFit="1" customWidth="1"/>
    <col min="11" max="11" width="9.7109375" bestFit="1" customWidth="1"/>
    <col min="12" max="12" width="14.140625" bestFit="1" customWidth="1"/>
  </cols>
  <sheetData>
    <row r="1" spans="1:12" x14ac:dyDescent="0.25">
      <c r="A1" s="1" t="s">
        <v>6</v>
      </c>
      <c r="B1" s="2" t="s">
        <v>7</v>
      </c>
      <c r="C1" s="3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3" t="s">
        <v>14</v>
      </c>
      <c r="J1" s="3" t="s">
        <v>15</v>
      </c>
      <c r="K1" s="4" t="s">
        <v>16</v>
      </c>
      <c r="L1" s="3" t="s">
        <v>17</v>
      </c>
    </row>
    <row r="2" spans="1:12" x14ac:dyDescent="0.25">
      <c r="A2" s="5" t="s">
        <v>18</v>
      </c>
      <c r="B2" s="6" t="s">
        <v>19</v>
      </c>
      <c r="C2" s="6" t="s">
        <v>20</v>
      </c>
      <c r="D2" s="7">
        <f ca="1">IF(Tableau1[[#This Row],[Naissance]]="",0,DATEDIF(Tableau1[[#This Row],[Naissance]],TODAY(),"y"))</f>
        <v>18</v>
      </c>
      <c r="E2" s="6" t="s">
        <v>21</v>
      </c>
      <c r="F2" s="6" t="s">
        <v>22</v>
      </c>
      <c r="G2" s="6" t="s">
        <v>23</v>
      </c>
      <c r="H2" s="6" t="s">
        <v>24</v>
      </c>
      <c r="I2" s="8">
        <v>45347</v>
      </c>
      <c r="J2" s="7">
        <f ca="1">DATEDIF(Tableau1[[#This Row],[date recrutement]],TODAY(),"y")</f>
        <v>0</v>
      </c>
      <c r="K2" s="6" t="s">
        <v>25</v>
      </c>
      <c r="L2" s="9">
        <v>77000</v>
      </c>
    </row>
    <row r="3" spans="1:12" x14ac:dyDescent="0.25">
      <c r="A3" s="5" t="s">
        <v>26</v>
      </c>
      <c r="B3" s="6" t="s">
        <v>27</v>
      </c>
      <c r="C3" s="6" t="s">
        <v>28</v>
      </c>
      <c r="D3" s="7">
        <f ca="1">IF(Tableau1[[#This Row],[Naissance]]="",0,DATEDIF(Tableau1[[#This Row],[Naissance]],TODAY(),"y"))</f>
        <v>27</v>
      </c>
      <c r="E3" s="6" t="s">
        <v>21</v>
      </c>
      <c r="F3" s="6" t="s">
        <v>29</v>
      </c>
      <c r="G3" s="6" t="s">
        <v>23</v>
      </c>
      <c r="H3" s="6" t="s">
        <v>24</v>
      </c>
      <c r="I3" s="8">
        <v>45221</v>
      </c>
      <c r="J3" s="7">
        <f ca="1">DATEDIF(Tableau1[[#This Row],[date recrutement]],TODAY(),"y")</f>
        <v>0</v>
      </c>
      <c r="K3" s="6" t="s">
        <v>25</v>
      </c>
      <c r="L3" s="9">
        <v>114000</v>
      </c>
    </row>
    <row r="4" spans="1:12" x14ac:dyDescent="0.25">
      <c r="A4" s="5" t="s">
        <v>30</v>
      </c>
      <c r="B4" s="6" t="s">
        <v>31</v>
      </c>
      <c r="C4" s="6" t="s">
        <v>32</v>
      </c>
      <c r="D4" s="7">
        <f ca="1">IF(Tableau1[[#This Row],[Naissance]]="",0,DATEDIF(Tableau1[[#This Row],[Naissance]],TODAY(),"y"))</f>
        <v>61</v>
      </c>
      <c r="E4" s="6" t="s">
        <v>21</v>
      </c>
      <c r="F4" s="6" t="s">
        <v>33</v>
      </c>
      <c r="G4" s="6" t="s">
        <v>34</v>
      </c>
      <c r="H4" s="6" t="s">
        <v>24</v>
      </c>
      <c r="I4" s="8">
        <v>45141</v>
      </c>
      <c r="J4" s="7">
        <f ca="1">DATEDIF(Tableau1[[#This Row],[date recrutement]],TODAY(),"y")</f>
        <v>0</v>
      </c>
      <c r="K4" s="6" t="s">
        <v>25</v>
      </c>
      <c r="L4" s="9">
        <v>127000</v>
      </c>
    </row>
    <row r="5" spans="1:12" x14ac:dyDescent="0.25">
      <c r="A5" s="5" t="s">
        <v>35</v>
      </c>
      <c r="B5" s="6" t="s">
        <v>36</v>
      </c>
      <c r="C5" s="6" t="s">
        <v>37</v>
      </c>
      <c r="D5" s="7">
        <f ca="1">IF(Tableau1[[#This Row],[Naissance]]="",0,DATEDIF(Tableau1[[#This Row],[Naissance]],TODAY(),"y"))</f>
        <v>40</v>
      </c>
      <c r="E5" s="6" t="s">
        <v>21</v>
      </c>
      <c r="F5" s="6" t="s">
        <v>38</v>
      </c>
      <c r="G5" s="6" t="s">
        <v>23</v>
      </c>
      <c r="H5" s="6" t="s">
        <v>39</v>
      </c>
      <c r="I5" s="8">
        <v>42466</v>
      </c>
      <c r="J5" s="7">
        <f ca="1">DATEDIF(Tableau1[[#This Row],[date recrutement]],TODAY(),"y")</f>
        <v>8</v>
      </c>
      <c r="K5" s="6" t="s">
        <v>25</v>
      </c>
      <c r="L5" s="9">
        <v>88000</v>
      </c>
    </row>
    <row r="6" spans="1:12" x14ac:dyDescent="0.25">
      <c r="A6" s="5" t="s">
        <v>40</v>
      </c>
      <c r="B6" s="6" t="s">
        <v>41</v>
      </c>
      <c r="C6" s="6" t="s">
        <v>42</v>
      </c>
      <c r="D6" s="7">
        <f ca="1">IF(Tableau1[[#This Row],[Naissance]]="",0,DATEDIF(Tableau1[[#This Row],[Naissance]],TODAY(),"y"))</f>
        <v>56</v>
      </c>
      <c r="E6" s="6" t="s">
        <v>21</v>
      </c>
      <c r="F6" s="6" t="s">
        <v>43</v>
      </c>
      <c r="G6" s="6" t="s">
        <v>23</v>
      </c>
      <c r="H6" s="6" t="s">
        <v>44</v>
      </c>
      <c r="I6" s="8">
        <v>45152</v>
      </c>
      <c r="J6" s="7">
        <f ca="1">DATEDIF(Tableau1[[#This Row],[date recrutement]],TODAY(),"y")</f>
        <v>0</v>
      </c>
      <c r="K6" s="6" t="s">
        <v>25</v>
      </c>
      <c r="L6" s="10">
        <v>171000</v>
      </c>
    </row>
    <row r="7" spans="1:12" x14ac:dyDescent="0.25">
      <c r="A7" s="5" t="s">
        <v>45</v>
      </c>
      <c r="B7" s="6" t="s">
        <v>46</v>
      </c>
      <c r="C7" s="6" t="s">
        <v>47</v>
      </c>
      <c r="D7" s="7">
        <f ca="1">IF(Tableau1[[#This Row],[Naissance]]="",0,DATEDIF(Tableau1[[#This Row],[Naissance]],TODAY(),"y"))</f>
        <v>49</v>
      </c>
      <c r="E7" s="6" t="s">
        <v>48</v>
      </c>
      <c r="F7" s="6" t="s">
        <v>49</v>
      </c>
      <c r="G7" s="6" t="s">
        <v>23</v>
      </c>
      <c r="H7" s="6" t="s">
        <v>24</v>
      </c>
      <c r="I7" s="8">
        <v>35676</v>
      </c>
      <c r="J7" s="7">
        <f ca="1">DATEDIF(Tableau1[[#This Row],[date recrutement]],TODAY(),"y")</f>
        <v>26</v>
      </c>
      <c r="K7" s="6" t="s">
        <v>50</v>
      </c>
      <c r="L7" s="10">
        <v>92000</v>
      </c>
    </row>
    <row r="8" spans="1:12" x14ac:dyDescent="0.25">
      <c r="A8" s="5" t="s">
        <v>51</v>
      </c>
      <c r="B8" s="6" t="s">
        <v>52</v>
      </c>
      <c r="C8" s="6" t="s">
        <v>53</v>
      </c>
      <c r="D8" s="7">
        <f ca="1">IF(Tableau1[[#This Row],[Naissance]]="",0,DATEDIF(Tableau1[[#This Row],[Naissance]],TODAY(),"y"))</f>
        <v>40</v>
      </c>
      <c r="E8" s="6" t="s">
        <v>21</v>
      </c>
      <c r="F8" s="6" t="s">
        <v>54</v>
      </c>
      <c r="G8" s="6" t="s">
        <v>34</v>
      </c>
      <c r="H8" s="6" t="s">
        <v>55</v>
      </c>
      <c r="I8" s="8">
        <v>44613</v>
      </c>
      <c r="J8" s="7">
        <f ca="1">DATEDIF(Tableau1[[#This Row],[date recrutement]],TODAY(),"y")</f>
        <v>2</v>
      </c>
      <c r="K8" s="6" t="s">
        <v>50</v>
      </c>
      <c r="L8" s="10">
        <v>81000</v>
      </c>
    </row>
    <row r="9" spans="1:12" x14ac:dyDescent="0.25">
      <c r="A9" s="5" t="s">
        <v>56</v>
      </c>
      <c r="B9" s="6" t="s">
        <v>57</v>
      </c>
      <c r="C9" s="8">
        <v>37300</v>
      </c>
      <c r="D9" s="7">
        <f ca="1">IF(Tableau1[[#This Row],[Naissance]]="",0,DATEDIF(Tableau1[[#This Row],[Naissance]],TODAY(),"y"))</f>
        <v>22</v>
      </c>
      <c r="E9" s="6" t="s">
        <v>21</v>
      </c>
      <c r="F9" s="6" t="s">
        <v>22</v>
      </c>
      <c r="G9" s="6" t="s">
        <v>23</v>
      </c>
      <c r="H9" s="6" t="s">
        <v>24</v>
      </c>
      <c r="I9" s="8">
        <v>45329</v>
      </c>
      <c r="J9" s="7">
        <f ca="1">DATEDIF(Tableau1[[#This Row],[date recrutement]],TODAY(),"y")</f>
        <v>0</v>
      </c>
      <c r="K9" s="6" t="s">
        <v>25</v>
      </c>
      <c r="L9" s="10">
        <v>112000</v>
      </c>
    </row>
    <row r="10" spans="1:12" x14ac:dyDescent="0.25">
      <c r="A10" s="5" t="s">
        <v>58</v>
      </c>
      <c r="B10" s="6" t="s">
        <v>59</v>
      </c>
      <c r="C10" s="6" t="s">
        <v>60</v>
      </c>
      <c r="D10" s="7">
        <f ca="1">IF(Tableau1[[#This Row],[Naissance]]="",0,DATEDIF(Tableau1[[#This Row],[Naissance]],TODAY(),"y"))</f>
        <v>33</v>
      </c>
      <c r="E10" s="6" t="s">
        <v>48</v>
      </c>
      <c r="F10" s="6" t="s">
        <v>61</v>
      </c>
      <c r="G10" s="6" t="s">
        <v>62</v>
      </c>
      <c r="H10" s="6" t="s">
        <v>63</v>
      </c>
      <c r="I10" s="8">
        <v>44417</v>
      </c>
      <c r="J10" s="7">
        <f ca="1">DATEDIF(Tableau1[[#This Row],[date recrutement]],TODAY(),"y")</f>
        <v>2</v>
      </c>
      <c r="K10" s="6" t="s">
        <v>50</v>
      </c>
      <c r="L10" s="10">
        <v>99000</v>
      </c>
    </row>
    <row r="11" spans="1:12" x14ac:dyDescent="0.25">
      <c r="A11" s="5" t="s">
        <v>64</v>
      </c>
      <c r="B11" s="6" t="s">
        <v>65</v>
      </c>
      <c r="C11" s="6" t="s">
        <v>66</v>
      </c>
      <c r="D11" s="7">
        <f ca="1">IF(Tableau1[[#This Row],[Naissance]]="",0,DATEDIF(Tableau1[[#This Row],[Naissance]],TODAY(),"y"))</f>
        <v>28</v>
      </c>
      <c r="E11" s="6" t="s">
        <v>21</v>
      </c>
      <c r="F11" s="6" t="s">
        <v>22</v>
      </c>
      <c r="G11" s="6" t="s">
        <v>23</v>
      </c>
      <c r="H11" s="6" t="s">
        <v>24</v>
      </c>
      <c r="I11" s="8">
        <v>44871</v>
      </c>
      <c r="J11" s="7">
        <f ca="1">DATEDIF(Tableau1[[#This Row],[date recrutement]],TODAY(),"y")</f>
        <v>1</v>
      </c>
      <c r="K11" s="6" t="s">
        <v>25</v>
      </c>
      <c r="L11" s="9">
        <v>171000</v>
      </c>
    </row>
    <row r="12" spans="1:12" x14ac:dyDescent="0.25">
      <c r="A12" s="5" t="s">
        <v>67</v>
      </c>
      <c r="B12" s="6" t="s">
        <v>68</v>
      </c>
      <c r="C12" s="6" t="s">
        <v>69</v>
      </c>
      <c r="D12" s="7">
        <f ca="1">IF(Tableau1[[#This Row],[Naissance]]="",0,DATEDIF(Tableau1[[#This Row],[Naissance]],TODAY(),"y"))</f>
        <v>52</v>
      </c>
      <c r="E12" s="6" t="s">
        <v>48</v>
      </c>
      <c r="F12" s="6" t="s">
        <v>70</v>
      </c>
      <c r="G12" s="6" t="s">
        <v>62</v>
      </c>
      <c r="H12" s="6" t="s">
        <v>24</v>
      </c>
      <c r="I12" s="8">
        <v>34314</v>
      </c>
      <c r="J12" s="7">
        <f ca="1">DATEDIF(Tableau1[[#This Row],[date recrutement]],TODAY(),"y")</f>
        <v>30</v>
      </c>
      <c r="K12" s="6" t="s">
        <v>50</v>
      </c>
      <c r="L12" s="9">
        <v>68000</v>
      </c>
    </row>
    <row r="13" spans="1:12" x14ac:dyDescent="0.25">
      <c r="A13" s="5" t="s">
        <v>71</v>
      </c>
      <c r="B13" s="6" t="s">
        <v>72</v>
      </c>
      <c r="C13" s="6" t="s">
        <v>73</v>
      </c>
      <c r="D13" s="7">
        <f ca="1">IF(Tableau1[[#This Row],[Naissance]]="",0,DATEDIF(Tableau1[[#This Row],[Naissance]],TODAY(),"y"))</f>
        <v>39</v>
      </c>
      <c r="E13" s="6" t="s">
        <v>21</v>
      </c>
      <c r="F13" s="6" t="s">
        <v>22</v>
      </c>
      <c r="G13" s="6" t="s">
        <v>23</v>
      </c>
      <c r="H13" s="6" t="s">
        <v>24</v>
      </c>
      <c r="I13" s="8">
        <v>45376</v>
      </c>
      <c r="J13" s="7">
        <f ca="1">DATEDIF(Tableau1[[#This Row],[date recrutement]],TODAY(),"y")</f>
        <v>0</v>
      </c>
      <c r="K13" s="6" t="s">
        <v>25</v>
      </c>
      <c r="L13" s="9">
        <v>120000</v>
      </c>
    </row>
    <row r="14" spans="1:12" x14ac:dyDescent="0.25">
      <c r="A14" s="5" t="s">
        <v>74</v>
      </c>
      <c r="B14" s="6" t="s">
        <v>75</v>
      </c>
      <c r="C14" s="6" t="s">
        <v>76</v>
      </c>
      <c r="D14" s="7">
        <f ca="1">IF(Tableau1[[#This Row],[Naissance]]="",0,DATEDIF(Tableau1[[#This Row],[Naissance]],TODAY(),"y"))</f>
        <v>54</v>
      </c>
      <c r="E14" s="6" t="s">
        <v>21</v>
      </c>
      <c r="F14" s="6" t="s">
        <v>77</v>
      </c>
      <c r="G14" s="6" t="s">
        <v>78</v>
      </c>
      <c r="H14" s="6" t="s">
        <v>79</v>
      </c>
      <c r="I14" s="8">
        <v>45165</v>
      </c>
      <c r="J14" s="7">
        <f ca="1">DATEDIF(Tableau1[[#This Row],[date recrutement]],TODAY(),"y")</f>
        <v>0</v>
      </c>
      <c r="K14" s="6" t="s">
        <v>80</v>
      </c>
      <c r="L14" s="9">
        <v>61000</v>
      </c>
    </row>
    <row r="15" spans="1:12" x14ac:dyDescent="0.25">
      <c r="A15" s="5" t="s">
        <v>81</v>
      </c>
      <c r="B15" s="6" t="s">
        <v>82</v>
      </c>
      <c r="C15" s="6" t="s">
        <v>83</v>
      </c>
      <c r="D15" s="7">
        <f ca="1">IF(Tableau1[[#This Row],[Naissance]]="",0,DATEDIF(Tableau1[[#This Row],[Naissance]],TODAY(),"y"))</f>
        <v>37</v>
      </c>
      <c r="E15" s="6" t="s">
        <v>48</v>
      </c>
      <c r="F15" s="6" t="s">
        <v>84</v>
      </c>
      <c r="G15" s="6" t="s">
        <v>78</v>
      </c>
      <c r="H15" s="6" t="s">
        <v>79</v>
      </c>
      <c r="I15" s="8">
        <v>44867</v>
      </c>
      <c r="J15" s="7">
        <f ca="1">DATEDIF(Tableau1[[#This Row],[date recrutement]],TODAY(),"y")</f>
        <v>1</v>
      </c>
      <c r="K15" s="6" t="s">
        <v>50</v>
      </c>
      <c r="L15" s="9">
        <v>243000</v>
      </c>
    </row>
    <row r="16" spans="1:12" x14ac:dyDescent="0.25">
      <c r="A16" s="5" t="s">
        <v>85</v>
      </c>
      <c r="B16" s="6" t="s">
        <v>86</v>
      </c>
      <c r="C16" s="6" t="s">
        <v>87</v>
      </c>
      <c r="D16" s="7">
        <f ca="1">IF(Tableau1[[#This Row],[Naissance]]="",0,DATEDIF(Tableau1[[#This Row],[Naissance]],TODAY(),"y"))</f>
        <v>35</v>
      </c>
      <c r="E16" s="6" t="s">
        <v>48</v>
      </c>
      <c r="F16" s="6" t="s">
        <v>88</v>
      </c>
      <c r="G16" s="6" t="s">
        <v>34</v>
      </c>
      <c r="H16" s="6" t="s">
        <v>63</v>
      </c>
      <c r="I16" s="8">
        <v>44341</v>
      </c>
      <c r="J16" s="7">
        <f ca="1">DATEDIF(Tableau1[[#This Row],[date recrutement]],TODAY(),"y")</f>
        <v>3</v>
      </c>
      <c r="K16" s="6" t="s">
        <v>50</v>
      </c>
      <c r="L16" s="9">
        <v>77000</v>
      </c>
    </row>
    <row r="17" spans="1:12" x14ac:dyDescent="0.25">
      <c r="A17" s="5" t="s">
        <v>89</v>
      </c>
      <c r="B17" s="6" t="s">
        <v>90</v>
      </c>
      <c r="C17" s="6" t="s">
        <v>91</v>
      </c>
      <c r="D17" s="7">
        <f ca="1">IF(Tableau1[[#This Row],[Naissance]]="",0,DATEDIF(Tableau1[[#This Row],[Naissance]],TODAY(),"y"))</f>
        <v>41</v>
      </c>
      <c r="E17" s="6" t="s">
        <v>48</v>
      </c>
      <c r="F17" s="6" t="s">
        <v>92</v>
      </c>
      <c r="G17" s="6" t="s">
        <v>23</v>
      </c>
      <c r="H17" s="6" t="s">
        <v>24</v>
      </c>
      <c r="I17" s="8">
        <v>42785</v>
      </c>
      <c r="J17" s="7">
        <f ca="1">DATEDIF(Tableau1[[#This Row],[date recrutement]],TODAY(),"y")</f>
        <v>7</v>
      </c>
      <c r="K17" s="6" t="s">
        <v>25</v>
      </c>
      <c r="L17" s="9">
        <v>168000</v>
      </c>
    </row>
    <row r="18" spans="1:12" x14ac:dyDescent="0.25">
      <c r="A18" s="5" t="s">
        <v>93</v>
      </c>
      <c r="B18" s="6" t="s">
        <v>94</v>
      </c>
      <c r="C18" s="6" t="s">
        <v>95</v>
      </c>
      <c r="D18" s="7">
        <f ca="1">IF(Tableau1[[#This Row],[Naissance]]="",0,DATEDIF(Tableau1[[#This Row],[Naissance]],TODAY(),"y"))</f>
        <v>44</v>
      </c>
      <c r="E18" s="6" t="s">
        <v>48</v>
      </c>
      <c r="F18" s="6" t="s">
        <v>49</v>
      </c>
      <c r="G18" s="6" t="s">
        <v>23</v>
      </c>
      <c r="H18" s="6" t="s">
        <v>24</v>
      </c>
      <c r="I18" s="8">
        <v>44297</v>
      </c>
      <c r="J18" s="7">
        <f ca="1">DATEDIF(Tableau1[[#This Row],[date recrutement]],TODAY(),"y")</f>
        <v>3</v>
      </c>
      <c r="K18" s="6" t="s">
        <v>25</v>
      </c>
      <c r="L18" s="9">
        <v>97000</v>
      </c>
    </row>
    <row r="19" spans="1:12" x14ac:dyDescent="0.25">
      <c r="A19" s="5" t="s">
        <v>96</v>
      </c>
      <c r="B19" s="6" t="s">
        <v>97</v>
      </c>
      <c r="C19" s="6" t="s">
        <v>98</v>
      </c>
      <c r="D19" s="7">
        <f ca="1">IF(Tableau1[[#This Row],[Naissance]]="",0,DATEDIF(Tableau1[[#This Row],[Naissance]],TODAY(),"y"))</f>
        <v>63</v>
      </c>
      <c r="E19" s="6" t="s">
        <v>48</v>
      </c>
      <c r="F19" s="6" t="s">
        <v>29</v>
      </c>
      <c r="G19" s="6" t="s">
        <v>23</v>
      </c>
      <c r="H19" s="6" t="s">
        <v>99</v>
      </c>
      <c r="I19" s="8">
        <v>37829</v>
      </c>
      <c r="J19" s="7">
        <f ca="1">DATEDIF(Tableau1[[#This Row],[date recrutement]],TODAY(),"y")</f>
        <v>20</v>
      </c>
      <c r="K19" s="6" t="s">
        <v>50</v>
      </c>
      <c r="L19" s="9">
        <v>95000</v>
      </c>
    </row>
    <row r="20" spans="1:12" x14ac:dyDescent="0.25">
      <c r="A20" s="5" t="s">
        <v>100</v>
      </c>
      <c r="B20" s="6" t="s">
        <v>101</v>
      </c>
      <c r="C20" s="6" t="s">
        <v>102</v>
      </c>
      <c r="D20" s="7">
        <f ca="1">IF(Tableau1[[#This Row],[Naissance]]="",0,DATEDIF(Tableau1[[#This Row],[Naissance]],TODAY(),"y"))</f>
        <v>58</v>
      </c>
      <c r="E20" s="6" t="s">
        <v>21</v>
      </c>
      <c r="F20" s="6" t="s">
        <v>38</v>
      </c>
      <c r="G20" s="6" t="s">
        <v>23</v>
      </c>
      <c r="H20" s="6" t="s">
        <v>39</v>
      </c>
      <c r="I20" s="8">
        <v>39376</v>
      </c>
      <c r="J20" s="7">
        <f ca="1">DATEDIF(Tableau1[[#This Row],[date recrutement]],TODAY(),"y")</f>
        <v>16</v>
      </c>
      <c r="K20" s="6" t="s">
        <v>50</v>
      </c>
      <c r="L20" s="9">
        <v>97000</v>
      </c>
    </row>
    <row r="21" spans="1:12" x14ac:dyDescent="0.25">
      <c r="A21" s="5" t="s">
        <v>103</v>
      </c>
      <c r="B21" s="6" t="s">
        <v>104</v>
      </c>
      <c r="C21" s="6" t="s">
        <v>105</v>
      </c>
      <c r="D21" s="7">
        <f ca="1">IF(Tableau1[[#This Row],[Naissance]]="",0,DATEDIF(Tableau1[[#This Row],[Naissance]],TODAY(),"y"))</f>
        <v>41</v>
      </c>
      <c r="E21" s="6" t="s">
        <v>48</v>
      </c>
      <c r="F21" s="6" t="s">
        <v>49</v>
      </c>
      <c r="G21" s="6" t="s">
        <v>23</v>
      </c>
      <c r="H21" s="6" t="s">
        <v>24</v>
      </c>
      <c r="I21" s="8">
        <v>38417</v>
      </c>
      <c r="J21" s="7">
        <f ca="1">DATEDIF(Tableau1[[#This Row],[date recrutement]],TODAY(),"y")</f>
        <v>19</v>
      </c>
      <c r="K21" s="6" t="s">
        <v>50</v>
      </c>
      <c r="L21" s="9">
        <v>103000</v>
      </c>
    </row>
    <row r="22" spans="1:12" x14ac:dyDescent="0.25">
      <c r="A22" s="5" t="s">
        <v>106</v>
      </c>
      <c r="B22" s="6" t="s">
        <v>107</v>
      </c>
      <c r="C22" s="6" t="s">
        <v>108</v>
      </c>
      <c r="D22" s="7">
        <f ca="1">IF(Tableau1[[#This Row],[Naissance]]="",0,DATEDIF(Tableau1[[#This Row],[Naissance]],TODAY(),"y"))</f>
        <v>19</v>
      </c>
      <c r="E22" s="6" t="s">
        <v>21</v>
      </c>
      <c r="F22" s="6" t="s">
        <v>22</v>
      </c>
      <c r="G22" s="6" t="s">
        <v>23</v>
      </c>
      <c r="H22" s="6" t="s">
        <v>24</v>
      </c>
      <c r="I22" s="8">
        <v>45379</v>
      </c>
      <c r="J22" s="7">
        <f ca="1">DATEDIF(Tableau1[[#This Row],[date recrutement]],TODAY(),"y")</f>
        <v>0</v>
      </c>
      <c r="K22" s="6" t="s">
        <v>25</v>
      </c>
      <c r="L22" s="9">
        <v>91000</v>
      </c>
    </row>
    <row r="23" spans="1:12" x14ac:dyDescent="0.25">
      <c r="A23" s="5" t="s">
        <v>109</v>
      </c>
      <c r="B23" s="6" t="s">
        <v>110</v>
      </c>
      <c r="C23" s="6" t="s">
        <v>111</v>
      </c>
      <c r="D23" s="7">
        <f ca="1">IF(Tableau1[[#This Row],[Naissance]]="",0,DATEDIF(Tableau1[[#This Row],[Naissance]],TODAY(),"y"))</f>
        <v>32</v>
      </c>
      <c r="E23" s="6" t="s">
        <v>21</v>
      </c>
      <c r="F23" s="6" t="s">
        <v>22</v>
      </c>
      <c r="G23" s="6" t="s">
        <v>23</v>
      </c>
      <c r="H23" s="6" t="s">
        <v>24</v>
      </c>
      <c r="I23" s="8">
        <v>45421</v>
      </c>
      <c r="J23" s="7">
        <f ca="1">DATEDIF(Tableau1[[#This Row],[date recrutement]],TODAY(),"y")</f>
        <v>0</v>
      </c>
      <c r="K23" s="6" t="s">
        <v>25</v>
      </c>
      <c r="L23" s="9">
        <v>101000</v>
      </c>
    </row>
    <row r="24" spans="1:12" x14ac:dyDescent="0.25">
      <c r="A24" s="5" t="s">
        <v>112</v>
      </c>
      <c r="B24" s="6" t="s">
        <v>113</v>
      </c>
      <c r="C24" s="6" t="s">
        <v>114</v>
      </c>
      <c r="D24" s="7">
        <f ca="1">IF(Tableau1[[#This Row],[Naissance]]="",0,DATEDIF(Tableau1[[#This Row],[Naissance]],TODAY(),"y"))</f>
        <v>57</v>
      </c>
      <c r="E24" s="6" t="s">
        <v>48</v>
      </c>
      <c r="F24" s="6" t="s">
        <v>92</v>
      </c>
      <c r="G24" s="6" t="s">
        <v>23</v>
      </c>
      <c r="H24" s="6" t="s">
        <v>24</v>
      </c>
      <c r="I24" s="8">
        <v>44292</v>
      </c>
      <c r="J24" s="7">
        <f ca="1">DATEDIF(Tableau1[[#This Row],[date recrutement]],TODAY(),"y")</f>
        <v>3</v>
      </c>
      <c r="K24" s="6" t="s">
        <v>80</v>
      </c>
      <c r="L24" s="9">
        <v>63000</v>
      </c>
    </row>
    <row r="25" spans="1:12" x14ac:dyDescent="0.25">
      <c r="A25" s="5" t="s">
        <v>115</v>
      </c>
      <c r="B25" s="6" t="s">
        <v>116</v>
      </c>
      <c r="C25" s="6" t="s">
        <v>117</v>
      </c>
      <c r="D25" s="7">
        <f ca="1">IF(Tableau1[[#This Row],[Naissance]]="",0,DATEDIF(Tableau1[[#This Row],[Naissance]],TODAY(),"y"))</f>
        <v>18</v>
      </c>
      <c r="E25" s="6" t="s">
        <v>21</v>
      </c>
      <c r="F25" s="6" t="s">
        <v>22</v>
      </c>
      <c r="G25" s="6" t="s">
        <v>23</v>
      </c>
      <c r="H25" s="6" t="s">
        <v>24</v>
      </c>
      <c r="I25" s="8">
        <v>45382</v>
      </c>
      <c r="J25" s="7">
        <f ca="1">DATEDIF(Tableau1[[#This Row],[date recrutement]],TODAY(),"y")</f>
        <v>0</v>
      </c>
      <c r="K25" s="6" t="s">
        <v>25</v>
      </c>
      <c r="L25" s="9">
        <v>143000</v>
      </c>
    </row>
    <row r="26" spans="1:12" x14ac:dyDescent="0.25">
      <c r="A26" s="5" t="s">
        <v>118</v>
      </c>
      <c r="B26" s="6" t="s">
        <v>119</v>
      </c>
      <c r="C26" s="6" t="s">
        <v>120</v>
      </c>
      <c r="D26" s="7">
        <f ca="1">IF(Tableau1[[#This Row],[Naissance]]="",0,DATEDIF(Tableau1[[#This Row],[Naissance]],TODAY(),"y"))</f>
        <v>43</v>
      </c>
      <c r="E26" s="6" t="s">
        <v>48</v>
      </c>
      <c r="F26" s="6" t="s">
        <v>49</v>
      </c>
      <c r="G26" s="6" t="s">
        <v>23</v>
      </c>
      <c r="H26" s="6" t="s">
        <v>24</v>
      </c>
      <c r="I26" s="8">
        <v>44298</v>
      </c>
      <c r="J26" s="7">
        <f ca="1">DATEDIF(Tableau1[[#This Row],[date recrutement]],TODAY(),"y")</f>
        <v>3</v>
      </c>
      <c r="K26" s="6" t="s">
        <v>25</v>
      </c>
      <c r="L26" s="9">
        <v>200000</v>
      </c>
    </row>
    <row r="27" spans="1:12" x14ac:dyDescent="0.25">
      <c r="A27" s="5" t="s">
        <v>121</v>
      </c>
      <c r="B27" s="6" t="s">
        <v>122</v>
      </c>
      <c r="C27" s="6" t="s">
        <v>123</v>
      </c>
      <c r="D27" s="7">
        <f ca="1">IF(Tableau1[[#This Row],[Naissance]]="",0,DATEDIF(Tableau1[[#This Row],[Naissance]],TODAY(),"y"))</f>
        <v>50</v>
      </c>
      <c r="E27" s="6" t="s">
        <v>48</v>
      </c>
      <c r="F27" s="6" t="s">
        <v>92</v>
      </c>
      <c r="G27" s="6" t="s">
        <v>23</v>
      </c>
      <c r="H27" s="6" t="s">
        <v>24</v>
      </c>
      <c r="I27" s="8">
        <v>39545</v>
      </c>
      <c r="J27" s="7">
        <f ca="1">DATEDIF(Tableau1[[#This Row],[date recrutement]],TODAY(),"y")</f>
        <v>16</v>
      </c>
      <c r="K27" s="6" t="s">
        <v>50</v>
      </c>
      <c r="L27" s="9">
        <v>215000</v>
      </c>
    </row>
    <row r="28" spans="1:12" x14ac:dyDescent="0.25">
      <c r="A28" s="5" t="s">
        <v>124</v>
      </c>
      <c r="B28" s="6" t="s">
        <v>125</v>
      </c>
      <c r="C28" s="6" t="s">
        <v>126</v>
      </c>
      <c r="D28" s="7">
        <f ca="1">IF(Tableau1[[#This Row],[Naissance]]="",0,DATEDIF(Tableau1[[#This Row],[Naissance]],TODAY(),"y"))</f>
        <v>26</v>
      </c>
      <c r="E28" s="6" t="s">
        <v>48</v>
      </c>
      <c r="F28" s="6" t="s">
        <v>22</v>
      </c>
      <c r="G28" s="6" t="s">
        <v>23</v>
      </c>
      <c r="H28" s="6" t="s">
        <v>24</v>
      </c>
      <c r="I28" s="8">
        <v>44885</v>
      </c>
      <c r="J28" s="7">
        <f ca="1">DATEDIF(Tableau1[[#This Row],[date recrutement]],TODAY(),"y")</f>
        <v>1</v>
      </c>
      <c r="K28" s="6" t="s">
        <v>25</v>
      </c>
      <c r="L28" s="9">
        <v>241000</v>
      </c>
    </row>
    <row r="29" spans="1:12" x14ac:dyDescent="0.25">
      <c r="A29" s="5" t="s">
        <v>127</v>
      </c>
      <c r="B29" s="6" t="s">
        <v>128</v>
      </c>
      <c r="C29" s="6" t="s">
        <v>129</v>
      </c>
      <c r="D29" s="7">
        <f ca="1">IF(Tableau1[[#This Row],[Naissance]]="",0,DATEDIF(Tableau1[[#This Row],[Naissance]],TODAY(),"y"))</f>
        <v>40</v>
      </c>
      <c r="E29" s="6" t="s">
        <v>48</v>
      </c>
      <c r="F29" s="6" t="s">
        <v>130</v>
      </c>
      <c r="G29" s="6" t="s">
        <v>62</v>
      </c>
      <c r="H29" s="6" t="s">
        <v>131</v>
      </c>
      <c r="I29" s="8">
        <v>44241</v>
      </c>
      <c r="J29" s="7">
        <f ca="1">DATEDIF(Tableau1[[#This Row],[date recrutement]],TODAY(),"y")</f>
        <v>3</v>
      </c>
      <c r="K29" s="6" t="s">
        <v>50</v>
      </c>
      <c r="L29" s="9">
        <v>149000</v>
      </c>
    </row>
    <row r="30" spans="1:12" x14ac:dyDescent="0.25">
      <c r="A30" s="5" t="s">
        <v>132</v>
      </c>
      <c r="B30" s="6" t="s">
        <v>133</v>
      </c>
      <c r="C30" s="6" t="s">
        <v>134</v>
      </c>
      <c r="D30" s="7">
        <f ca="1">IF(Tableau1[[#This Row],[Naissance]]="",0,DATEDIF(Tableau1[[#This Row],[Naissance]],TODAY(),"y"))</f>
        <v>24</v>
      </c>
      <c r="E30" s="6" t="s">
        <v>48</v>
      </c>
      <c r="F30" s="6" t="s">
        <v>22</v>
      </c>
      <c r="G30" s="6" t="s">
        <v>23</v>
      </c>
      <c r="H30" s="6" t="s">
        <v>135</v>
      </c>
      <c r="I30" s="8">
        <v>45161</v>
      </c>
      <c r="J30" s="7">
        <f ca="1">DATEDIF(Tableau1[[#This Row],[date recrutement]],TODAY(),"y")</f>
        <v>0</v>
      </c>
      <c r="K30" s="6" t="s">
        <v>25</v>
      </c>
      <c r="L30" s="9">
        <v>101000</v>
      </c>
    </row>
    <row r="31" spans="1:12" x14ac:dyDescent="0.25">
      <c r="A31" s="5" t="s">
        <v>136</v>
      </c>
      <c r="B31" s="6" t="s">
        <v>137</v>
      </c>
      <c r="C31" s="6" t="s">
        <v>138</v>
      </c>
      <c r="D31" s="7">
        <f ca="1">IF(Tableau1[[#This Row],[Naissance]]="",0,DATEDIF(Tableau1[[#This Row],[Naissance]],TODAY(),"y"))</f>
        <v>38</v>
      </c>
      <c r="E31" s="6" t="s">
        <v>21</v>
      </c>
      <c r="F31" s="6" t="s">
        <v>22</v>
      </c>
      <c r="G31" s="6" t="s">
        <v>23</v>
      </c>
      <c r="H31" s="6" t="s">
        <v>24</v>
      </c>
      <c r="I31" s="8">
        <v>43194</v>
      </c>
      <c r="J31" s="7">
        <f ca="1">DATEDIF(Tableau1[[#This Row],[date recrutement]],TODAY(),"y")</f>
        <v>6</v>
      </c>
      <c r="K31" s="6" t="s">
        <v>80</v>
      </c>
      <c r="L31" s="9">
        <v>61000</v>
      </c>
    </row>
    <row r="32" spans="1:12" x14ac:dyDescent="0.25">
      <c r="A32" s="5" t="s">
        <v>139</v>
      </c>
      <c r="B32" s="6" t="s">
        <v>140</v>
      </c>
      <c r="C32" s="6" t="s">
        <v>141</v>
      </c>
      <c r="D32" s="7">
        <f ca="1">IF(Tableau1[[#This Row],[Naissance]]="",0,DATEDIF(Tableau1[[#This Row],[Naissance]],TODAY(),"y"))</f>
        <v>39</v>
      </c>
      <c r="E32" s="6" t="s">
        <v>21</v>
      </c>
      <c r="F32" s="6" t="s">
        <v>77</v>
      </c>
      <c r="G32" s="6" t="s">
        <v>78</v>
      </c>
      <c r="H32" s="6" t="s">
        <v>63</v>
      </c>
      <c r="I32" s="8">
        <v>44381</v>
      </c>
      <c r="J32" s="7">
        <f ca="1">DATEDIF(Tableau1[[#This Row],[date recrutement]],TODAY(),"y")</f>
        <v>2</v>
      </c>
      <c r="K32" s="6" t="s">
        <v>50</v>
      </c>
      <c r="L32" s="9">
        <v>245000</v>
      </c>
    </row>
    <row r="33" spans="1:12" x14ac:dyDescent="0.25">
      <c r="A33" s="5" t="s">
        <v>142</v>
      </c>
      <c r="B33" s="6" t="s">
        <v>143</v>
      </c>
      <c r="C33" s="6" t="s">
        <v>144</v>
      </c>
      <c r="D33" s="7">
        <f ca="1">IF(Tableau1[[#This Row],[Naissance]]="",0,DATEDIF(Tableau1[[#This Row],[Naissance]],TODAY(),"y"))</f>
        <v>52</v>
      </c>
      <c r="E33" s="6" t="s">
        <v>21</v>
      </c>
      <c r="F33" s="6" t="s">
        <v>145</v>
      </c>
      <c r="G33" s="6" t="s">
        <v>23</v>
      </c>
      <c r="H33" s="6" t="s">
        <v>44</v>
      </c>
      <c r="I33" s="8">
        <v>37831</v>
      </c>
      <c r="J33" s="7">
        <f ca="1">DATEDIF(Tableau1[[#This Row],[date recrutement]],TODAY(),"y")</f>
        <v>20</v>
      </c>
      <c r="K33" s="6" t="s">
        <v>80</v>
      </c>
      <c r="L33" s="9">
        <v>62000</v>
      </c>
    </row>
    <row r="34" spans="1:12" x14ac:dyDescent="0.25">
      <c r="A34" s="5" t="s">
        <v>146</v>
      </c>
      <c r="B34" s="6" t="s">
        <v>147</v>
      </c>
      <c r="C34" s="8">
        <v>38011</v>
      </c>
      <c r="D34" s="7">
        <f ca="1">IF(Tableau1[[#This Row],[Naissance]]="",0,DATEDIF(Tableau1[[#This Row],[Naissance]],TODAY(),"y"))</f>
        <v>20</v>
      </c>
      <c r="E34" s="6" t="s">
        <v>21</v>
      </c>
      <c r="F34" s="6" t="s">
        <v>22</v>
      </c>
      <c r="G34" s="6" t="s">
        <v>23</v>
      </c>
      <c r="H34" s="6" t="s">
        <v>24</v>
      </c>
      <c r="I34" s="8">
        <v>45316</v>
      </c>
      <c r="J34" s="7">
        <f ca="1">DATEDIF(Tableau1[[#This Row],[date recrutement]],TODAY(),"y")</f>
        <v>0</v>
      </c>
      <c r="K34" s="6" t="s">
        <v>25</v>
      </c>
      <c r="L34" s="9">
        <v>140000</v>
      </c>
    </row>
    <row r="35" spans="1:12" x14ac:dyDescent="0.25">
      <c r="A35" s="5" t="s">
        <v>148</v>
      </c>
      <c r="B35" s="6" t="s">
        <v>149</v>
      </c>
      <c r="C35" s="6" t="s">
        <v>150</v>
      </c>
      <c r="D35" s="7">
        <f ca="1">IF(Tableau1[[#This Row],[Naissance]]="",0,DATEDIF(Tableau1[[#This Row],[Naissance]],TODAY(),"y"))</f>
        <v>40</v>
      </c>
      <c r="E35" s="6" t="s">
        <v>48</v>
      </c>
      <c r="F35" s="6" t="s">
        <v>92</v>
      </c>
      <c r="G35" s="6" t="s">
        <v>23</v>
      </c>
      <c r="H35" s="6" t="s">
        <v>24</v>
      </c>
      <c r="I35" s="8">
        <v>40449</v>
      </c>
      <c r="J35" s="7">
        <f ca="1">DATEDIF(Tableau1[[#This Row],[date recrutement]],TODAY(),"y")</f>
        <v>13</v>
      </c>
      <c r="K35" s="6" t="s">
        <v>25</v>
      </c>
      <c r="L35" s="9">
        <v>113000</v>
      </c>
    </row>
    <row r="36" spans="1:12" x14ac:dyDescent="0.25">
      <c r="A36" s="5" t="s">
        <v>151</v>
      </c>
      <c r="B36" s="6" t="s">
        <v>152</v>
      </c>
      <c r="C36" s="6" t="s">
        <v>153</v>
      </c>
      <c r="D36" s="7">
        <f ca="1">IF(Tableau1[[#This Row],[Naissance]]="",0,DATEDIF(Tableau1[[#This Row],[Naissance]],TODAY(),"y"))</f>
        <v>49</v>
      </c>
      <c r="E36" s="6" t="s">
        <v>48</v>
      </c>
      <c r="F36" s="6" t="s">
        <v>49</v>
      </c>
      <c r="G36" s="6" t="s">
        <v>23</v>
      </c>
      <c r="H36" s="6" t="s">
        <v>24</v>
      </c>
      <c r="I36" s="8">
        <v>35389</v>
      </c>
      <c r="J36" s="7">
        <f ca="1">DATEDIF(Tableau1[[#This Row],[date recrutement]],TODAY(),"y")</f>
        <v>27</v>
      </c>
      <c r="K36" s="6" t="s">
        <v>50</v>
      </c>
      <c r="L36" s="9">
        <v>217000</v>
      </c>
    </row>
    <row r="37" spans="1:12" x14ac:dyDescent="0.25">
      <c r="A37" s="5" t="s">
        <v>154</v>
      </c>
      <c r="B37" s="6" t="s">
        <v>155</v>
      </c>
      <c r="C37" s="6" t="s">
        <v>156</v>
      </c>
      <c r="D37" s="7">
        <f ca="1">IF(Tableau1[[#This Row],[Naissance]]="",0,DATEDIF(Tableau1[[#This Row],[Naissance]],TODAY(),"y"))</f>
        <v>51</v>
      </c>
      <c r="E37" s="6" t="s">
        <v>48</v>
      </c>
      <c r="F37" s="6" t="s">
        <v>49</v>
      </c>
      <c r="G37" s="6" t="s">
        <v>23</v>
      </c>
      <c r="H37" s="6" t="s">
        <v>24</v>
      </c>
      <c r="I37" s="8">
        <v>34609</v>
      </c>
      <c r="J37" s="7">
        <f ca="1">DATEDIF(Tableau1[[#This Row],[date recrutement]],TODAY(),"y")</f>
        <v>29</v>
      </c>
      <c r="K37" s="6" t="s">
        <v>50</v>
      </c>
      <c r="L37" s="9">
        <v>178000</v>
      </c>
    </row>
    <row r="38" spans="1:12" x14ac:dyDescent="0.25">
      <c r="A38" s="5" t="s">
        <v>157</v>
      </c>
      <c r="B38" s="6" t="s">
        <v>158</v>
      </c>
      <c r="C38" s="6" t="s">
        <v>159</v>
      </c>
      <c r="D38" s="7">
        <f ca="1">IF(Tableau1[[#This Row],[Naissance]]="",0,DATEDIF(Tableau1[[#This Row],[Naissance]],TODAY(),"y"))</f>
        <v>55</v>
      </c>
      <c r="E38" s="6" t="s">
        <v>21</v>
      </c>
      <c r="F38" s="6" t="s">
        <v>160</v>
      </c>
      <c r="G38" s="6" t="s">
        <v>23</v>
      </c>
      <c r="H38" s="6" t="s">
        <v>99</v>
      </c>
      <c r="I38" s="8">
        <v>45362</v>
      </c>
      <c r="J38" s="7">
        <f ca="1">DATEDIF(Tableau1[[#This Row],[date recrutement]],TODAY(),"y")</f>
        <v>0</v>
      </c>
      <c r="K38" s="6" t="s">
        <v>25</v>
      </c>
      <c r="L38" s="9">
        <v>162000</v>
      </c>
    </row>
    <row r="39" spans="1:12" x14ac:dyDescent="0.25">
      <c r="A39" s="5" t="s">
        <v>161</v>
      </c>
      <c r="B39" s="6" t="s">
        <v>162</v>
      </c>
      <c r="C39" s="6" t="s">
        <v>163</v>
      </c>
      <c r="D39" s="7">
        <f ca="1">IF(Tableau1[[#This Row],[Naissance]]="",0,DATEDIF(Tableau1[[#This Row],[Naissance]],TODAY(),"y"))</f>
        <v>51</v>
      </c>
      <c r="E39" s="6" t="s">
        <v>21</v>
      </c>
      <c r="F39" s="6" t="s">
        <v>38</v>
      </c>
      <c r="G39" s="6" t="s">
        <v>23</v>
      </c>
      <c r="H39" s="6" t="s">
        <v>39</v>
      </c>
      <c r="I39" s="8">
        <v>42648</v>
      </c>
      <c r="J39" s="7">
        <f ca="1">DATEDIF(Tableau1[[#This Row],[date recrutement]],TODAY(),"y")</f>
        <v>7</v>
      </c>
      <c r="K39" s="6" t="s">
        <v>25</v>
      </c>
      <c r="L39" s="9">
        <v>199000</v>
      </c>
    </row>
    <row r="40" spans="1:12" x14ac:dyDescent="0.25">
      <c r="A40" s="5" t="s">
        <v>164</v>
      </c>
      <c r="B40" s="6" t="s">
        <v>165</v>
      </c>
      <c r="C40" s="6" t="s">
        <v>166</v>
      </c>
      <c r="D40" s="7">
        <f ca="1">IF(Tableau1[[#This Row],[Naissance]]="",0,DATEDIF(Tableau1[[#This Row],[Naissance]],TODAY(),"y"))</f>
        <v>42</v>
      </c>
      <c r="E40" s="6" t="s">
        <v>48</v>
      </c>
      <c r="F40" s="6" t="s">
        <v>22</v>
      </c>
      <c r="G40" s="6" t="s">
        <v>23</v>
      </c>
      <c r="H40" s="6" t="s">
        <v>24</v>
      </c>
      <c r="I40" s="8">
        <v>44812</v>
      </c>
      <c r="J40" s="7">
        <f ca="1">DATEDIF(Tableau1[[#This Row],[date recrutement]],TODAY(),"y")</f>
        <v>1</v>
      </c>
      <c r="K40" s="6" t="s">
        <v>25</v>
      </c>
      <c r="L40" s="9">
        <v>114000</v>
      </c>
    </row>
    <row r="41" spans="1:12" x14ac:dyDescent="0.25">
      <c r="A41" s="5" t="s">
        <v>167</v>
      </c>
      <c r="B41" s="6" t="s">
        <v>168</v>
      </c>
      <c r="C41" s="6" t="s">
        <v>169</v>
      </c>
      <c r="D41" s="7">
        <f ca="1">IF(Tableau1[[#This Row],[Naissance]]="",0,DATEDIF(Tableau1[[#This Row],[Naissance]],TODAY(),"y"))</f>
        <v>48</v>
      </c>
      <c r="E41" s="6" t="s">
        <v>21</v>
      </c>
      <c r="F41" s="6" t="s">
        <v>160</v>
      </c>
      <c r="G41" s="6" t="s">
        <v>23</v>
      </c>
      <c r="H41" s="6" t="s">
        <v>99</v>
      </c>
      <c r="I41" s="8">
        <v>44995</v>
      </c>
      <c r="J41" s="7">
        <f ca="1">DATEDIF(Tableau1[[#This Row],[date recrutement]],TODAY(),"y")</f>
        <v>1</v>
      </c>
      <c r="K41" s="6" t="s">
        <v>25</v>
      </c>
      <c r="L41" s="9">
        <v>168000</v>
      </c>
    </row>
    <row r="42" spans="1:12" x14ac:dyDescent="0.25">
      <c r="A42" s="5" t="s">
        <v>170</v>
      </c>
      <c r="B42" s="6" t="s">
        <v>171</v>
      </c>
      <c r="C42" s="6" t="s">
        <v>172</v>
      </c>
      <c r="D42" s="7">
        <f ca="1">IF(Tableau1[[#This Row],[Naissance]]="",0,DATEDIF(Tableau1[[#This Row],[Naissance]],TODAY(),"y"))</f>
        <v>19</v>
      </c>
      <c r="E42" s="6" t="s">
        <v>48</v>
      </c>
      <c r="F42" s="6" t="s">
        <v>22</v>
      </c>
      <c r="G42" s="6" t="s">
        <v>23</v>
      </c>
      <c r="H42" s="6" t="s">
        <v>24</v>
      </c>
      <c r="I42" s="8">
        <v>45351</v>
      </c>
      <c r="J42" s="7">
        <f ca="1">DATEDIF(Tableau1[[#This Row],[date recrutement]],TODAY(),"y")</f>
        <v>0</v>
      </c>
      <c r="K42" s="6" t="s">
        <v>25</v>
      </c>
      <c r="L42" s="9">
        <v>211000</v>
      </c>
    </row>
    <row r="43" spans="1:12" x14ac:dyDescent="0.25">
      <c r="A43" s="5" t="s">
        <v>173</v>
      </c>
      <c r="B43" s="6" t="s">
        <v>174</v>
      </c>
      <c r="C43" s="6" t="s">
        <v>175</v>
      </c>
      <c r="D43" s="7">
        <f ca="1">IF(Tableau1[[#This Row],[Naissance]]="",0,DATEDIF(Tableau1[[#This Row],[Naissance]],TODAY(),"y"))</f>
        <v>35</v>
      </c>
      <c r="E43" s="6" t="s">
        <v>48</v>
      </c>
      <c r="F43" s="6" t="s">
        <v>22</v>
      </c>
      <c r="G43" s="6" t="s">
        <v>23</v>
      </c>
      <c r="H43" s="6" t="s">
        <v>24</v>
      </c>
      <c r="I43" s="8">
        <v>45328</v>
      </c>
      <c r="J43" s="7">
        <f ca="1">DATEDIF(Tableau1[[#This Row],[date recrutement]],TODAY(),"y")</f>
        <v>0</v>
      </c>
      <c r="K43" s="6" t="s">
        <v>25</v>
      </c>
      <c r="L43" s="9">
        <v>224000</v>
      </c>
    </row>
    <row r="44" spans="1:12" x14ac:dyDescent="0.25">
      <c r="A44" s="5" t="s">
        <v>176</v>
      </c>
      <c r="B44" s="6" t="s">
        <v>177</v>
      </c>
      <c r="C44" s="6" t="s">
        <v>178</v>
      </c>
      <c r="D44" s="7">
        <f ca="1">IF(Tableau1[[#This Row],[Naissance]]="",0,DATEDIF(Tableau1[[#This Row],[Naissance]],TODAY(),"y"))</f>
        <v>51</v>
      </c>
      <c r="E44" s="6" t="s">
        <v>21</v>
      </c>
      <c r="F44" s="6" t="s">
        <v>179</v>
      </c>
      <c r="G44" s="6" t="s">
        <v>62</v>
      </c>
      <c r="H44" s="6" t="s">
        <v>24</v>
      </c>
      <c r="I44" s="8">
        <v>39490</v>
      </c>
      <c r="J44" s="7">
        <f ca="1">DATEDIF(Tableau1[[#This Row],[date recrutement]],TODAY(),"y")</f>
        <v>16</v>
      </c>
      <c r="K44" s="6" t="s">
        <v>50</v>
      </c>
      <c r="L44" s="9">
        <v>82000</v>
      </c>
    </row>
    <row r="45" spans="1:12" x14ac:dyDescent="0.25">
      <c r="A45" s="5" t="s">
        <v>180</v>
      </c>
      <c r="B45" s="6" t="s">
        <v>181</v>
      </c>
      <c r="C45" s="6" t="s">
        <v>182</v>
      </c>
      <c r="D45" s="7">
        <f ca="1">IF(Tableau1[[#This Row],[Naissance]]="",0,DATEDIF(Tableau1[[#This Row],[Naissance]],TODAY(),"y"))</f>
        <v>37</v>
      </c>
      <c r="E45" s="6" t="s">
        <v>21</v>
      </c>
      <c r="F45" s="6" t="s">
        <v>22</v>
      </c>
      <c r="G45" s="6" t="s">
        <v>62</v>
      </c>
      <c r="H45" s="6" t="s">
        <v>24</v>
      </c>
      <c r="I45" s="8">
        <v>44287</v>
      </c>
      <c r="J45" s="7">
        <f ca="1">DATEDIF(Tableau1[[#This Row],[date recrutement]],TODAY(),"y")</f>
        <v>3</v>
      </c>
      <c r="K45" s="6" t="s">
        <v>25</v>
      </c>
      <c r="L45" s="9">
        <v>244000</v>
      </c>
    </row>
    <row r="46" spans="1:12" x14ac:dyDescent="0.25">
      <c r="A46" s="5" t="s">
        <v>183</v>
      </c>
      <c r="B46" s="6" t="s">
        <v>184</v>
      </c>
      <c r="C46" s="6" t="s">
        <v>185</v>
      </c>
      <c r="D46" s="7">
        <f ca="1">IF(Tableau1[[#This Row],[Naissance]]="",0,DATEDIF(Tableau1[[#This Row],[Naissance]],TODAY(),"y"))</f>
        <v>29</v>
      </c>
      <c r="E46" s="6" t="s">
        <v>21</v>
      </c>
      <c r="F46" s="6" t="s">
        <v>160</v>
      </c>
      <c r="G46" s="6" t="s">
        <v>23</v>
      </c>
      <c r="H46" s="6" t="s">
        <v>99</v>
      </c>
      <c r="I46" s="8">
        <v>45140</v>
      </c>
      <c r="J46" s="7">
        <f ca="1">DATEDIF(Tableau1[[#This Row],[date recrutement]],TODAY(),"y")</f>
        <v>0</v>
      </c>
      <c r="K46" s="6" t="s">
        <v>25</v>
      </c>
      <c r="L46" s="9">
        <v>156000</v>
      </c>
    </row>
    <row r="47" spans="1:12" x14ac:dyDescent="0.25">
      <c r="A47" s="5" t="s">
        <v>186</v>
      </c>
      <c r="B47" s="6" t="s">
        <v>187</v>
      </c>
      <c r="C47" s="6" t="s">
        <v>188</v>
      </c>
      <c r="D47" s="7">
        <f ca="1">IF(Tableau1[[#This Row],[Naissance]]="",0,DATEDIF(Tableau1[[#This Row],[Naissance]],TODAY(),"y"))</f>
        <v>64</v>
      </c>
      <c r="E47" s="6" t="s">
        <v>21</v>
      </c>
      <c r="F47" s="6" t="s">
        <v>189</v>
      </c>
      <c r="G47" s="6" t="s">
        <v>78</v>
      </c>
      <c r="H47" s="6" t="s">
        <v>131</v>
      </c>
      <c r="I47" s="8">
        <v>38384</v>
      </c>
      <c r="J47" s="7">
        <f ca="1">DATEDIF(Tableau1[[#This Row],[date recrutement]],TODAY(),"y")</f>
        <v>19</v>
      </c>
      <c r="K47" s="6" t="s">
        <v>50</v>
      </c>
      <c r="L47" s="9">
        <v>116000</v>
      </c>
    </row>
    <row r="48" spans="1:12" x14ac:dyDescent="0.25">
      <c r="A48" s="5" t="s">
        <v>190</v>
      </c>
      <c r="B48" s="6" t="s">
        <v>191</v>
      </c>
      <c r="C48" s="6" t="s">
        <v>192</v>
      </c>
      <c r="D48" s="7">
        <f ca="1">IF(Tableau1[[#This Row],[Naissance]]="",0,DATEDIF(Tableau1[[#This Row],[Naissance]],TODAY(),"y"))</f>
        <v>35</v>
      </c>
      <c r="E48" s="6" t="s">
        <v>21</v>
      </c>
      <c r="F48" s="6" t="s">
        <v>193</v>
      </c>
      <c r="G48" s="6" t="s">
        <v>62</v>
      </c>
      <c r="H48" s="6" t="s">
        <v>63</v>
      </c>
      <c r="I48" s="8">
        <v>45082</v>
      </c>
      <c r="J48" s="7">
        <f ca="1">DATEDIF(Tableau1[[#This Row],[date recrutement]],TODAY(),"y")</f>
        <v>1</v>
      </c>
      <c r="K48" s="6" t="s">
        <v>25</v>
      </c>
      <c r="L48" s="9">
        <v>184000</v>
      </c>
    </row>
    <row r="49" spans="1:12" x14ac:dyDescent="0.25">
      <c r="A49" s="5" t="s">
        <v>194</v>
      </c>
      <c r="B49" s="6" t="s">
        <v>195</v>
      </c>
      <c r="C49" s="6" t="s">
        <v>196</v>
      </c>
      <c r="D49" s="7">
        <f ca="1">IF(Tableau1[[#This Row],[Naissance]]="",0,DATEDIF(Tableau1[[#This Row],[Naissance]],TODAY(),"y"))</f>
        <v>28</v>
      </c>
      <c r="E49" s="6" t="s">
        <v>21</v>
      </c>
      <c r="F49" s="6" t="s">
        <v>22</v>
      </c>
      <c r="G49" s="6" t="s">
        <v>23</v>
      </c>
      <c r="H49" s="6" t="s">
        <v>24</v>
      </c>
      <c r="I49" s="8">
        <v>45418</v>
      </c>
      <c r="J49" s="7">
        <f ca="1">DATEDIF(Tableau1[[#This Row],[date recrutement]],TODAY(),"y")</f>
        <v>0</v>
      </c>
      <c r="K49" s="6" t="s">
        <v>25</v>
      </c>
      <c r="L49" s="9">
        <v>191000</v>
      </c>
    </row>
    <row r="50" spans="1:12" x14ac:dyDescent="0.25">
      <c r="A50" s="5" t="s">
        <v>197</v>
      </c>
      <c r="B50" s="6" t="s">
        <v>198</v>
      </c>
      <c r="C50" s="6" t="s">
        <v>199</v>
      </c>
      <c r="D50" s="7">
        <f ca="1">IF(Tableau1[[#This Row],[Naissance]]="",0,DATEDIF(Tableau1[[#This Row],[Naissance]],TODAY(),"y"))</f>
        <v>30</v>
      </c>
      <c r="E50" s="6" t="s">
        <v>21</v>
      </c>
      <c r="F50" s="6" t="s">
        <v>22</v>
      </c>
      <c r="G50" s="6" t="s">
        <v>23</v>
      </c>
      <c r="H50" s="6" t="s">
        <v>24</v>
      </c>
      <c r="I50" s="8">
        <v>45316</v>
      </c>
      <c r="J50" s="7">
        <f ca="1">DATEDIF(Tableau1[[#This Row],[date recrutement]],TODAY(),"y")</f>
        <v>0</v>
      </c>
      <c r="K50" s="6" t="s">
        <v>25</v>
      </c>
      <c r="L50" s="9">
        <v>111000</v>
      </c>
    </row>
    <row r="51" spans="1:12" x14ac:dyDescent="0.25">
      <c r="A51" s="5" t="s">
        <v>200</v>
      </c>
      <c r="B51" s="6" t="s">
        <v>201</v>
      </c>
      <c r="C51" s="6" t="s">
        <v>202</v>
      </c>
      <c r="D51" s="7">
        <f ca="1">IF(Tableau1[[#This Row],[Naissance]]="",0,DATEDIF(Tableau1[[#This Row],[Naissance]],TODAY(),"y"))</f>
        <v>37</v>
      </c>
      <c r="E51" s="6" t="s">
        <v>21</v>
      </c>
      <c r="F51" s="6" t="s">
        <v>203</v>
      </c>
      <c r="G51" s="6" t="s">
        <v>62</v>
      </c>
      <c r="H51" s="6" t="s">
        <v>204</v>
      </c>
      <c r="I51" s="8">
        <v>45375</v>
      </c>
      <c r="J51" s="7">
        <f ca="1">DATEDIF(Tableau1[[#This Row],[date recrutement]],TODAY(),"y")</f>
        <v>0</v>
      </c>
      <c r="K51" s="6" t="s">
        <v>25</v>
      </c>
      <c r="L51" s="9">
        <v>98000</v>
      </c>
    </row>
    <row r="52" spans="1:12" x14ac:dyDescent="0.25">
      <c r="A52" s="5" t="s">
        <v>205</v>
      </c>
      <c r="B52" s="6" t="s">
        <v>206</v>
      </c>
      <c r="C52" s="6" t="s">
        <v>207</v>
      </c>
      <c r="D52" s="7">
        <f ca="1">IF(Tableau1[[#This Row],[Naissance]]="",0,DATEDIF(Tableau1[[#This Row],[Naissance]],TODAY(),"y"))</f>
        <v>46</v>
      </c>
      <c r="E52" s="6" t="s">
        <v>21</v>
      </c>
      <c r="F52" s="6" t="s">
        <v>208</v>
      </c>
      <c r="G52" s="6" t="s">
        <v>23</v>
      </c>
      <c r="H52" s="6" t="s">
        <v>99</v>
      </c>
      <c r="I52" s="8">
        <v>42347</v>
      </c>
      <c r="J52" s="7">
        <f ca="1">DATEDIF(Tableau1[[#This Row],[date recrutement]],TODAY(),"y")</f>
        <v>8</v>
      </c>
      <c r="K52" s="6" t="s">
        <v>25</v>
      </c>
      <c r="L52" s="9">
        <v>145000</v>
      </c>
    </row>
    <row r="53" spans="1:12" x14ac:dyDescent="0.25">
      <c r="A53" s="5" t="s">
        <v>209</v>
      </c>
      <c r="B53" s="6" t="s">
        <v>210</v>
      </c>
      <c r="C53" s="6" t="s">
        <v>211</v>
      </c>
      <c r="D53" s="7">
        <f ca="1">IF(Tableau1[[#This Row],[Naissance]]="",0,DATEDIF(Tableau1[[#This Row],[Naissance]],TODAY(),"y"))</f>
        <v>33</v>
      </c>
      <c r="E53" s="6" t="s">
        <v>21</v>
      </c>
      <c r="F53" s="6" t="s">
        <v>212</v>
      </c>
      <c r="G53" s="6" t="s">
        <v>62</v>
      </c>
      <c r="H53" s="6" t="s">
        <v>24</v>
      </c>
      <c r="I53" s="8">
        <v>44539</v>
      </c>
      <c r="J53" s="7">
        <f ca="1">DATEDIF(Tableau1[[#This Row],[date recrutement]],TODAY(),"y")</f>
        <v>2</v>
      </c>
      <c r="K53" s="6" t="s">
        <v>25</v>
      </c>
      <c r="L53" s="9">
        <v>70000</v>
      </c>
    </row>
    <row r="54" spans="1:12" x14ac:dyDescent="0.25">
      <c r="A54" s="5" t="s">
        <v>213</v>
      </c>
      <c r="B54" s="6" t="s">
        <v>214</v>
      </c>
      <c r="C54" s="6" t="s">
        <v>215</v>
      </c>
      <c r="D54" s="7">
        <f ca="1">IF(Tableau1[[#This Row],[Naissance]]="",0,DATEDIF(Tableau1[[#This Row],[Naissance]],TODAY(),"y"))</f>
        <v>28</v>
      </c>
      <c r="E54" s="6" t="s">
        <v>21</v>
      </c>
      <c r="F54" s="6" t="s">
        <v>22</v>
      </c>
      <c r="G54" s="6" t="s">
        <v>23</v>
      </c>
      <c r="H54" s="6" t="s">
        <v>24</v>
      </c>
      <c r="I54" s="8">
        <v>45342</v>
      </c>
      <c r="J54" s="7">
        <f ca="1">DATEDIF(Tableau1[[#This Row],[date recrutement]],TODAY(),"y")</f>
        <v>0</v>
      </c>
      <c r="K54" s="6" t="s">
        <v>25</v>
      </c>
      <c r="L54" s="9">
        <v>183000</v>
      </c>
    </row>
    <row r="55" spans="1:12" x14ac:dyDescent="0.25">
      <c r="A55" s="5" t="s">
        <v>216</v>
      </c>
      <c r="B55" s="6" t="s">
        <v>217</v>
      </c>
      <c r="C55" s="6" t="s">
        <v>218</v>
      </c>
      <c r="D55" s="7">
        <f ca="1">IF(Tableau1[[#This Row],[Naissance]]="",0,DATEDIF(Tableau1[[#This Row],[Naissance]],TODAY(),"y"))</f>
        <v>50</v>
      </c>
      <c r="E55" s="6" t="s">
        <v>48</v>
      </c>
      <c r="F55" s="6" t="s">
        <v>49</v>
      </c>
      <c r="G55" s="6" t="s">
        <v>23</v>
      </c>
      <c r="H55" s="6" t="s">
        <v>24</v>
      </c>
      <c r="I55" s="8">
        <v>35676</v>
      </c>
      <c r="J55" s="7">
        <f ca="1">DATEDIF(Tableau1[[#This Row],[date recrutement]],TODAY(),"y")</f>
        <v>26</v>
      </c>
      <c r="K55" s="6" t="s">
        <v>50</v>
      </c>
      <c r="L55" s="9">
        <v>114000</v>
      </c>
    </row>
    <row r="56" spans="1:12" x14ac:dyDescent="0.25">
      <c r="A56" s="5" t="s">
        <v>219</v>
      </c>
      <c r="B56" s="6" t="s">
        <v>220</v>
      </c>
      <c r="C56" s="6" t="s">
        <v>221</v>
      </c>
      <c r="D56" s="7">
        <f ca="1">IF(Tableau1[[#This Row],[Naissance]]="",0,DATEDIF(Tableau1[[#This Row],[Naissance]],TODAY(),"y"))</f>
        <v>48</v>
      </c>
      <c r="E56" s="6" t="s">
        <v>48</v>
      </c>
      <c r="F56" s="6" t="s">
        <v>49</v>
      </c>
      <c r="G56" s="6" t="s">
        <v>23</v>
      </c>
      <c r="H56" s="6" t="s">
        <v>24</v>
      </c>
      <c r="I56" s="8">
        <v>44293</v>
      </c>
      <c r="J56" s="7">
        <f ca="1">DATEDIF(Tableau1[[#This Row],[date recrutement]],TODAY(),"y")</f>
        <v>3</v>
      </c>
      <c r="K56" s="6" t="s">
        <v>25</v>
      </c>
      <c r="L56" s="9">
        <v>87000</v>
      </c>
    </row>
    <row r="57" spans="1:12" x14ac:dyDescent="0.25">
      <c r="A57" s="5" t="s">
        <v>222</v>
      </c>
      <c r="B57" s="6" t="s">
        <v>223</v>
      </c>
      <c r="C57" s="6" t="s">
        <v>224</v>
      </c>
      <c r="D57" s="7">
        <f ca="1">IF(Tableau1[[#This Row],[Naissance]]="",0,DATEDIF(Tableau1[[#This Row],[Naissance]],TODAY(),"y"))</f>
        <v>50</v>
      </c>
      <c r="E57" s="6" t="s">
        <v>21</v>
      </c>
      <c r="F57" s="6" t="s">
        <v>49</v>
      </c>
      <c r="G57" s="6" t="s">
        <v>23</v>
      </c>
      <c r="H57" s="6" t="s">
        <v>24</v>
      </c>
      <c r="I57" s="8">
        <v>35637</v>
      </c>
      <c r="J57" s="7">
        <f ca="1">DATEDIF(Tableau1[[#This Row],[date recrutement]],TODAY(),"y")</f>
        <v>26</v>
      </c>
      <c r="K57" s="6" t="s">
        <v>50</v>
      </c>
      <c r="L57" s="9">
        <v>106000</v>
      </c>
    </row>
    <row r="58" spans="1:12" x14ac:dyDescent="0.25">
      <c r="A58" s="5" t="s">
        <v>225</v>
      </c>
      <c r="B58" s="6" t="s">
        <v>226</v>
      </c>
      <c r="C58" s="6" t="s">
        <v>227</v>
      </c>
      <c r="D58" s="7">
        <f ca="1">IF(Tableau1[[#This Row],[Naissance]]="",0,DATEDIF(Tableau1[[#This Row],[Naissance]],TODAY(),"y"))</f>
        <v>35</v>
      </c>
      <c r="E58" s="6" t="s">
        <v>21</v>
      </c>
      <c r="F58" s="6" t="s">
        <v>228</v>
      </c>
      <c r="G58" s="6" t="s">
        <v>78</v>
      </c>
      <c r="H58" s="6" t="s">
        <v>204</v>
      </c>
      <c r="I58" s="8">
        <v>45264</v>
      </c>
      <c r="J58" s="7">
        <f ca="1">DATEDIF(Tableau1[[#This Row],[date recrutement]],TODAY(),"y")</f>
        <v>0</v>
      </c>
      <c r="K58" s="6" t="s">
        <v>50</v>
      </c>
      <c r="L58" s="9">
        <v>215000</v>
      </c>
    </row>
    <row r="59" spans="1:12" x14ac:dyDescent="0.25">
      <c r="A59" s="5" t="s">
        <v>229</v>
      </c>
      <c r="B59" s="6" t="s">
        <v>230</v>
      </c>
      <c r="C59" s="6" t="s">
        <v>231</v>
      </c>
      <c r="D59" s="7">
        <f ca="1">IF(Tableau1[[#This Row],[Naissance]]="",0,DATEDIF(Tableau1[[#This Row],[Naissance]],TODAY(),"y"))</f>
        <v>26</v>
      </c>
      <c r="E59" s="6" t="s">
        <v>21</v>
      </c>
      <c r="F59" s="6" t="s">
        <v>232</v>
      </c>
      <c r="G59" s="6" t="s">
        <v>62</v>
      </c>
      <c r="H59" s="6" t="s">
        <v>63</v>
      </c>
      <c r="I59" s="8">
        <v>45334</v>
      </c>
      <c r="J59" s="7">
        <f ca="1">DATEDIF(Tableau1[[#This Row],[date recrutement]],TODAY(),"y")</f>
        <v>0</v>
      </c>
      <c r="K59" s="6" t="s">
        <v>25</v>
      </c>
      <c r="L59" s="9">
        <v>96000</v>
      </c>
    </row>
    <row r="60" spans="1:12" x14ac:dyDescent="0.25">
      <c r="A60" s="5" t="s">
        <v>233</v>
      </c>
      <c r="B60" s="6" t="s">
        <v>234</v>
      </c>
      <c r="C60" s="6" t="s">
        <v>235</v>
      </c>
      <c r="D60" s="7">
        <f ca="1">IF(Tableau1[[#This Row],[Naissance]]="",0,DATEDIF(Tableau1[[#This Row],[Naissance]],TODAY(),"y"))</f>
        <v>26</v>
      </c>
      <c r="E60" s="6" t="s">
        <v>48</v>
      </c>
      <c r="F60" s="6" t="s">
        <v>22</v>
      </c>
      <c r="G60" s="6" t="s">
        <v>23</v>
      </c>
      <c r="H60" s="6" t="s">
        <v>24</v>
      </c>
      <c r="I60" s="8">
        <v>44325</v>
      </c>
      <c r="J60" s="7">
        <f ca="1">DATEDIF(Tableau1[[#This Row],[date recrutement]],TODAY(),"y")</f>
        <v>3</v>
      </c>
      <c r="K60" s="6" t="s">
        <v>80</v>
      </c>
      <c r="L60" s="9">
        <v>67000</v>
      </c>
    </row>
    <row r="61" spans="1:12" x14ac:dyDescent="0.25">
      <c r="A61" s="5" t="s">
        <v>236</v>
      </c>
      <c r="B61" s="6" t="s">
        <v>237</v>
      </c>
      <c r="C61" s="6" t="s">
        <v>238</v>
      </c>
      <c r="D61" s="7">
        <f ca="1">IF(Tableau1[[#This Row],[Naissance]]="",0,DATEDIF(Tableau1[[#This Row],[Naissance]],TODAY(),"y"))</f>
        <v>26</v>
      </c>
      <c r="E61" s="6" t="s">
        <v>21</v>
      </c>
      <c r="F61" s="6" t="s">
        <v>239</v>
      </c>
      <c r="G61" s="6" t="s">
        <v>23</v>
      </c>
      <c r="H61" s="6" t="s">
        <v>44</v>
      </c>
      <c r="I61" s="8">
        <v>43500</v>
      </c>
      <c r="J61" s="7">
        <f ca="1">DATEDIF(Tableau1[[#This Row],[date recrutement]],TODAY(),"y")</f>
        <v>5</v>
      </c>
      <c r="K61" s="6" t="s">
        <v>80</v>
      </c>
      <c r="L61" s="9">
        <v>50000</v>
      </c>
    </row>
    <row r="62" spans="1:12" x14ac:dyDescent="0.25">
      <c r="A62" s="5" t="s">
        <v>240</v>
      </c>
      <c r="B62" s="6" t="s">
        <v>241</v>
      </c>
      <c r="C62" s="6" t="s">
        <v>242</v>
      </c>
      <c r="D62" s="7">
        <f ca="1">IF(Tableau1[[#This Row],[Naissance]]="",0,DATEDIF(Tableau1[[#This Row],[Naissance]],TODAY(),"y"))</f>
        <v>42</v>
      </c>
      <c r="E62" s="6" t="s">
        <v>48</v>
      </c>
      <c r="F62" s="6" t="s">
        <v>243</v>
      </c>
      <c r="G62" s="6" t="s">
        <v>62</v>
      </c>
      <c r="H62" s="6" t="s">
        <v>135</v>
      </c>
      <c r="I62" s="8">
        <v>40268</v>
      </c>
      <c r="J62" s="7">
        <f ca="1">DATEDIF(Tableau1[[#This Row],[date recrutement]],TODAY(),"y")</f>
        <v>14</v>
      </c>
      <c r="K62" s="6" t="s">
        <v>50</v>
      </c>
      <c r="L62" s="9">
        <v>160000</v>
      </c>
    </row>
    <row r="63" spans="1:12" x14ac:dyDescent="0.25">
      <c r="A63" s="5" t="s">
        <v>244</v>
      </c>
      <c r="B63" s="6" t="s">
        <v>245</v>
      </c>
      <c r="C63" s="6" t="s">
        <v>246</v>
      </c>
      <c r="D63" s="7">
        <f ca="1">IF(Tableau1[[#This Row],[Naissance]]="",0,DATEDIF(Tableau1[[#This Row],[Naissance]],TODAY(),"y"))</f>
        <v>30</v>
      </c>
      <c r="E63" s="6" t="s">
        <v>21</v>
      </c>
      <c r="F63" s="6" t="s">
        <v>247</v>
      </c>
      <c r="G63" s="6" t="s">
        <v>62</v>
      </c>
      <c r="H63" s="6" t="s">
        <v>63</v>
      </c>
      <c r="I63" s="8">
        <v>45256</v>
      </c>
      <c r="J63" s="7">
        <f ca="1">DATEDIF(Tableau1[[#This Row],[date recrutement]],TODAY(),"y")</f>
        <v>0</v>
      </c>
      <c r="K63" s="6" t="s">
        <v>25</v>
      </c>
      <c r="L63" s="9">
        <v>207000</v>
      </c>
    </row>
    <row r="64" spans="1:12" x14ac:dyDescent="0.25">
      <c r="A64" s="5" t="s">
        <v>248</v>
      </c>
      <c r="B64" s="6" t="s">
        <v>249</v>
      </c>
      <c r="C64" s="6" t="s">
        <v>250</v>
      </c>
      <c r="D64" s="7">
        <f ca="1">IF(Tableau1[[#This Row],[Naissance]]="",0,DATEDIF(Tableau1[[#This Row],[Naissance]],TODAY(),"y"))</f>
        <v>52</v>
      </c>
      <c r="E64" s="6" t="s">
        <v>48</v>
      </c>
      <c r="F64" s="6" t="s">
        <v>49</v>
      </c>
      <c r="G64" s="6" t="s">
        <v>23</v>
      </c>
      <c r="H64" s="6" t="s">
        <v>24</v>
      </c>
      <c r="I64" s="8">
        <v>35386</v>
      </c>
      <c r="J64" s="7">
        <f ca="1">DATEDIF(Tableau1[[#This Row],[date recrutement]],TODAY(),"y")</f>
        <v>27</v>
      </c>
      <c r="K64" s="6" t="s">
        <v>50</v>
      </c>
      <c r="L64" s="9">
        <v>118000</v>
      </c>
    </row>
    <row r="65" spans="1:12" x14ac:dyDescent="0.25">
      <c r="A65" s="5" t="s">
        <v>251</v>
      </c>
      <c r="B65" s="6" t="s">
        <v>252</v>
      </c>
      <c r="C65" s="6" t="s">
        <v>253</v>
      </c>
      <c r="D65" s="7">
        <f ca="1">IF(Tableau1[[#This Row],[Naissance]]="",0,DATEDIF(Tableau1[[#This Row],[Naissance]],TODAY(),"y"))</f>
        <v>39</v>
      </c>
      <c r="E65" s="6" t="s">
        <v>48</v>
      </c>
      <c r="F65" s="6" t="s">
        <v>33</v>
      </c>
      <c r="G65" s="6" t="s">
        <v>34</v>
      </c>
      <c r="H65" s="6" t="s">
        <v>24</v>
      </c>
      <c r="I65" s="8">
        <v>40244</v>
      </c>
      <c r="J65" s="7">
        <f ca="1">DATEDIF(Tableau1[[#This Row],[date recrutement]],TODAY(),"y")</f>
        <v>14</v>
      </c>
      <c r="K65" s="6" t="s">
        <v>50</v>
      </c>
      <c r="L65" s="9">
        <v>152000</v>
      </c>
    </row>
    <row r="66" spans="1:12" x14ac:dyDescent="0.25">
      <c r="A66" s="5" t="s">
        <v>254</v>
      </c>
      <c r="B66" s="6" t="s">
        <v>255</v>
      </c>
      <c r="C66" s="6" t="s">
        <v>256</v>
      </c>
      <c r="D66" s="7">
        <f ca="1">IF(Tableau1[[#This Row],[Naissance]]="",0,DATEDIF(Tableau1[[#This Row],[Naissance]],TODAY(),"y"))</f>
        <v>52</v>
      </c>
      <c r="E66" s="6" t="s">
        <v>21</v>
      </c>
      <c r="F66" s="6" t="s">
        <v>257</v>
      </c>
      <c r="G66" s="6" t="s">
        <v>34</v>
      </c>
      <c r="H66" s="6" t="s">
        <v>63</v>
      </c>
      <c r="I66" s="8">
        <v>43416</v>
      </c>
      <c r="J66" s="7">
        <f ca="1">DATEDIF(Tableau1[[#This Row],[date recrutement]],TODAY(),"y")</f>
        <v>5</v>
      </c>
      <c r="K66" s="6" t="s">
        <v>50</v>
      </c>
      <c r="L66" s="9">
        <v>168000</v>
      </c>
    </row>
    <row r="67" spans="1:12" x14ac:dyDescent="0.25">
      <c r="A67" s="5" t="s">
        <v>258</v>
      </c>
      <c r="B67" s="6" t="s">
        <v>259</v>
      </c>
      <c r="C67" s="6" t="s">
        <v>260</v>
      </c>
      <c r="D67" s="7">
        <f ca="1">IF(Tableau1[[#This Row],[Naissance]]="",0,DATEDIF(Tableau1[[#This Row],[Naissance]],TODAY(),"y"))</f>
        <v>42</v>
      </c>
      <c r="E67" s="6" t="s">
        <v>48</v>
      </c>
      <c r="F67" s="6" t="s">
        <v>22</v>
      </c>
      <c r="G67" s="6" t="s">
        <v>23</v>
      </c>
      <c r="H67" s="6" t="s">
        <v>24</v>
      </c>
      <c r="I67" s="8">
        <v>44293</v>
      </c>
      <c r="J67" s="7">
        <f ca="1">DATEDIF(Tableau1[[#This Row],[date recrutement]],TODAY(),"y")</f>
        <v>3</v>
      </c>
      <c r="K67" s="6" t="s">
        <v>80</v>
      </c>
      <c r="L67" s="9">
        <v>60000</v>
      </c>
    </row>
    <row r="68" spans="1:12" x14ac:dyDescent="0.25">
      <c r="A68" s="5" t="s">
        <v>261</v>
      </c>
      <c r="B68" s="6" t="s">
        <v>262</v>
      </c>
      <c r="C68" s="6" t="s">
        <v>263</v>
      </c>
      <c r="D68" s="7">
        <f ca="1">IF(Tableau1[[#This Row],[Naissance]]="",0,DATEDIF(Tableau1[[#This Row],[Naissance]],TODAY(),"y"))</f>
        <v>33</v>
      </c>
      <c r="E68" s="6" t="s">
        <v>21</v>
      </c>
      <c r="F68" s="6" t="s">
        <v>264</v>
      </c>
      <c r="G68" s="6" t="s">
        <v>23</v>
      </c>
      <c r="H68" s="6" t="s">
        <v>44</v>
      </c>
      <c r="I68" s="8">
        <v>45390</v>
      </c>
      <c r="J68" s="7">
        <f ca="1">DATEDIF(Tableau1[[#This Row],[date recrutement]],TODAY(),"y")</f>
        <v>0</v>
      </c>
      <c r="K68" s="6" t="s">
        <v>25</v>
      </c>
      <c r="L68" s="9">
        <v>103000</v>
      </c>
    </row>
    <row r="69" spans="1:12" x14ac:dyDescent="0.25">
      <c r="A69" s="5" t="s">
        <v>265</v>
      </c>
      <c r="B69" s="6" t="s">
        <v>266</v>
      </c>
      <c r="C69" s="6" t="s">
        <v>267</v>
      </c>
      <c r="D69" s="7">
        <f ca="1">IF(Tableau1[[#This Row],[Naissance]]="",0,DATEDIF(Tableau1[[#This Row],[Naissance]],TODAY(),"y"))</f>
        <v>21</v>
      </c>
      <c r="E69" s="6" t="s">
        <v>48</v>
      </c>
      <c r="F69" s="6" t="s">
        <v>22</v>
      </c>
      <c r="G69" s="6" t="s">
        <v>23</v>
      </c>
      <c r="H69" s="6" t="s">
        <v>24</v>
      </c>
      <c r="I69" s="8">
        <v>45319</v>
      </c>
      <c r="J69" s="7">
        <f ca="1">DATEDIF(Tableau1[[#This Row],[date recrutement]],TODAY(),"y")</f>
        <v>0</v>
      </c>
      <c r="K69" s="6" t="s">
        <v>25</v>
      </c>
      <c r="L69" s="9">
        <v>198000</v>
      </c>
    </row>
    <row r="70" spans="1:12" x14ac:dyDescent="0.25">
      <c r="A70" s="5" t="s">
        <v>268</v>
      </c>
      <c r="B70" s="6" t="s">
        <v>269</v>
      </c>
      <c r="C70" s="6" t="s">
        <v>270</v>
      </c>
      <c r="D70" s="7">
        <f ca="1">IF(Tableau1[[#This Row],[Naissance]]="",0,DATEDIF(Tableau1[[#This Row],[Naissance]],TODAY(),"y"))</f>
        <v>47</v>
      </c>
      <c r="E70" s="6" t="s">
        <v>48</v>
      </c>
      <c r="F70" s="6" t="s">
        <v>49</v>
      </c>
      <c r="G70" s="6" t="s">
        <v>23</v>
      </c>
      <c r="H70" s="6" t="s">
        <v>24</v>
      </c>
      <c r="I70" s="8">
        <v>35676</v>
      </c>
      <c r="J70" s="7">
        <f ca="1">DATEDIF(Tableau1[[#This Row],[date recrutement]],TODAY(),"y")</f>
        <v>26</v>
      </c>
      <c r="K70" s="6" t="s">
        <v>50</v>
      </c>
      <c r="L70" s="9">
        <v>229000</v>
      </c>
    </row>
    <row r="71" spans="1:12" x14ac:dyDescent="0.25">
      <c r="A71" s="5" t="s">
        <v>271</v>
      </c>
      <c r="B71" s="6" t="s">
        <v>272</v>
      </c>
      <c r="C71" s="6" t="s">
        <v>273</v>
      </c>
      <c r="D71" s="7">
        <f ca="1">IF(Tableau1[[#This Row],[Naissance]]="",0,DATEDIF(Tableau1[[#This Row],[Naissance]],TODAY(),"y"))</f>
        <v>33</v>
      </c>
      <c r="E71" s="6" t="s">
        <v>21</v>
      </c>
      <c r="F71" s="6" t="s">
        <v>212</v>
      </c>
      <c r="G71" s="6" t="s">
        <v>62</v>
      </c>
      <c r="H71" s="6" t="s">
        <v>24</v>
      </c>
      <c r="I71" s="8">
        <v>44546</v>
      </c>
      <c r="J71" s="7">
        <f ca="1">DATEDIF(Tableau1[[#This Row],[date recrutement]],TODAY(),"y")</f>
        <v>2</v>
      </c>
      <c r="K71" s="6" t="s">
        <v>25</v>
      </c>
      <c r="L71" s="9">
        <v>102000</v>
      </c>
    </row>
    <row r="72" spans="1:12" x14ac:dyDescent="0.25">
      <c r="A72" s="5" t="s">
        <v>274</v>
      </c>
      <c r="B72" s="6" t="s">
        <v>275</v>
      </c>
      <c r="C72" s="6" t="s">
        <v>276</v>
      </c>
      <c r="D72" s="7">
        <f ca="1">IF(Tableau1[[#This Row],[Naissance]]="",0,DATEDIF(Tableau1[[#This Row],[Naissance]],TODAY(),"y"))</f>
        <v>40</v>
      </c>
      <c r="E72" s="6" t="s">
        <v>48</v>
      </c>
      <c r="F72" s="6" t="s">
        <v>49</v>
      </c>
      <c r="G72" s="6" t="s">
        <v>23</v>
      </c>
      <c r="H72" s="6" t="s">
        <v>24</v>
      </c>
      <c r="I72" s="8">
        <v>42785</v>
      </c>
      <c r="J72" s="7">
        <f ca="1">DATEDIF(Tableau1[[#This Row],[date recrutement]],TODAY(),"y")</f>
        <v>7</v>
      </c>
      <c r="K72" s="6" t="s">
        <v>50</v>
      </c>
      <c r="L72" s="9">
        <v>227000</v>
      </c>
    </row>
    <row r="73" spans="1:12" x14ac:dyDescent="0.25">
      <c r="A73" s="5" t="s">
        <v>277</v>
      </c>
      <c r="B73" s="6" t="s">
        <v>278</v>
      </c>
      <c r="C73" s="8">
        <v>38045</v>
      </c>
      <c r="D73" s="7">
        <f ca="1">IF(Tableau1[[#This Row],[Naissance]]="",0,DATEDIF(Tableau1[[#This Row],[Naissance]],TODAY(),"y"))</f>
        <v>20</v>
      </c>
      <c r="E73" s="6" t="s">
        <v>48</v>
      </c>
      <c r="F73" s="6" t="s">
        <v>22</v>
      </c>
      <c r="G73" s="6" t="s">
        <v>23</v>
      </c>
      <c r="H73" s="6" t="s">
        <v>24</v>
      </c>
      <c r="I73" s="8">
        <v>45350</v>
      </c>
      <c r="J73" s="7">
        <f ca="1">DATEDIF(Tableau1[[#This Row],[date recrutement]],TODAY(),"y")</f>
        <v>0</v>
      </c>
      <c r="K73" s="6" t="s">
        <v>25</v>
      </c>
      <c r="L73" s="9">
        <v>240000</v>
      </c>
    </row>
    <row r="74" spans="1:12" x14ac:dyDescent="0.25">
      <c r="A74" s="5" t="s">
        <v>279</v>
      </c>
      <c r="B74" s="6" t="s">
        <v>280</v>
      </c>
      <c r="C74" s="6" t="s">
        <v>281</v>
      </c>
      <c r="D74" s="7">
        <f ca="1">IF(Tableau1[[#This Row],[Naissance]]="",0,DATEDIF(Tableau1[[#This Row],[Naissance]],TODAY(),"y"))</f>
        <v>56</v>
      </c>
      <c r="E74" s="6" t="s">
        <v>48</v>
      </c>
      <c r="F74" s="6" t="s">
        <v>70</v>
      </c>
      <c r="G74" s="6" t="s">
        <v>62</v>
      </c>
      <c r="H74" s="6" t="s">
        <v>24</v>
      </c>
      <c r="I74" s="8">
        <v>45130</v>
      </c>
      <c r="J74" s="7">
        <f ca="1">DATEDIF(Tableau1[[#This Row],[date recrutement]],TODAY(),"y")</f>
        <v>0</v>
      </c>
      <c r="K74" s="6" t="s">
        <v>25</v>
      </c>
      <c r="L74" s="9">
        <v>200000</v>
      </c>
    </row>
    <row r="75" spans="1:12" x14ac:dyDescent="0.25">
      <c r="A75" s="5" t="s">
        <v>282</v>
      </c>
      <c r="B75" s="6" t="s">
        <v>283</v>
      </c>
      <c r="C75" s="6" t="s">
        <v>284</v>
      </c>
      <c r="D75" s="7">
        <f ca="1">IF(Tableau1[[#This Row],[Naissance]]="",0,DATEDIF(Tableau1[[#This Row],[Naissance]],TODAY(),"y"))</f>
        <v>55</v>
      </c>
      <c r="E75" s="6" t="s">
        <v>21</v>
      </c>
      <c r="F75" s="6" t="s">
        <v>285</v>
      </c>
      <c r="G75" s="6" t="s">
        <v>23</v>
      </c>
      <c r="H75" s="6" t="s">
        <v>24</v>
      </c>
      <c r="I75" s="8">
        <v>38523</v>
      </c>
      <c r="J75" s="7">
        <f ca="1">DATEDIF(Tableau1[[#This Row],[date recrutement]],TODAY(),"y")</f>
        <v>19</v>
      </c>
      <c r="K75" s="6" t="s">
        <v>50</v>
      </c>
      <c r="L75" s="9">
        <v>233000</v>
      </c>
    </row>
    <row r="76" spans="1:12" x14ac:dyDescent="0.25">
      <c r="A76" s="5" t="s">
        <v>286</v>
      </c>
      <c r="B76" s="6" t="s">
        <v>287</v>
      </c>
      <c r="C76" s="6" t="s">
        <v>288</v>
      </c>
      <c r="D76" s="7">
        <f ca="1">IF(Tableau1[[#This Row],[Naissance]]="",0,DATEDIF(Tableau1[[#This Row],[Naissance]],TODAY(),"y"))</f>
        <v>23</v>
      </c>
      <c r="E76" s="6" t="s">
        <v>21</v>
      </c>
      <c r="F76" s="6" t="s">
        <v>22</v>
      </c>
      <c r="G76" s="6" t="s">
        <v>23</v>
      </c>
      <c r="H76" s="6" t="s">
        <v>24</v>
      </c>
      <c r="I76" s="8">
        <v>45418</v>
      </c>
      <c r="J76" s="7">
        <f ca="1">DATEDIF(Tableau1[[#This Row],[date recrutement]],TODAY(),"y")</f>
        <v>0</v>
      </c>
      <c r="K76" s="6" t="s">
        <v>25</v>
      </c>
      <c r="L76" s="9">
        <v>206000</v>
      </c>
    </row>
    <row r="77" spans="1:12" x14ac:dyDescent="0.25">
      <c r="A77" s="5" t="s">
        <v>289</v>
      </c>
      <c r="B77" s="6" t="s">
        <v>290</v>
      </c>
      <c r="C77" s="6" t="s">
        <v>291</v>
      </c>
      <c r="D77" s="7">
        <f ca="1">IF(Tableau1[[#This Row],[Naissance]]="",0,DATEDIF(Tableau1[[#This Row],[Naissance]],TODAY(),"y"))</f>
        <v>38</v>
      </c>
      <c r="E77" s="6" t="s">
        <v>48</v>
      </c>
      <c r="F77" s="6" t="s">
        <v>22</v>
      </c>
      <c r="G77" s="6" t="s">
        <v>23</v>
      </c>
      <c r="H77" s="6" t="s">
        <v>24</v>
      </c>
      <c r="I77" s="8">
        <v>45319</v>
      </c>
      <c r="J77" s="7">
        <f ca="1">DATEDIF(Tableau1[[#This Row],[date recrutement]],TODAY(),"y")</f>
        <v>0</v>
      </c>
      <c r="K77" s="6" t="s">
        <v>25</v>
      </c>
      <c r="L77" s="9">
        <v>139000</v>
      </c>
    </row>
    <row r="78" spans="1:12" x14ac:dyDescent="0.25">
      <c r="A78" s="5" t="s">
        <v>292</v>
      </c>
      <c r="B78" s="6" t="s">
        <v>293</v>
      </c>
      <c r="C78" s="6" t="s">
        <v>294</v>
      </c>
      <c r="D78" s="7">
        <f ca="1">IF(Tableau1[[#This Row],[Naissance]]="",0,DATEDIF(Tableau1[[#This Row],[Naissance]],TODAY(),"y"))</f>
        <v>24</v>
      </c>
      <c r="E78" s="6" t="s">
        <v>21</v>
      </c>
      <c r="F78" s="6" t="s">
        <v>22</v>
      </c>
      <c r="G78" s="6" t="s">
        <v>23</v>
      </c>
      <c r="H78" s="6" t="s">
        <v>24</v>
      </c>
      <c r="I78" s="8">
        <v>45343</v>
      </c>
      <c r="J78" s="7">
        <f ca="1">DATEDIF(Tableau1[[#This Row],[date recrutement]],TODAY(),"y")</f>
        <v>0</v>
      </c>
      <c r="K78" s="6" t="s">
        <v>25</v>
      </c>
      <c r="L78" s="9">
        <v>157000</v>
      </c>
    </row>
    <row r="79" spans="1:12" x14ac:dyDescent="0.25">
      <c r="A79" s="5" t="s">
        <v>295</v>
      </c>
      <c r="B79" s="6" t="s">
        <v>296</v>
      </c>
      <c r="C79" s="6" t="s">
        <v>297</v>
      </c>
      <c r="D79" s="7">
        <f ca="1">IF(Tableau1[[#This Row],[Naissance]]="",0,DATEDIF(Tableau1[[#This Row],[Naissance]],TODAY(),"y"))</f>
        <v>47</v>
      </c>
      <c r="E79" s="6" t="s">
        <v>21</v>
      </c>
      <c r="F79" s="6" t="s">
        <v>212</v>
      </c>
      <c r="G79" s="6" t="s">
        <v>62</v>
      </c>
      <c r="H79" s="6" t="s">
        <v>24</v>
      </c>
      <c r="I79" s="8">
        <v>43146</v>
      </c>
      <c r="J79" s="7">
        <f ca="1">DATEDIF(Tableau1[[#This Row],[date recrutement]],TODAY(),"y")</f>
        <v>6</v>
      </c>
      <c r="K79" s="6" t="s">
        <v>80</v>
      </c>
      <c r="L79" s="9">
        <v>51000</v>
      </c>
    </row>
    <row r="80" spans="1:12" x14ac:dyDescent="0.25">
      <c r="A80" s="5" t="s">
        <v>298</v>
      </c>
      <c r="B80" s="6" t="s">
        <v>299</v>
      </c>
      <c r="C80" s="6" t="s">
        <v>300</v>
      </c>
      <c r="D80" s="7">
        <f ca="1">IF(Tableau1[[#This Row],[Naissance]]="",0,DATEDIF(Tableau1[[#This Row],[Naissance]],TODAY(),"y"))</f>
        <v>44</v>
      </c>
      <c r="E80" s="6" t="s">
        <v>21</v>
      </c>
      <c r="F80" s="6" t="s">
        <v>301</v>
      </c>
      <c r="G80" s="6" t="s">
        <v>23</v>
      </c>
      <c r="H80" s="6" t="s">
        <v>99</v>
      </c>
      <c r="I80" s="8">
        <v>43543</v>
      </c>
      <c r="J80" s="7">
        <f ca="1">DATEDIF(Tableau1[[#This Row],[date recrutement]],TODAY(),"y")</f>
        <v>5</v>
      </c>
      <c r="K80" s="6" t="s">
        <v>25</v>
      </c>
      <c r="L80" s="9">
        <v>115000</v>
      </c>
    </row>
    <row r="81" spans="1:12" x14ac:dyDescent="0.25">
      <c r="A81" s="5" t="s">
        <v>302</v>
      </c>
      <c r="B81" s="6" t="s">
        <v>303</v>
      </c>
      <c r="C81" s="6" t="s">
        <v>304</v>
      </c>
      <c r="D81" s="7">
        <f ca="1">IF(Tableau1[[#This Row],[Naissance]]="",0,DATEDIF(Tableau1[[#This Row],[Naissance]],TODAY(),"y"))</f>
        <v>34</v>
      </c>
      <c r="E81" s="6" t="s">
        <v>21</v>
      </c>
      <c r="F81" s="6" t="s">
        <v>22</v>
      </c>
      <c r="G81" s="6" t="s">
        <v>23</v>
      </c>
      <c r="H81" s="6" t="s">
        <v>24</v>
      </c>
      <c r="I81" s="8">
        <v>45342</v>
      </c>
      <c r="J81" s="7">
        <f ca="1">DATEDIF(Tableau1[[#This Row],[date recrutement]],TODAY(),"y")</f>
        <v>0</v>
      </c>
      <c r="K81" s="6" t="s">
        <v>25</v>
      </c>
      <c r="L81" s="9">
        <v>80000</v>
      </c>
    </row>
    <row r="82" spans="1:12" x14ac:dyDescent="0.25">
      <c r="A82" s="5" t="s">
        <v>305</v>
      </c>
      <c r="B82" s="6" t="s">
        <v>306</v>
      </c>
      <c r="C82" s="6" t="s">
        <v>307</v>
      </c>
      <c r="D82" s="7">
        <f ca="1">IF(Tableau1[[#This Row],[Naissance]]="",0,DATEDIF(Tableau1[[#This Row],[Naissance]],TODAY(),"y"))</f>
        <v>54</v>
      </c>
      <c r="E82" s="6" t="s">
        <v>48</v>
      </c>
      <c r="F82" s="6" t="s">
        <v>70</v>
      </c>
      <c r="G82" s="6" t="s">
        <v>62</v>
      </c>
      <c r="H82" s="6" t="s">
        <v>24</v>
      </c>
      <c r="I82" s="8">
        <v>33194</v>
      </c>
      <c r="J82" s="7">
        <f ca="1">DATEDIF(Tableau1[[#This Row],[date recrutement]],TODAY(),"y")</f>
        <v>33</v>
      </c>
      <c r="K82" s="6" t="s">
        <v>50</v>
      </c>
      <c r="L82" s="9">
        <v>222000</v>
      </c>
    </row>
    <row r="83" spans="1:12" x14ac:dyDescent="0.25">
      <c r="A83" s="5" t="s">
        <v>308</v>
      </c>
      <c r="B83" s="6" t="s">
        <v>309</v>
      </c>
      <c r="C83" s="6" t="s">
        <v>310</v>
      </c>
      <c r="D83" s="7">
        <f ca="1">IF(Tableau1[[#This Row],[Naissance]]="",0,DATEDIF(Tableau1[[#This Row],[Naissance]],TODAY(),"y"))</f>
        <v>40</v>
      </c>
      <c r="E83" s="6" t="s">
        <v>48</v>
      </c>
      <c r="F83" s="6" t="s">
        <v>311</v>
      </c>
      <c r="G83" s="6" t="s">
        <v>62</v>
      </c>
      <c r="H83" s="6" t="s">
        <v>204</v>
      </c>
      <c r="I83" s="8">
        <v>37291</v>
      </c>
      <c r="J83" s="7">
        <f ca="1">DATEDIF(Tableau1[[#This Row],[date recrutement]],TODAY(),"y")</f>
        <v>22</v>
      </c>
      <c r="K83" s="6" t="s">
        <v>50</v>
      </c>
      <c r="L83" s="9">
        <v>213000</v>
      </c>
    </row>
    <row r="84" spans="1:12" x14ac:dyDescent="0.25">
      <c r="A84" s="5" t="s">
        <v>312</v>
      </c>
      <c r="B84" s="6" t="s">
        <v>313</v>
      </c>
      <c r="C84" s="6" t="s">
        <v>314</v>
      </c>
      <c r="D84" s="7">
        <f ca="1">IF(Tableau1[[#This Row],[Naissance]]="",0,DATEDIF(Tableau1[[#This Row],[Naissance]],TODAY(),"y"))</f>
        <v>21</v>
      </c>
      <c r="E84" s="6" t="s">
        <v>21</v>
      </c>
      <c r="F84" s="6" t="s">
        <v>43</v>
      </c>
      <c r="G84" s="6" t="s">
        <v>23</v>
      </c>
      <c r="H84" s="6" t="s">
        <v>44</v>
      </c>
      <c r="I84" s="8">
        <v>45358</v>
      </c>
      <c r="J84" s="7">
        <f ca="1">DATEDIF(Tableau1[[#This Row],[date recrutement]],TODAY(),"y")</f>
        <v>0</v>
      </c>
      <c r="K84" s="6" t="s">
        <v>25</v>
      </c>
      <c r="L84" s="9">
        <v>101000</v>
      </c>
    </row>
    <row r="85" spans="1:12" x14ac:dyDescent="0.25">
      <c r="A85" s="5" t="s">
        <v>315</v>
      </c>
      <c r="B85" s="6" t="s">
        <v>316</v>
      </c>
      <c r="C85" s="6" t="s">
        <v>317</v>
      </c>
      <c r="D85" s="7">
        <f ca="1">IF(Tableau1[[#This Row],[Naissance]]="",0,DATEDIF(Tableau1[[#This Row],[Naissance]],TODAY(),"y"))</f>
        <v>45</v>
      </c>
      <c r="E85" s="6" t="s">
        <v>48</v>
      </c>
      <c r="F85" s="6" t="s">
        <v>318</v>
      </c>
      <c r="G85" s="6" t="s">
        <v>34</v>
      </c>
      <c r="H85" s="6" t="s">
        <v>135</v>
      </c>
      <c r="I85" s="8">
        <v>43374</v>
      </c>
      <c r="J85" s="7">
        <f ca="1">DATEDIF(Tableau1[[#This Row],[date recrutement]],TODAY(),"y")</f>
        <v>5</v>
      </c>
      <c r="K85" s="6" t="s">
        <v>50</v>
      </c>
      <c r="L85" s="9">
        <v>222000</v>
      </c>
    </row>
    <row r="86" spans="1:12" x14ac:dyDescent="0.25">
      <c r="A86" s="5" t="s">
        <v>319</v>
      </c>
      <c r="B86" s="6" t="s">
        <v>320</v>
      </c>
      <c r="C86" s="6" t="s">
        <v>321</v>
      </c>
      <c r="D86" s="7">
        <f ca="1">IF(Tableau1[[#This Row],[Naissance]]="",0,DATEDIF(Tableau1[[#This Row],[Naissance]],TODAY(),"y"))</f>
        <v>26</v>
      </c>
      <c r="E86" s="6" t="s">
        <v>21</v>
      </c>
      <c r="F86" s="6" t="s">
        <v>285</v>
      </c>
      <c r="G86" s="6" t="s">
        <v>23</v>
      </c>
      <c r="H86" s="6" t="s">
        <v>24</v>
      </c>
      <c r="I86" s="8">
        <v>45420</v>
      </c>
      <c r="J86" s="7">
        <f ca="1">DATEDIF(Tableau1[[#This Row],[date recrutement]],TODAY(),"y")</f>
        <v>0</v>
      </c>
      <c r="K86" s="6" t="s">
        <v>25</v>
      </c>
      <c r="L86" s="9">
        <v>110000</v>
      </c>
    </row>
    <row r="87" spans="1:12" x14ac:dyDescent="0.25">
      <c r="A87" s="5" t="s">
        <v>322</v>
      </c>
      <c r="B87" s="6" t="s">
        <v>323</v>
      </c>
      <c r="C87" s="6" t="s">
        <v>324</v>
      </c>
      <c r="D87" s="7">
        <f ca="1">IF(Tableau1[[#This Row],[Naissance]]="",0,DATEDIF(Tableau1[[#This Row],[Naissance]],TODAY(),"y"))</f>
        <v>18</v>
      </c>
      <c r="E87" s="6" t="s">
        <v>21</v>
      </c>
      <c r="F87" s="6" t="s">
        <v>22</v>
      </c>
      <c r="G87" s="6" t="s">
        <v>23</v>
      </c>
      <c r="H87" s="6" t="s">
        <v>24</v>
      </c>
      <c r="I87" s="8">
        <v>45379</v>
      </c>
      <c r="J87" s="7">
        <f ca="1">DATEDIF(Tableau1[[#This Row],[date recrutement]],TODAY(),"y")</f>
        <v>0</v>
      </c>
      <c r="K87" s="6" t="s">
        <v>25</v>
      </c>
      <c r="L87" s="9">
        <v>154000</v>
      </c>
    </row>
    <row r="88" spans="1:12" x14ac:dyDescent="0.25">
      <c r="A88" s="5" t="s">
        <v>325</v>
      </c>
      <c r="B88" s="6" t="s">
        <v>326</v>
      </c>
      <c r="C88" s="6" t="s">
        <v>327</v>
      </c>
      <c r="D88" s="7">
        <f ca="1">IF(Tableau1[[#This Row],[Naissance]]="",0,DATEDIF(Tableau1[[#This Row],[Naissance]],TODAY(),"y"))</f>
        <v>46</v>
      </c>
      <c r="E88" s="6" t="s">
        <v>21</v>
      </c>
      <c r="F88" s="6" t="s">
        <v>212</v>
      </c>
      <c r="G88" s="6" t="s">
        <v>62</v>
      </c>
      <c r="H88" s="6" t="s">
        <v>24</v>
      </c>
      <c r="I88" s="8">
        <v>40834</v>
      </c>
      <c r="J88" s="7">
        <f ca="1">DATEDIF(Tableau1[[#This Row],[date recrutement]],TODAY(),"y")</f>
        <v>12</v>
      </c>
      <c r="K88" s="6" t="s">
        <v>50</v>
      </c>
      <c r="L88" s="9">
        <v>109000</v>
      </c>
    </row>
    <row r="89" spans="1:12" x14ac:dyDescent="0.25">
      <c r="A89" s="5" t="s">
        <v>328</v>
      </c>
      <c r="B89" s="6" t="s">
        <v>329</v>
      </c>
      <c r="C89" s="6" t="s">
        <v>330</v>
      </c>
      <c r="D89" s="7">
        <f ca="1">IF(Tableau1[[#This Row],[Naissance]]="",0,DATEDIF(Tableau1[[#This Row],[Naissance]],TODAY(),"y"))</f>
        <v>37</v>
      </c>
      <c r="E89" s="6" t="s">
        <v>21</v>
      </c>
      <c r="F89" s="6" t="s">
        <v>331</v>
      </c>
      <c r="G89" s="6" t="s">
        <v>23</v>
      </c>
      <c r="H89" s="6" t="s">
        <v>79</v>
      </c>
      <c r="I89" s="8">
        <v>42576</v>
      </c>
      <c r="J89" s="7">
        <f ca="1">DATEDIF(Tableau1[[#This Row],[date recrutement]],TODAY(),"y")</f>
        <v>7</v>
      </c>
      <c r="K89" s="6" t="s">
        <v>80</v>
      </c>
      <c r="L89" s="9">
        <v>54000</v>
      </c>
    </row>
    <row r="90" spans="1:12" x14ac:dyDescent="0.25">
      <c r="A90" s="5" t="s">
        <v>332</v>
      </c>
      <c r="B90" s="6" t="s">
        <v>333</v>
      </c>
      <c r="C90" s="6" t="s">
        <v>334</v>
      </c>
      <c r="D90" s="7">
        <f ca="1">IF(Tableau1[[#This Row],[Naissance]]="",0,DATEDIF(Tableau1[[#This Row],[Naissance]],TODAY(),"y"))</f>
        <v>25</v>
      </c>
      <c r="E90" s="6" t="s">
        <v>48</v>
      </c>
      <c r="F90" s="6" t="s">
        <v>22</v>
      </c>
      <c r="G90" s="6" t="s">
        <v>23</v>
      </c>
      <c r="H90" s="6" t="s">
        <v>24</v>
      </c>
      <c r="I90" s="8">
        <v>45341</v>
      </c>
      <c r="J90" s="7">
        <f ca="1">DATEDIF(Tableau1[[#This Row],[date recrutement]],TODAY(),"y")</f>
        <v>0</v>
      </c>
      <c r="K90" s="6" t="s">
        <v>25</v>
      </c>
      <c r="L90" s="9">
        <v>209000</v>
      </c>
    </row>
    <row r="91" spans="1:12" x14ac:dyDescent="0.25">
      <c r="A91" s="5" t="s">
        <v>335</v>
      </c>
      <c r="B91" s="6" t="s">
        <v>336</v>
      </c>
      <c r="C91" s="6" t="s">
        <v>337</v>
      </c>
      <c r="D91" s="7">
        <f ca="1">IF(Tableau1[[#This Row],[Naissance]]="",0,DATEDIF(Tableau1[[#This Row],[Naissance]],TODAY(),"y"))</f>
        <v>59</v>
      </c>
      <c r="E91" s="6" t="s">
        <v>21</v>
      </c>
      <c r="F91" s="6" t="s">
        <v>301</v>
      </c>
      <c r="G91" s="6" t="s">
        <v>23</v>
      </c>
      <c r="H91" s="6" t="s">
        <v>99</v>
      </c>
      <c r="I91" s="8">
        <v>43244</v>
      </c>
      <c r="J91" s="7">
        <f ca="1">DATEDIF(Tableau1[[#This Row],[date recrutement]],TODAY(),"y")</f>
        <v>6</v>
      </c>
      <c r="K91" s="6" t="s">
        <v>80</v>
      </c>
      <c r="L91" s="9">
        <v>56000</v>
      </c>
    </row>
    <row r="92" spans="1:12" x14ac:dyDescent="0.25">
      <c r="A92" s="5" t="s">
        <v>338</v>
      </c>
      <c r="B92" s="6" t="s">
        <v>339</v>
      </c>
      <c r="C92" s="6" t="s">
        <v>340</v>
      </c>
      <c r="D92" s="7">
        <f ca="1">IF(Tableau1[[#This Row],[Naissance]]="",0,DATEDIF(Tableau1[[#This Row],[Naissance]],TODAY(),"y"))</f>
        <v>41</v>
      </c>
      <c r="E92" s="6" t="s">
        <v>48</v>
      </c>
      <c r="F92" s="6" t="s">
        <v>341</v>
      </c>
      <c r="G92" s="6" t="s">
        <v>62</v>
      </c>
      <c r="H92" s="6" t="s">
        <v>55</v>
      </c>
      <c r="I92" s="8">
        <v>44292</v>
      </c>
      <c r="J92" s="7">
        <f ca="1">DATEDIF(Tableau1[[#This Row],[date recrutement]],TODAY(),"y")</f>
        <v>3</v>
      </c>
      <c r="K92" s="6" t="s">
        <v>25</v>
      </c>
      <c r="L92" s="9">
        <v>139000</v>
      </c>
    </row>
    <row r="93" spans="1:12" x14ac:dyDescent="0.25">
      <c r="A93" s="5" t="s">
        <v>342</v>
      </c>
      <c r="B93" s="6" t="s">
        <v>343</v>
      </c>
      <c r="C93" s="6" t="s">
        <v>344</v>
      </c>
      <c r="D93" s="7">
        <f ca="1">IF(Tableau1[[#This Row],[Naissance]]="",0,DATEDIF(Tableau1[[#This Row],[Naissance]],TODAY(),"y"))</f>
        <v>30</v>
      </c>
      <c r="E93" s="6" t="s">
        <v>21</v>
      </c>
      <c r="F93" s="6" t="s">
        <v>22</v>
      </c>
      <c r="G93" s="6" t="s">
        <v>23</v>
      </c>
      <c r="H93" s="6" t="s">
        <v>24</v>
      </c>
      <c r="I93" s="8">
        <v>45179</v>
      </c>
      <c r="J93" s="7">
        <f ca="1">DATEDIF(Tableau1[[#This Row],[date recrutement]],TODAY(),"y")</f>
        <v>0</v>
      </c>
      <c r="K93" s="6" t="s">
        <v>25</v>
      </c>
      <c r="L93" s="9">
        <v>149000</v>
      </c>
    </row>
    <row r="94" spans="1:12" x14ac:dyDescent="0.25">
      <c r="A94" s="5" t="s">
        <v>345</v>
      </c>
      <c r="B94" s="6" t="s">
        <v>346</v>
      </c>
      <c r="C94" s="6" t="s">
        <v>347</v>
      </c>
      <c r="D94" s="7">
        <f ca="1">IF(Tableau1[[#This Row],[Naissance]]="",0,DATEDIF(Tableau1[[#This Row],[Naissance]],TODAY(),"y"))</f>
        <v>37</v>
      </c>
      <c r="E94" s="6" t="s">
        <v>21</v>
      </c>
      <c r="F94" s="6" t="s">
        <v>348</v>
      </c>
      <c r="G94" s="6" t="s">
        <v>23</v>
      </c>
      <c r="H94" s="6" t="s">
        <v>39</v>
      </c>
      <c r="I94" s="8">
        <v>42463</v>
      </c>
      <c r="J94" s="7">
        <f ca="1">DATEDIF(Tableau1[[#This Row],[date recrutement]],TODAY(),"y")</f>
        <v>8</v>
      </c>
      <c r="K94" s="6" t="s">
        <v>25</v>
      </c>
      <c r="L94" s="9">
        <v>233000</v>
      </c>
    </row>
    <row r="95" spans="1:12" x14ac:dyDescent="0.25">
      <c r="A95" s="5" t="s">
        <v>349</v>
      </c>
      <c r="B95" s="6" t="s">
        <v>350</v>
      </c>
      <c r="C95" s="6" t="s">
        <v>351</v>
      </c>
      <c r="D95" s="7">
        <f ca="1">IF(Tableau1[[#This Row],[Naissance]]="",0,DATEDIF(Tableau1[[#This Row],[Naissance]],TODAY(),"y"))</f>
        <v>33</v>
      </c>
      <c r="E95" s="6" t="s">
        <v>21</v>
      </c>
      <c r="F95" s="6" t="s">
        <v>352</v>
      </c>
      <c r="G95" s="6" t="s">
        <v>23</v>
      </c>
      <c r="H95" s="6" t="s">
        <v>39</v>
      </c>
      <c r="I95" s="8">
        <v>45099</v>
      </c>
      <c r="J95" s="7">
        <f ca="1">DATEDIF(Tableau1[[#This Row],[date recrutement]],TODAY(),"y")</f>
        <v>0</v>
      </c>
      <c r="K95" s="6" t="s">
        <v>25</v>
      </c>
      <c r="L95" s="9">
        <v>208000</v>
      </c>
    </row>
    <row r="96" spans="1:12" x14ac:dyDescent="0.25">
      <c r="A96" s="5" t="s">
        <v>353</v>
      </c>
      <c r="B96" s="6" t="s">
        <v>354</v>
      </c>
      <c r="C96" s="6" t="s">
        <v>355</v>
      </c>
      <c r="D96" s="7">
        <f ca="1">IF(Tableau1[[#This Row],[Naissance]]="",0,DATEDIF(Tableau1[[#This Row],[Naissance]],TODAY(),"y"))</f>
        <v>19</v>
      </c>
      <c r="E96" s="6" t="s">
        <v>21</v>
      </c>
      <c r="F96" s="6" t="s">
        <v>22</v>
      </c>
      <c r="G96" s="6" t="s">
        <v>23</v>
      </c>
      <c r="H96" s="6" t="s">
        <v>24</v>
      </c>
      <c r="I96" s="8">
        <v>45351</v>
      </c>
      <c r="J96" s="7">
        <f ca="1">DATEDIF(Tableau1[[#This Row],[date recrutement]],TODAY(),"y")</f>
        <v>0</v>
      </c>
      <c r="K96" s="6" t="s">
        <v>25</v>
      </c>
      <c r="L96" s="9">
        <v>131000</v>
      </c>
    </row>
    <row r="97" spans="1:12" x14ac:dyDescent="0.25">
      <c r="A97" s="5" t="s">
        <v>356</v>
      </c>
      <c r="B97" s="6" t="s">
        <v>357</v>
      </c>
      <c r="C97" s="6" t="s">
        <v>358</v>
      </c>
      <c r="D97" s="7">
        <f ca="1">IF(Tableau1[[#This Row],[Naissance]]="",0,DATEDIF(Tableau1[[#This Row],[Naissance]],TODAY(),"y"))</f>
        <v>45</v>
      </c>
      <c r="E97" s="6" t="s">
        <v>21</v>
      </c>
      <c r="F97" s="6" t="s">
        <v>359</v>
      </c>
      <c r="G97" s="6" t="s">
        <v>62</v>
      </c>
      <c r="H97" s="6" t="s">
        <v>44</v>
      </c>
      <c r="I97" s="8">
        <v>45396</v>
      </c>
      <c r="J97" s="7">
        <f ca="1">DATEDIF(Tableau1[[#This Row],[date recrutement]],TODAY(),"y")</f>
        <v>0</v>
      </c>
      <c r="K97" s="6" t="s">
        <v>25</v>
      </c>
      <c r="L97" s="9">
        <v>78000</v>
      </c>
    </row>
    <row r="98" spans="1:12" x14ac:dyDescent="0.25">
      <c r="A98" s="5" t="s">
        <v>360</v>
      </c>
      <c r="B98" s="6" t="s">
        <v>361</v>
      </c>
      <c r="C98" s="6" t="s">
        <v>362</v>
      </c>
      <c r="D98" s="7">
        <f ca="1">IF(Tableau1[[#This Row],[Naissance]]="",0,DATEDIF(Tableau1[[#This Row],[Naissance]],TODAY(),"y"))</f>
        <v>41</v>
      </c>
      <c r="E98" s="6" t="s">
        <v>21</v>
      </c>
      <c r="F98" s="6" t="s">
        <v>38</v>
      </c>
      <c r="G98" s="6" t="s">
        <v>62</v>
      </c>
      <c r="H98" s="6" t="s">
        <v>39</v>
      </c>
      <c r="I98" s="8">
        <v>37656</v>
      </c>
      <c r="J98" s="7">
        <f ca="1">DATEDIF(Tableau1[[#This Row],[date recrutement]],TODAY(),"y")</f>
        <v>21</v>
      </c>
      <c r="K98" s="6" t="s">
        <v>50</v>
      </c>
      <c r="L98" s="9">
        <v>213000</v>
      </c>
    </row>
    <row r="99" spans="1:12" x14ac:dyDescent="0.25">
      <c r="A99" s="5" t="s">
        <v>363</v>
      </c>
      <c r="B99" s="6" t="s">
        <v>364</v>
      </c>
      <c r="C99" s="6" t="s">
        <v>365</v>
      </c>
      <c r="D99" s="7">
        <f ca="1">IF(Tableau1[[#This Row],[Naissance]]="",0,DATEDIF(Tableau1[[#This Row],[Naissance]],TODAY(),"y"))</f>
        <v>51</v>
      </c>
      <c r="E99" s="6" t="s">
        <v>21</v>
      </c>
      <c r="F99" s="6" t="s">
        <v>239</v>
      </c>
      <c r="G99" s="6" t="s">
        <v>23</v>
      </c>
      <c r="H99" s="6" t="s">
        <v>44</v>
      </c>
      <c r="I99" s="8">
        <v>43439</v>
      </c>
      <c r="J99" s="7">
        <f ca="1">DATEDIF(Tableau1[[#This Row],[date recrutement]],TODAY(),"y")</f>
        <v>5</v>
      </c>
      <c r="K99" s="6" t="s">
        <v>25</v>
      </c>
      <c r="L99" s="9">
        <v>238000</v>
      </c>
    </row>
    <row r="100" spans="1:12" x14ac:dyDescent="0.25">
      <c r="A100" s="5" t="s">
        <v>366</v>
      </c>
      <c r="B100" s="6" t="s">
        <v>367</v>
      </c>
      <c r="C100" s="6" t="s">
        <v>368</v>
      </c>
      <c r="D100" s="7">
        <f ca="1">IF(Tableau1[[#This Row],[Naissance]]="",0,DATEDIF(Tableau1[[#This Row],[Naissance]],TODAY(),"y"))</f>
        <v>58</v>
      </c>
      <c r="E100" s="6" t="s">
        <v>21</v>
      </c>
      <c r="F100" s="6" t="s">
        <v>369</v>
      </c>
      <c r="G100" s="6" t="s">
        <v>34</v>
      </c>
      <c r="H100" s="6" t="s">
        <v>39</v>
      </c>
      <c r="I100" s="8">
        <v>36586</v>
      </c>
      <c r="J100" s="7">
        <f ca="1">DATEDIF(Tableau1[[#This Row],[date recrutement]],TODAY(),"y")</f>
        <v>24</v>
      </c>
      <c r="K100" s="6" t="s">
        <v>50</v>
      </c>
      <c r="L100" s="9">
        <v>232000</v>
      </c>
    </row>
    <row r="101" spans="1:12" ht="17.25" customHeight="1" x14ac:dyDescent="0.25">
      <c r="A101" s="5" t="s">
        <v>370</v>
      </c>
      <c r="B101" s="6" t="s">
        <v>371</v>
      </c>
      <c r="C101" s="8">
        <v>35227</v>
      </c>
      <c r="D101" s="7">
        <f ca="1">IF(Tableau1[[#This Row],[Naissance]]="",0,DATEDIF(Tableau1[[#This Row],[Naissance]],TODAY(),"y"))</f>
        <v>28</v>
      </c>
      <c r="E101" s="6" t="s">
        <v>21</v>
      </c>
      <c r="F101" s="6" t="s">
        <v>372</v>
      </c>
      <c r="G101" s="6" t="s">
        <v>62</v>
      </c>
      <c r="H101" s="6" t="s">
        <v>204</v>
      </c>
      <c r="I101" s="8">
        <v>45347</v>
      </c>
      <c r="J101" s="7">
        <f ca="1">DATEDIF(Tableau1[[#This Row],[date recrutement]],TODAY(),"y")</f>
        <v>0</v>
      </c>
      <c r="K101" s="6" t="s">
        <v>25</v>
      </c>
      <c r="L101" s="9">
        <v>241000</v>
      </c>
    </row>
    <row r="102" spans="1:12" x14ac:dyDescent="0.25">
      <c r="A102" s="5" t="s">
        <v>373</v>
      </c>
      <c r="B102" s="6" t="s">
        <v>374</v>
      </c>
      <c r="C102" s="6" t="s">
        <v>375</v>
      </c>
      <c r="D102" s="7">
        <f ca="1">IF(Tableau1[[#This Row],[Naissance]]="",0,DATEDIF(Tableau1[[#This Row],[Naissance]],TODAY(),"y"))</f>
        <v>33</v>
      </c>
      <c r="E102" s="6" t="s">
        <v>21</v>
      </c>
      <c r="F102" s="6" t="s">
        <v>22</v>
      </c>
      <c r="G102" s="6" t="s">
        <v>23</v>
      </c>
      <c r="H102" s="6" t="s">
        <v>204</v>
      </c>
      <c r="I102" s="8">
        <v>45382</v>
      </c>
      <c r="J102" s="7">
        <f ca="1">DATEDIF(Tableau1[[#This Row],[date recrutement]],TODAY(),"y")</f>
        <v>0</v>
      </c>
      <c r="K102" s="6" t="s">
        <v>25</v>
      </c>
      <c r="L102" s="9">
        <v>234000</v>
      </c>
    </row>
    <row r="103" spans="1:12" x14ac:dyDescent="0.25">
      <c r="A103" s="5" t="s">
        <v>376</v>
      </c>
      <c r="B103" s="6" t="s">
        <v>377</v>
      </c>
      <c r="C103" s="6" t="s">
        <v>378</v>
      </c>
      <c r="D103" s="7">
        <f ca="1">IF(Tableau1[[#This Row],[Naissance]]="",0,DATEDIF(Tableau1[[#This Row],[Naissance]],TODAY(),"y"))</f>
        <v>54</v>
      </c>
      <c r="E103" s="6" t="s">
        <v>21</v>
      </c>
      <c r="F103" s="6" t="s">
        <v>29</v>
      </c>
      <c r="G103" s="6" t="s">
        <v>23</v>
      </c>
      <c r="H103" s="6" t="s">
        <v>24</v>
      </c>
      <c r="I103" s="8">
        <v>44034</v>
      </c>
      <c r="J103" s="7">
        <f ca="1">DATEDIF(Tableau1[[#This Row],[date recrutement]],TODAY(),"y")</f>
        <v>3</v>
      </c>
      <c r="K103" s="6" t="s">
        <v>25</v>
      </c>
      <c r="L103" s="9">
        <v>117000</v>
      </c>
    </row>
    <row r="104" spans="1:12" x14ac:dyDescent="0.25">
      <c r="A104" s="5" t="s">
        <v>379</v>
      </c>
      <c r="B104" s="6" t="s">
        <v>380</v>
      </c>
      <c r="C104" s="6" t="s">
        <v>381</v>
      </c>
      <c r="D104" s="7">
        <f ca="1">IF(Tableau1[[#This Row],[Naissance]]="",0,DATEDIF(Tableau1[[#This Row],[Naissance]],TODAY(),"y"))</f>
        <v>34</v>
      </c>
      <c r="E104" s="6" t="s">
        <v>21</v>
      </c>
      <c r="F104" s="6" t="s">
        <v>382</v>
      </c>
      <c r="G104" s="6" t="s">
        <v>34</v>
      </c>
      <c r="H104" s="6" t="s">
        <v>44</v>
      </c>
      <c r="I104" s="8">
        <v>45278</v>
      </c>
      <c r="J104" s="7">
        <f ca="1">DATEDIF(Tableau1[[#This Row],[date recrutement]],TODAY(),"y")</f>
        <v>0</v>
      </c>
      <c r="K104" s="6" t="s">
        <v>25</v>
      </c>
      <c r="L104" s="9">
        <v>91000</v>
      </c>
    </row>
    <row r="105" spans="1:12" x14ac:dyDescent="0.25">
      <c r="A105" s="5" t="s">
        <v>383</v>
      </c>
      <c r="B105" s="6" t="s">
        <v>384</v>
      </c>
      <c r="C105" s="6" t="s">
        <v>385</v>
      </c>
      <c r="D105" s="7">
        <f ca="1">IF(Tableau1[[#This Row],[Naissance]]="",0,DATEDIF(Tableau1[[#This Row],[Naissance]],TODAY(),"y"))</f>
        <v>48</v>
      </c>
      <c r="E105" s="6" t="s">
        <v>21</v>
      </c>
      <c r="F105" s="6" t="s">
        <v>386</v>
      </c>
      <c r="G105" s="6" t="s">
        <v>62</v>
      </c>
      <c r="H105" s="6" t="s">
        <v>79</v>
      </c>
      <c r="I105" s="8">
        <v>44242</v>
      </c>
      <c r="J105" s="7">
        <f ca="1">DATEDIF(Tableau1[[#This Row],[date recrutement]],TODAY(),"y")</f>
        <v>3</v>
      </c>
      <c r="K105" s="6" t="s">
        <v>25</v>
      </c>
      <c r="L105" s="9">
        <v>181000</v>
      </c>
    </row>
    <row r="106" spans="1:12" x14ac:dyDescent="0.25">
      <c r="A106" s="5" t="s">
        <v>387</v>
      </c>
      <c r="B106" s="6" t="s">
        <v>388</v>
      </c>
      <c r="C106" s="6" t="s">
        <v>389</v>
      </c>
      <c r="D106" s="7">
        <f ca="1">IF(Tableau1[[#This Row],[Naissance]]="",0,DATEDIF(Tableau1[[#This Row],[Naissance]],TODAY(),"y"))</f>
        <v>38</v>
      </c>
      <c r="E106" s="6" t="s">
        <v>48</v>
      </c>
      <c r="F106" s="6" t="s">
        <v>61</v>
      </c>
      <c r="G106" s="6" t="s">
        <v>62</v>
      </c>
      <c r="H106" s="6" t="s">
        <v>63</v>
      </c>
      <c r="I106" s="8">
        <v>40252</v>
      </c>
      <c r="J106" s="7">
        <f ca="1">DATEDIF(Tableau1[[#This Row],[date recrutement]],TODAY(),"y")</f>
        <v>14</v>
      </c>
      <c r="K106" s="6" t="s">
        <v>50</v>
      </c>
      <c r="L106" s="9">
        <v>146000</v>
      </c>
    </row>
    <row r="107" spans="1:12" x14ac:dyDescent="0.25">
      <c r="A107" s="5" t="s">
        <v>390</v>
      </c>
      <c r="B107" s="6" t="s">
        <v>391</v>
      </c>
      <c r="C107" s="6" t="s">
        <v>392</v>
      </c>
      <c r="D107" s="7">
        <f ca="1">IF(Tableau1[[#This Row],[Naissance]]="",0,DATEDIF(Tableau1[[#This Row],[Naissance]],TODAY(),"y"))</f>
        <v>31</v>
      </c>
      <c r="E107" s="6" t="s">
        <v>48</v>
      </c>
      <c r="F107" s="6" t="s">
        <v>22</v>
      </c>
      <c r="G107" s="6" t="s">
        <v>23</v>
      </c>
      <c r="H107" s="6" t="s">
        <v>24</v>
      </c>
      <c r="I107" s="8">
        <v>45147</v>
      </c>
      <c r="J107" s="7">
        <f ca="1">DATEDIF(Tableau1[[#This Row],[date recrutement]],TODAY(),"y")</f>
        <v>0</v>
      </c>
      <c r="K107" s="6" t="s">
        <v>25</v>
      </c>
      <c r="L107" s="9">
        <v>236000</v>
      </c>
    </row>
    <row r="108" spans="1:12" x14ac:dyDescent="0.25">
      <c r="A108" s="5" t="s">
        <v>393</v>
      </c>
      <c r="B108" s="6" t="s">
        <v>394</v>
      </c>
      <c r="C108" s="6" t="s">
        <v>395</v>
      </c>
      <c r="D108" s="7">
        <f ca="1">IF(Tableau1[[#This Row],[Naissance]]="",0,DATEDIF(Tableau1[[#This Row],[Naissance]],TODAY(),"y"))</f>
        <v>27</v>
      </c>
      <c r="E108" s="6" t="s">
        <v>48</v>
      </c>
      <c r="F108" s="6" t="s">
        <v>232</v>
      </c>
      <c r="G108" s="6" t="s">
        <v>62</v>
      </c>
      <c r="H108" s="6" t="s">
        <v>63</v>
      </c>
      <c r="I108" s="8">
        <v>44860</v>
      </c>
      <c r="J108" s="7">
        <f ca="1">DATEDIF(Tableau1[[#This Row],[date recrutement]],TODAY(),"y")</f>
        <v>1</v>
      </c>
      <c r="K108" s="6" t="s">
        <v>25</v>
      </c>
      <c r="L108" s="9">
        <v>81000</v>
      </c>
    </row>
    <row r="109" spans="1:12" x14ac:dyDescent="0.25">
      <c r="A109" s="5" t="s">
        <v>396</v>
      </c>
      <c r="B109" s="6" t="s">
        <v>397</v>
      </c>
      <c r="C109" s="6" t="s">
        <v>398</v>
      </c>
      <c r="D109" s="7">
        <f ca="1">IF(Tableau1[[#This Row],[Naissance]]="",0,DATEDIF(Tableau1[[#This Row],[Naissance]],TODAY(),"y"))</f>
        <v>33</v>
      </c>
      <c r="E109" s="6" t="s">
        <v>21</v>
      </c>
      <c r="F109" s="6" t="s">
        <v>399</v>
      </c>
      <c r="G109" s="6" t="s">
        <v>23</v>
      </c>
      <c r="H109" s="6" t="s">
        <v>39</v>
      </c>
      <c r="I109" s="8">
        <v>42941</v>
      </c>
      <c r="J109" s="7">
        <f ca="1">DATEDIF(Tableau1[[#This Row],[date recrutement]],TODAY(),"y")</f>
        <v>6</v>
      </c>
      <c r="K109" s="6" t="s">
        <v>25</v>
      </c>
      <c r="L109" s="9">
        <v>166000</v>
      </c>
    </row>
    <row r="110" spans="1:12" x14ac:dyDescent="0.25">
      <c r="A110" s="5" t="s">
        <v>400</v>
      </c>
      <c r="B110" s="6" t="s">
        <v>401</v>
      </c>
      <c r="C110" s="6" t="s">
        <v>402</v>
      </c>
      <c r="D110" s="7">
        <f ca="1">IF(Tableau1[[#This Row],[Naissance]]="",0,DATEDIF(Tableau1[[#This Row],[Naissance]],TODAY(),"y"))</f>
        <v>40</v>
      </c>
      <c r="E110" s="6" t="s">
        <v>21</v>
      </c>
      <c r="F110" s="6" t="s">
        <v>212</v>
      </c>
      <c r="G110" s="6" t="s">
        <v>62</v>
      </c>
      <c r="H110" s="6" t="s">
        <v>24</v>
      </c>
      <c r="I110" s="8">
        <v>40937</v>
      </c>
      <c r="J110" s="7">
        <f ca="1">DATEDIF(Tableau1[[#This Row],[date recrutement]],TODAY(),"y")</f>
        <v>12</v>
      </c>
      <c r="K110" s="6" t="s">
        <v>25</v>
      </c>
      <c r="L110" s="9">
        <v>221000</v>
      </c>
    </row>
    <row r="111" spans="1:12" x14ac:dyDescent="0.25">
      <c r="A111" s="5" t="s">
        <v>403</v>
      </c>
      <c r="B111" s="6" t="s">
        <v>404</v>
      </c>
      <c r="C111" s="6" t="s">
        <v>405</v>
      </c>
      <c r="D111" s="7">
        <f ca="1">IF(Tableau1[[#This Row],[Naissance]]="",0,DATEDIF(Tableau1[[#This Row],[Naissance]],TODAY(),"y"))</f>
        <v>46</v>
      </c>
      <c r="E111" s="6" t="s">
        <v>21</v>
      </c>
      <c r="F111" s="6" t="s">
        <v>228</v>
      </c>
      <c r="G111" s="6" t="s">
        <v>78</v>
      </c>
      <c r="H111" s="6" t="s">
        <v>44</v>
      </c>
      <c r="I111" s="8">
        <v>43887</v>
      </c>
      <c r="J111" s="7">
        <f ca="1">DATEDIF(Tableau1[[#This Row],[date recrutement]],TODAY(),"y")</f>
        <v>4</v>
      </c>
      <c r="K111" s="6" t="s">
        <v>25</v>
      </c>
      <c r="L111" s="9">
        <v>248000</v>
      </c>
    </row>
    <row r="112" spans="1:12" x14ac:dyDescent="0.25">
      <c r="A112" s="5" t="s">
        <v>406</v>
      </c>
      <c r="B112" s="6" t="s">
        <v>407</v>
      </c>
      <c r="C112" s="6" t="s">
        <v>408</v>
      </c>
      <c r="D112" s="7">
        <f ca="1">IF(Tableau1[[#This Row],[Naissance]]="",0,DATEDIF(Tableau1[[#This Row],[Naissance]],TODAY(),"y"))</f>
        <v>37</v>
      </c>
      <c r="E112" s="6" t="s">
        <v>48</v>
      </c>
      <c r="F112" s="6" t="s">
        <v>22</v>
      </c>
      <c r="G112" s="6" t="s">
        <v>23</v>
      </c>
      <c r="H112" s="6" t="s">
        <v>24</v>
      </c>
      <c r="I112" s="8">
        <v>44878</v>
      </c>
      <c r="J112" s="7">
        <f ca="1">DATEDIF(Tableau1[[#This Row],[date recrutement]],TODAY(),"y")</f>
        <v>1</v>
      </c>
      <c r="K112" s="6" t="s">
        <v>25</v>
      </c>
      <c r="L112" s="9">
        <v>172000</v>
      </c>
    </row>
    <row r="113" spans="1:12" x14ac:dyDescent="0.25">
      <c r="A113" s="5" t="s">
        <v>409</v>
      </c>
      <c r="B113" s="6" t="s">
        <v>410</v>
      </c>
      <c r="C113" s="6" t="s">
        <v>411</v>
      </c>
      <c r="D113" s="7">
        <f ca="1">IF(Tableau1[[#This Row],[Naissance]]="",0,DATEDIF(Tableau1[[#This Row],[Naissance]],TODAY(),"y"))</f>
        <v>27</v>
      </c>
      <c r="E113" s="6" t="s">
        <v>21</v>
      </c>
      <c r="F113" s="6" t="s">
        <v>412</v>
      </c>
      <c r="G113" s="6" t="s">
        <v>34</v>
      </c>
      <c r="H113" s="6" t="s">
        <v>79</v>
      </c>
      <c r="I113" s="8">
        <v>45382</v>
      </c>
      <c r="J113" s="7">
        <f ca="1">DATEDIF(Tableau1[[#This Row],[date recrutement]],TODAY(),"y")</f>
        <v>0</v>
      </c>
      <c r="K113" s="6" t="s">
        <v>25</v>
      </c>
      <c r="L113" s="9">
        <v>122000</v>
      </c>
    </row>
    <row r="114" spans="1:12" x14ac:dyDescent="0.25">
      <c r="A114" s="5" t="s">
        <v>413</v>
      </c>
      <c r="B114" s="6" t="s">
        <v>414</v>
      </c>
      <c r="C114" s="6" t="s">
        <v>415</v>
      </c>
      <c r="D114" s="7">
        <f ca="1">IF(Tableau1[[#This Row],[Naissance]]="",0,DATEDIF(Tableau1[[#This Row],[Naissance]],TODAY(),"y"))</f>
        <v>22</v>
      </c>
      <c r="E114" s="6" t="s">
        <v>48</v>
      </c>
      <c r="F114" s="6" t="s">
        <v>22</v>
      </c>
      <c r="G114" s="6" t="s">
        <v>23</v>
      </c>
      <c r="H114" s="6" t="s">
        <v>24</v>
      </c>
      <c r="I114" s="8">
        <v>45167</v>
      </c>
      <c r="J114" s="7">
        <f ca="1">DATEDIF(Tableau1[[#This Row],[date recrutement]],TODAY(),"y")</f>
        <v>0</v>
      </c>
      <c r="K114" s="6" t="s">
        <v>25</v>
      </c>
      <c r="L114" s="9">
        <v>237000</v>
      </c>
    </row>
    <row r="115" spans="1:12" x14ac:dyDescent="0.25">
      <c r="A115" s="5" t="s">
        <v>416</v>
      </c>
      <c r="B115" s="6" t="s">
        <v>417</v>
      </c>
      <c r="C115" s="8">
        <v>38016</v>
      </c>
      <c r="D115" s="7">
        <f ca="1">IF(Tableau1[[#This Row],[Naissance]]="",0,DATEDIF(Tableau1[[#This Row],[Naissance]],TODAY(),"y"))</f>
        <v>20</v>
      </c>
      <c r="E115" s="6" t="s">
        <v>21</v>
      </c>
      <c r="F115" s="6" t="s">
        <v>22</v>
      </c>
      <c r="G115" s="6" t="s">
        <v>23</v>
      </c>
      <c r="H115" s="6" t="s">
        <v>24</v>
      </c>
      <c r="I115" s="8">
        <v>45321</v>
      </c>
      <c r="J115" s="7">
        <f ca="1">DATEDIF(Tableau1[[#This Row],[date recrutement]],TODAY(),"y")</f>
        <v>0</v>
      </c>
      <c r="K115" s="6" t="s">
        <v>25</v>
      </c>
      <c r="L115" s="9">
        <v>231000</v>
      </c>
    </row>
    <row r="116" spans="1:12" x14ac:dyDescent="0.25">
      <c r="A116" s="5" t="s">
        <v>418</v>
      </c>
      <c r="B116" s="6" t="s">
        <v>419</v>
      </c>
      <c r="C116" s="6" t="s">
        <v>420</v>
      </c>
      <c r="D116" s="7">
        <f ca="1">IF(Tableau1[[#This Row],[Naissance]]="",0,DATEDIF(Tableau1[[#This Row],[Naissance]],TODAY(),"y"))</f>
        <v>57</v>
      </c>
      <c r="E116" s="6" t="s">
        <v>21</v>
      </c>
      <c r="F116" s="6" t="s">
        <v>92</v>
      </c>
      <c r="G116" s="6" t="s">
        <v>23</v>
      </c>
      <c r="H116" s="6" t="s">
        <v>24</v>
      </c>
      <c r="I116" s="8">
        <v>35016</v>
      </c>
      <c r="J116" s="7">
        <f ca="1">DATEDIF(Tableau1[[#This Row],[date recrutement]],TODAY(),"y")</f>
        <v>28</v>
      </c>
      <c r="K116" s="6" t="s">
        <v>50</v>
      </c>
      <c r="L116" s="9">
        <v>239000</v>
      </c>
    </row>
    <row r="117" spans="1:12" x14ac:dyDescent="0.25">
      <c r="A117" s="5" t="s">
        <v>421</v>
      </c>
      <c r="B117" s="6" t="s">
        <v>422</v>
      </c>
      <c r="C117" s="6" t="s">
        <v>423</v>
      </c>
      <c r="D117" s="7">
        <f ca="1">IF(Tableau1[[#This Row],[Naissance]]="",0,DATEDIF(Tableau1[[#This Row],[Naissance]],TODAY(),"y"))</f>
        <v>26</v>
      </c>
      <c r="E117" s="6" t="s">
        <v>21</v>
      </c>
      <c r="F117" s="6" t="s">
        <v>285</v>
      </c>
      <c r="G117" s="6" t="s">
        <v>23</v>
      </c>
      <c r="H117" s="6" t="s">
        <v>24</v>
      </c>
      <c r="I117" s="8">
        <v>44479</v>
      </c>
      <c r="J117" s="7">
        <f ca="1">DATEDIF(Tableau1[[#This Row],[date recrutement]],TODAY(),"y")</f>
        <v>2</v>
      </c>
      <c r="K117" s="6" t="s">
        <v>25</v>
      </c>
      <c r="L117" s="9">
        <v>160000</v>
      </c>
    </row>
    <row r="118" spans="1:12" x14ac:dyDescent="0.25">
      <c r="A118" s="5" t="s">
        <v>424</v>
      </c>
      <c r="B118" s="6" t="s">
        <v>425</v>
      </c>
      <c r="C118" s="6" t="s">
        <v>426</v>
      </c>
      <c r="D118" s="7">
        <f ca="1">IF(Tableau1[[#This Row],[Naissance]]="",0,DATEDIF(Tableau1[[#This Row],[Naissance]],TODAY(),"y"))</f>
        <v>38</v>
      </c>
      <c r="E118" s="6" t="s">
        <v>48</v>
      </c>
      <c r="F118" s="6" t="s">
        <v>427</v>
      </c>
      <c r="G118" s="6" t="s">
        <v>23</v>
      </c>
      <c r="H118" s="6" t="s">
        <v>39</v>
      </c>
      <c r="I118" s="8">
        <v>45243</v>
      </c>
      <c r="J118" s="7">
        <f ca="1">DATEDIF(Tableau1[[#This Row],[date recrutement]],TODAY(),"y")</f>
        <v>0</v>
      </c>
      <c r="K118" s="6" t="s">
        <v>25</v>
      </c>
      <c r="L118" s="9">
        <v>154000</v>
      </c>
    </row>
    <row r="119" spans="1:12" x14ac:dyDescent="0.25">
      <c r="A119" s="5" t="s">
        <v>428</v>
      </c>
      <c r="B119" s="6" t="s">
        <v>429</v>
      </c>
      <c r="C119" s="6" t="s">
        <v>430</v>
      </c>
      <c r="D119" s="7">
        <f ca="1">IF(Tableau1[[#This Row],[Naissance]]="",0,DATEDIF(Tableau1[[#This Row],[Naissance]],TODAY(),"y"))</f>
        <v>49</v>
      </c>
      <c r="E119" s="6" t="s">
        <v>48</v>
      </c>
      <c r="F119" s="6" t="s">
        <v>70</v>
      </c>
      <c r="G119" s="6" t="s">
        <v>62</v>
      </c>
      <c r="H119" s="6" t="s">
        <v>24</v>
      </c>
      <c r="I119" s="8">
        <v>34317</v>
      </c>
      <c r="J119" s="7">
        <f ca="1">DATEDIF(Tableau1[[#This Row],[date recrutement]],TODAY(),"y")</f>
        <v>30</v>
      </c>
      <c r="K119" s="6" t="s">
        <v>50</v>
      </c>
      <c r="L119" s="9">
        <v>181000</v>
      </c>
    </row>
    <row r="120" spans="1:12" x14ac:dyDescent="0.25">
      <c r="A120" s="5" t="s">
        <v>431</v>
      </c>
      <c r="B120" s="6" t="s">
        <v>432</v>
      </c>
      <c r="C120" s="6" t="s">
        <v>433</v>
      </c>
      <c r="D120" s="7">
        <f ca="1">IF(Tableau1[[#This Row],[Naissance]]="",0,DATEDIF(Tableau1[[#This Row],[Naissance]],TODAY(),"y"))</f>
        <v>29</v>
      </c>
      <c r="E120" s="6" t="s">
        <v>21</v>
      </c>
      <c r="F120" s="6" t="s">
        <v>434</v>
      </c>
      <c r="G120" s="6" t="s">
        <v>62</v>
      </c>
      <c r="H120" s="6" t="s">
        <v>79</v>
      </c>
      <c r="I120" s="8">
        <v>43730</v>
      </c>
      <c r="J120" s="7">
        <f ca="1">DATEDIF(Tableau1[[#This Row],[date recrutement]],TODAY(),"y")</f>
        <v>4</v>
      </c>
      <c r="K120" s="6" t="s">
        <v>80</v>
      </c>
      <c r="L120" s="9">
        <v>55000</v>
      </c>
    </row>
    <row r="121" spans="1:12" x14ac:dyDescent="0.25">
      <c r="A121" s="5" t="s">
        <v>435</v>
      </c>
      <c r="B121" s="6" t="s">
        <v>436</v>
      </c>
      <c r="C121" s="6" t="s">
        <v>437</v>
      </c>
      <c r="D121" s="7">
        <f ca="1">IF(Tableau1[[#This Row],[Naissance]]="",0,DATEDIF(Tableau1[[#This Row],[Naissance]],TODAY(),"y"))</f>
        <v>57</v>
      </c>
      <c r="E121" s="6" t="s">
        <v>21</v>
      </c>
      <c r="F121" s="6" t="s">
        <v>189</v>
      </c>
      <c r="G121" s="6" t="s">
        <v>78</v>
      </c>
      <c r="H121" s="6" t="s">
        <v>39</v>
      </c>
      <c r="I121" s="8">
        <v>38992</v>
      </c>
      <c r="J121" s="7">
        <f ca="1">DATEDIF(Tableau1[[#This Row],[date recrutement]],TODAY(),"y")</f>
        <v>17</v>
      </c>
      <c r="K121" s="6" t="s">
        <v>50</v>
      </c>
      <c r="L121" s="9">
        <v>246000</v>
      </c>
    </row>
    <row r="122" spans="1:12" x14ac:dyDescent="0.25">
      <c r="A122" s="5" t="s">
        <v>438</v>
      </c>
      <c r="B122" s="6" t="s">
        <v>439</v>
      </c>
      <c r="C122" s="6" t="s">
        <v>440</v>
      </c>
      <c r="D122" s="7">
        <f ca="1">IF(Tableau1[[#This Row],[Naissance]]="",0,DATEDIF(Tableau1[[#This Row],[Naissance]],TODAY(),"y"))</f>
        <v>49</v>
      </c>
      <c r="E122" s="6" t="s">
        <v>21</v>
      </c>
      <c r="F122" s="6" t="s">
        <v>92</v>
      </c>
      <c r="G122" s="6" t="s">
        <v>23</v>
      </c>
      <c r="H122" s="6" t="s">
        <v>24</v>
      </c>
      <c r="I122" s="8">
        <v>44297</v>
      </c>
      <c r="J122" s="7">
        <f ca="1">DATEDIF(Tableau1[[#This Row],[date recrutement]],TODAY(),"y")</f>
        <v>3</v>
      </c>
      <c r="K122" s="6" t="s">
        <v>25</v>
      </c>
      <c r="L122" s="9">
        <v>141000</v>
      </c>
    </row>
    <row r="123" spans="1:12" x14ac:dyDescent="0.25">
      <c r="A123" s="5" t="s">
        <v>441</v>
      </c>
      <c r="B123" s="6" t="s">
        <v>442</v>
      </c>
      <c r="C123" s="6" t="s">
        <v>443</v>
      </c>
      <c r="D123" s="7">
        <f ca="1">IF(Tableau1[[#This Row],[Naissance]]="",0,DATEDIF(Tableau1[[#This Row],[Naissance]],TODAY(),"y"))</f>
        <v>29</v>
      </c>
      <c r="E123" s="6" t="s">
        <v>48</v>
      </c>
      <c r="F123" s="6" t="s">
        <v>22</v>
      </c>
      <c r="G123" s="6" t="s">
        <v>23</v>
      </c>
      <c r="H123" s="6" t="s">
        <v>24</v>
      </c>
      <c r="I123" s="8">
        <v>45328</v>
      </c>
      <c r="J123" s="7">
        <f ca="1">DATEDIF(Tableau1[[#This Row],[date recrutement]],TODAY(),"y")</f>
        <v>0</v>
      </c>
      <c r="K123" s="6" t="s">
        <v>25</v>
      </c>
      <c r="L123" s="9">
        <v>127000</v>
      </c>
    </row>
    <row r="124" spans="1:12" x14ac:dyDescent="0.25">
      <c r="A124" s="5" t="s">
        <v>444</v>
      </c>
      <c r="B124" s="6" t="s">
        <v>445</v>
      </c>
      <c r="C124" s="6" t="s">
        <v>446</v>
      </c>
      <c r="D124" s="7">
        <f ca="1">IF(Tableau1[[#This Row],[Naissance]]="",0,DATEDIF(Tableau1[[#This Row],[Naissance]],TODAY(),"y"))</f>
        <v>23</v>
      </c>
      <c r="E124" s="6" t="s">
        <v>48</v>
      </c>
      <c r="F124" s="6" t="s">
        <v>22</v>
      </c>
      <c r="G124" s="6" t="s">
        <v>23</v>
      </c>
      <c r="H124" s="6" t="s">
        <v>24</v>
      </c>
      <c r="I124" s="8">
        <v>45330</v>
      </c>
      <c r="J124" s="7">
        <f ca="1">DATEDIF(Tableau1[[#This Row],[date recrutement]],TODAY(),"y")</f>
        <v>0</v>
      </c>
      <c r="K124" s="6" t="s">
        <v>25</v>
      </c>
      <c r="L124" s="9">
        <v>189000</v>
      </c>
    </row>
    <row r="125" spans="1:12" x14ac:dyDescent="0.25">
      <c r="A125" s="5" t="s">
        <v>447</v>
      </c>
      <c r="B125" s="6" t="s">
        <v>448</v>
      </c>
      <c r="C125" s="6" t="s">
        <v>449</v>
      </c>
      <c r="D125" s="7">
        <f ca="1">IF(Tableau1[[#This Row],[Naissance]]="",0,DATEDIF(Tableau1[[#This Row],[Naissance]],TODAY(),"y"))</f>
        <v>44</v>
      </c>
      <c r="E125" s="6" t="s">
        <v>21</v>
      </c>
      <c r="F125" s="6" t="s">
        <v>450</v>
      </c>
      <c r="G125" s="6" t="s">
        <v>23</v>
      </c>
      <c r="H125" s="6" t="s">
        <v>39</v>
      </c>
      <c r="I125" s="8">
        <v>45435</v>
      </c>
      <c r="J125" s="7">
        <f ca="1">DATEDIF(Tableau1[[#This Row],[date recrutement]],TODAY(),"y")</f>
        <v>0</v>
      </c>
      <c r="K125" s="6" t="s">
        <v>25</v>
      </c>
      <c r="L125" s="9">
        <v>159000</v>
      </c>
    </row>
    <row r="126" spans="1:12" x14ac:dyDescent="0.25">
      <c r="A126" s="5" t="s">
        <v>451</v>
      </c>
      <c r="B126" s="6" t="s">
        <v>452</v>
      </c>
      <c r="C126" s="6" t="s">
        <v>453</v>
      </c>
      <c r="D126" s="7">
        <f ca="1">IF(Tableau1[[#This Row],[Naissance]]="",0,DATEDIF(Tableau1[[#This Row],[Naissance]],TODAY(),"y"))</f>
        <v>53</v>
      </c>
      <c r="E126" s="6" t="s">
        <v>21</v>
      </c>
      <c r="F126" s="6" t="s">
        <v>450</v>
      </c>
      <c r="G126" s="6" t="s">
        <v>23</v>
      </c>
      <c r="H126" s="6" t="s">
        <v>24</v>
      </c>
      <c r="I126" s="8">
        <v>42848</v>
      </c>
      <c r="J126" s="7">
        <f ca="1">DATEDIF(Tableau1[[#This Row],[date recrutement]],TODAY(),"y")</f>
        <v>7</v>
      </c>
      <c r="K126" s="6" t="s">
        <v>25</v>
      </c>
      <c r="L126" s="9">
        <v>235000</v>
      </c>
    </row>
    <row r="127" spans="1:12" x14ac:dyDescent="0.25">
      <c r="A127" s="5" t="s">
        <v>454</v>
      </c>
      <c r="B127" s="6" t="s">
        <v>455</v>
      </c>
      <c r="C127" s="6" t="s">
        <v>456</v>
      </c>
      <c r="D127" s="7">
        <f ca="1">IF(Tableau1[[#This Row],[Naissance]]="",0,DATEDIF(Tableau1[[#This Row],[Naissance]],TODAY(),"y"))</f>
        <v>18</v>
      </c>
      <c r="E127" s="6" t="s">
        <v>21</v>
      </c>
      <c r="F127" s="6" t="s">
        <v>22</v>
      </c>
      <c r="G127" s="6" t="s">
        <v>23</v>
      </c>
      <c r="H127" s="6" t="s">
        <v>24</v>
      </c>
      <c r="I127" s="8">
        <v>45319</v>
      </c>
      <c r="J127" s="7">
        <f ca="1">DATEDIF(Tableau1[[#This Row],[date recrutement]],TODAY(),"y")</f>
        <v>0</v>
      </c>
      <c r="K127" s="6" t="s">
        <v>25</v>
      </c>
      <c r="L127" s="9">
        <v>68000</v>
      </c>
    </row>
    <row r="128" spans="1:12" x14ac:dyDescent="0.25">
      <c r="A128" s="5" t="s">
        <v>457</v>
      </c>
      <c r="B128" s="6" t="s">
        <v>458</v>
      </c>
      <c r="C128" s="6" t="s">
        <v>459</v>
      </c>
      <c r="D128" s="7">
        <f ca="1">IF(Tableau1[[#This Row],[Naissance]]="",0,DATEDIF(Tableau1[[#This Row],[Naissance]],TODAY(),"y"))</f>
        <v>26</v>
      </c>
      <c r="E128" s="6" t="s">
        <v>48</v>
      </c>
      <c r="F128" s="6" t="s">
        <v>22</v>
      </c>
      <c r="G128" s="6" t="s">
        <v>23</v>
      </c>
      <c r="H128" s="6" t="s">
        <v>24</v>
      </c>
      <c r="I128" s="8">
        <v>45319</v>
      </c>
      <c r="J128" s="7">
        <f ca="1">DATEDIF(Tableau1[[#This Row],[date recrutement]],TODAY(),"y")</f>
        <v>0</v>
      </c>
      <c r="K128" s="6" t="s">
        <v>80</v>
      </c>
      <c r="L128" s="9">
        <v>51000</v>
      </c>
    </row>
    <row r="129" spans="1:12" x14ac:dyDescent="0.25">
      <c r="A129" s="5" t="s">
        <v>460</v>
      </c>
      <c r="B129" s="6" t="s">
        <v>461</v>
      </c>
      <c r="C129" s="6" t="s">
        <v>462</v>
      </c>
      <c r="D129" s="7">
        <f ca="1">IF(Tableau1[[#This Row],[Naissance]]="",0,DATEDIF(Tableau1[[#This Row],[Naissance]],TODAY(),"y"))</f>
        <v>51</v>
      </c>
      <c r="E129" s="6" t="s">
        <v>21</v>
      </c>
      <c r="F129" s="6" t="s">
        <v>463</v>
      </c>
      <c r="G129" s="6" t="s">
        <v>62</v>
      </c>
      <c r="H129" s="6" t="s">
        <v>24</v>
      </c>
      <c r="I129" s="8">
        <v>39641</v>
      </c>
      <c r="J129" s="7">
        <f ca="1">DATEDIF(Tableau1[[#This Row],[date recrutement]],TODAY(),"y")</f>
        <v>15</v>
      </c>
      <c r="K129" s="6" t="s">
        <v>80</v>
      </c>
      <c r="L129" s="9">
        <v>54000</v>
      </c>
    </row>
    <row r="130" spans="1:12" x14ac:dyDescent="0.25">
      <c r="A130" s="5" t="s">
        <v>464</v>
      </c>
      <c r="B130" s="6" t="s">
        <v>465</v>
      </c>
      <c r="C130" s="6" t="s">
        <v>466</v>
      </c>
      <c r="D130" s="7">
        <f ca="1">IF(Tableau1[[#This Row],[Naissance]]="",0,DATEDIF(Tableau1[[#This Row],[Naissance]],TODAY(),"y"))</f>
        <v>27</v>
      </c>
      <c r="E130" s="6" t="s">
        <v>21</v>
      </c>
      <c r="F130" s="6" t="s">
        <v>301</v>
      </c>
      <c r="G130" s="6" t="s">
        <v>23</v>
      </c>
      <c r="H130" s="6" t="s">
        <v>79</v>
      </c>
      <c r="I130" s="8">
        <v>45188</v>
      </c>
      <c r="J130" s="7">
        <f ca="1">DATEDIF(Tableau1[[#This Row],[date recrutement]],TODAY(),"y")</f>
        <v>0</v>
      </c>
      <c r="K130" s="6" t="s">
        <v>25</v>
      </c>
      <c r="L130" s="9">
        <v>104000</v>
      </c>
    </row>
    <row r="131" spans="1:12" x14ac:dyDescent="0.25">
      <c r="A131" s="5" t="s">
        <v>467</v>
      </c>
      <c r="B131" s="6" t="s">
        <v>468</v>
      </c>
      <c r="C131" s="6" t="s">
        <v>469</v>
      </c>
      <c r="D131" s="7">
        <f ca="1">IF(Tableau1[[#This Row],[Naissance]]="",0,DATEDIF(Tableau1[[#This Row],[Naissance]],TODAY(),"y"))</f>
        <v>46</v>
      </c>
      <c r="E131" s="6" t="s">
        <v>21</v>
      </c>
      <c r="F131" s="6" t="s">
        <v>22</v>
      </c>
      <c r="G131" s="6" t="s">
        <v>23</v>
      </c>
      <c r="H131" s="6" t="s">
        <v>24</v>
      </c>
      <c r="I131" s="8">
        <v>45407</v>
      </c>
      <c r="J131" s="7">
        <f ca="1">DATEDIF(Tableau1[[#This Row],[date recrutement]],TODAY(),"y")</f>
        <v>0</v>
      </c>
      <c r="K131" s="6" t="s">
        <v>25</v>
      </c>
      <c r="L131" s="9">
        <v>114000</v>
      </c>
    </row>
    <row r="132" spans="1:12" x14ac:dyDescent="0.25">
      <c r="A132" s="5" t="s">
        <v>470</v>
      </c>
      <c r="B132" s="6" t="s">
        <v>471</v>
      </c>
      <c r="C132" s="6" t="s">
        <v>472</v>
      </c>
      <c r="D132" s="7">
        <f ca="1">IF(Tableau1[[#This Row],[Naissance]]="",0,DATEDIF(Tableau1[[#This Row],[Naissance]],TODAY(),"y"))</f>
        <v>31</v>
      </c>
      <c r="E132" s="6" t="s">
        <v>21</v>
      </c>
      <c r="F132" s="6" t="s">
        <v>301</v>
      </c>
      <c r="G132" s="6" t="s">
        <v>23</v>
      </c>
      <c r="H132" s="6" t="s">
        <v>99</v>
      </c>
      <c r="I132" s="8">
        <v>44784</v>
      </c>
      <c r="J132" s="7">
        <f ca="1">DATEDIF(Tableau1[[#This Row],[date recrutement]],TODAY(),"y")</f>
        <v>1</v>
      </c>
      <c r="K132" s="6" t="s">
        <v>25</v>
      </c>
      <c r="L132" s="9">
        <v>137000</v>
      </c>
    </row>
    <row r="133" spans="1:12" x14ac:dyDescent="0.25">
      <c r="A133" s="5" t="s">
        <v>473</v>
      </c>
      <c r="B133" s="6" t="s">
        <v>474</v>
      </c>
      <c r="C133" s="6" t="s">
        <v>475</v>
      </c>
      <c r="D133" s="7">
        <f ca="1">IF(Tableau1[[#This Row],[Naissance]]="",0,DATEDIF(Tableau1[[#This Row],[Naissance]],TODAY(),"y"))</f>
        <v>53</v>
      </c>
      <c r="E133" s="6" t="s">
        <v>48</v>
      </c>
      <c r="F133" s="6" t="s">
        <v>476</v>
      </c>
      <c r="G133" s="6" t="s">
        <v>78</v>
      </c>
      <c r="H133" s="6" t="s">
        <v>99</v>
      </c>
      <c r="I133" s="8">
        <v>44502</v>
      </c>
      <c r="J133" s="7">
        <f ca="1">DATEDIF(Tableau1[[#This Row],[date recrutement]],TODAY(),"y")</f>
        <v>2</v>
      </c>
      <c r="K133" s="6" t="s">
        <v>25</v>
      </c>
      <c r="L133" s="9">
        <v>151000</v>
      </c>
    </row>
    <row r="134" spans="1:12" x14ac:dyDescent="0.25">
      <c r="A134" s="5" t="s">
        <v>477</v>
      </c>
      <c r="B134" s="6" t="s">
        <v>478</v>
      </c>
      <c r="C134" s="6" t="s">
        <v>479</v>
      </c>
      <c r="D134" s="7">
        <f ca="1">IF(Tableau1[[#This Row],[Naissance]]="",0,DATEDIF(Tableau1[[#This Row],[Naissance]],TODAY(),"y"))</f>
        <v>53</v>
      </c>
      <c r="E134" s="6" t="s">
        <v>48</v>
      </c>
      <c r="F134" s="6" t="s">
        <v>22</v>
      </c>
      <c r="G134" s="6" t="s">
        <v>23</v>
      </c>
      <c r="H134" s="6" t="s">
        <v>24</v>
      </c>
      <c r="I134" s="8">
        <v>34092</v>
      </c>
      <c r="J134" s="7">
        <f ca="1">DATEDIF(Tableau1[[#This Row],[date recrutement]],TODAY(),"y")</f>
        <v>31</v>
      </c>
      <c r="K134" s="6" t="s">
        <v>25</v>
      </c>
      <c r="L134" s="9">
        <v>187000</v>
      </c>
    </row>
    <row r="135" spans="1:12" x14ac:dyDescent="0.25">
      <c r="A135" s="5" t="s">
        <v>480</v>
      </c>
      <c r="B135" s="6" t="s">
        <v>481</v>
      </c>
      <c r="C135" s="6" t="s">
        <v>482</v>
      </c>
      <c r="D135" s="7">
        <f ca="1">IF(Tableau1[[#This Row],[Naissance]]="",0,DATEDIF(Tableau1[[#This Row],[Naissance]],TODAY(),"y"))</f>
        <v>45</v>
      </c>
      <c r="E135" s="6" t="s">
        <v>21</v>
      </c>
      <c r="F135" s="6" t="s">
        <v>160</v>
      </c>
      <c r="G135" s="6" t="s">
        <v>23</v>
      </c>
      <c r="H135" s="6" t="s">
        <v>99</v>
      </c>
      <c r="I135" s="8">
        <v>44899</v>
      </c>
      <c r="J135" s="7">
        <f ca="1">DATEDIF(Tableau1[[#This Row],[date recrutement]],TODAY(),"y")</f>
        <v>1</v>
      </c>
      <c r="K135" s="6" t="s">
        <v>25</v>
      </c>
      <c r="L135" s="9">
        <v>168000</v>
      </c>
    </row>
    <row r="136" spans="1:12" x14ac:dyDescent="0.25">
      <c r="A136" s="5" t="s">
        <v>483</v>
      </c>
      <c r="B136" s="6" t="s">
        <v>484</v>
      </c>
      <c r="C136" s="6" t="s">
        <v>485</v>
      </c>
      <c r="D136" s="7">
        <f ca="1">IF(Tableau1[[#This Row],[Naissance]]="",0,DATEDIF(Tableau1[[#This Row],[Naissance]],TODAY(),"y"))</f>
        <v>48</v>
      </c>
      <c r="E136" s="6" t="s">
        <v>48</v>
      </c>
      <c r="F136" s="6" t="s">
        <v>486</v>
      </c>
      <c r="G136" s="6" t="s">
        <v>23</v>
      </c>
      <c r="H136" s="6" t="s">
        <v>39</v>
      </c>
      <c r="I136" s="8">
        <v>42467</v>
      </c>
      <c r="J136" s="7">
        <f ca="1">DATEDIF(Tableau1[[#This Row],[date recrutement]],TODAY(),"y")</f>
        <v>8</v>
      </c>
      <c r="K136" s="6" t="s">
        <v>25</v>
      </c>
      <c r="L136" s="9">
        <v>209000</v>
      </c>
    </row>
    <row r="137" spans="1:12" x14ac:dyDescent="0.25">
      <c r="A137" s="5" t="s">
        <v>487</v>
      </c>
      <c r="B137" s="6" t="s">
        <v>488</v>
      </c>
      <c r="C137" s="6" t="s">
        <v>489</v>
      </c>
      <c r="D137" s="7">
        <f ca="1">IF(Tableau1[[#This Row],[Naissance]]="",0,DATEDIF(Tableau1[[#This Row],[Naissance]],TODAY(),"y"))</f>
        <v>48</v>
      </c>
      <c r="E137" s="6" t="s">
        <v>48</v>
      </c>
      <c r="F137" s="6" t="s">
        <v>22</v>
      </c>
      <c r="G137" s="6" t="s">
        <v>23</v>
      </c>
      <c r="H137" s="6" t="s">
        <v>24</v>
      </c>
      <c r="I137" s="8">
        <v>45424</v>
      </c>
      <c r="J137" s="7">
        <f ca="1">DATEDIF(Tableau1[[#This Row],[date recrutement]],TODAY(),"y")</f>
        <v>0</v>
      </c>
      <c r="K137" s="6" t="s">
        <v>25</v>
      </c>
      <c r="L137" s="9">
        <v>126000</v>
      </c>
    </row>
    <row r="138" spans="1:12" x14ac:dyDescent="0.25">
      <c r="A138" s="5" t="s">
        <v>490</v>
      </c>
      <c r="B138" s="6" t="s">
        <v>491</v>
      </c>
      <c r="C138" s="6" t="s">
        <v>492</v>
      </c>
      <c r="D138" s="7">
        <f ca="1">IF(Tableau1[[#This Row],[Naissance]]="",0,DATEDIF(Tableau1[[#This Row],[Naissance]],TODAY(),"y"))</f>
        <v>42</v>
      </c>
      <c r="E138" s="6" t="s">
        <v>48</v>
      </c>
      <c r="F138" s="6" t="s">
        <v>493</v>
      </c>
      <c r="G138" s="6" t="s">
        <v>23</v>
      </c>
      <c r="H138" s="6" t="s">
        <v>24</v>
      </c>
      <c r="I138" s="8">
        <v>39781</v>
      </c>
      <c r="J138" s="7">
        <f ca="1">DATEDIF(Tableau1[[#This Row],[date recrutement]],TODAY(),"y")</f>
        <v>15</v>
      </c>
      <c r="K138" s="6" t="s">
        <v>50</v>
      </c>
      <c r="L138" s="9">
        <v>182000</v>
      </c>
    </row>
    <row r="139" spans="1:12" x14ac:dyDescent="0.25">
      <c r="A139" s="5" t="s">
        <v>494</v>
      </c>
      <c r="B139" s="6" t="s">
        <v>495</v>
      </c>
      <c r="C139" s="6" t="s">
        <v>430</v>
      </c>
      <c r="D139" s="7">
        <f ca="1">IF(Tableau1[[#This Row],[Naissance]]="",0,DATEDIF(Tableau1[[#This Row],[Naissance]],TODAY(),"y"))</f>
        <v>49</v>
      </c>
      <c r="E139" s="6" t="s">
        <v>48</v>
      </c>
      <c r="F139" s="6" t="s">
        <v>22</v>
      </c>
      <c r="G139" s="6" t="s">
        <v>23</v>
      </c>
      <c r="H139" s="6" t="s">
        <v>24</v>
      </c>
      <c r="I139" s="8">
        <v>45420</v>
      </c>
      <c r="J139" s="7">
        <f ca="1">DATEDIF(Tableau1[[#This Row],[date recrutement]],TODAY(),"y")</f>
        <v>0</v>
      </c>
      <c r="K139" s="6" t="s">
        <v>25</v>
      </c>
      <c r="L139" s="9">
        <v>225000</v>
      </c>
    </row>
    <row r="140" spans="1:12" x14ac:dyDescent="0.25">
      <c r="A140" s="5" t="s">
        <v>496</v>
      </c>
      <c r="B140" s="6" t="s">
        <v>497</v>
      </c>
      <c r="C140" s="6" t="s">
        <v>498</v>
      </c>
      <c r="D140" s="7">
        <f ca="1">IF(Tableau1[[#This Row],[Naissance]]="",0,DATEDIF(Tableau1[[#This Row],[Naissance]],TODAY(),"y"))</f>
        <v>43</v>
      </c>
      <c r="E140" s="6" t="s">
        <v>48</v>
      </c>
      <c r="F140" s="6" t="s">
        <v>22</v>
      </c>
      <c r="G140" s="6" t="s">
        <v>23</v>
      </c>
      <c r="H140" s="6" t="s">
        <v>24</v>
      </c>
      <c r="I140" s="8">
        <v>45165</v>
      </c>
      <c r="J140" s="7">
        <f ca="1">DATEDIF(Tableau1[[#This Row],[date recrutement]],TODAY(),"y")</f>
        <v>0</v>
      </c>
      <c r="K140" s="6" t="s">
        <v>25</v>
      </c>
      <c r="L140" s="9">
        <v>145000</v>
      </c>
    </row>
    <row r="141" spans="1:12" x14ac:dyDescent="0.25">
      <c r="A141" s="5" t="s">
        <v>499</v>
      </c>
      <c r="B141" s="6" t="s">
        <v>500</v>
      </c>
      <c r="C141" s="6" t="s">
        <v>501</v>
      </c>
      <c r="D141" s="7">
        <f ca="1">IF(Tableau1[[#This Row],[Naissance]]="",0,DATEDIF(Tableau1[[#This Row],[Naissance]],TODAY(),"y"))</f>
        <v>48</v>
      </c>
      <c r="E141" s="6" t="s">
        <v>48</v>
      </c>
      <c r="F141" s="6" t="s">
        <v>502</v>
      </c>
      <c r="G141" s="6" t="s">
        <v>23</v>
      </c>
      <c r="H141" s="6" t="s">
        <v>39</v>
      </c>
      <c r="I141" s="8">
        <v>42775</v>
      </c>
      <c r="J141" s="7">
        <f ca="1">DATEDIF(Tableau1[[#This Row],[date recrutement]],TODAY(),"y")</f>
        <v>7</v>
      </c>
      <c r="K141" s="6" t="s">
        <v>25</v>
      </c>
      <c r="L141" s="9">
        <v>237000</v>
      </c>
    </row>
    <row r="142" spans="1:12" x14ac:dyDescent="0.25">
      <c r="A142" s="5" t="s">
        <v>503</v>
      </c>
      <c r="B142" s="6" t="s">
        <v>504</v>
      </c>
      <c r="C142" s="6" t="s">
        <v>505</v>
      </c>
      <c r="D142" s="7">
        <f ca="1">IF(Tableau1[[#This Row],[Naissance]]="",0,DATEDIF(Tableau1[[#This Row],[Naissance]],TODAY(),"y"))</f>
        <v>33</v>
      </c>
      <c r="E142" s="6" t="s">
        <v>48</v>
      </c>
      <c r="F142" s="6" t="s">
        <v>22</v>
      </c>
      <c r="G142" s="6" t="s">
        <v>23</v>
      </c>
      <c r="H142" s="6" t="s">
        <v>24</v>
      </c>
      <c r="I142" s="8">
        <v>45319</v>
      </c>
      <c r="J142" s="7">
        <f ca="1">DATEDIF(Tableau1[[#This Row],[date recrutement]],TODAY(),"y")</f>
        <v>0</v>
      </c>
      <c r="K142" s="6" t="s">
        <v>25</v>
      </c>
      <c r="L142" s="9">
        <v>177000</v>
      </c>
    </row>
    <row r="143" spans="1:12" x14ac:dyDescent="0.25">
      <c r="A143" s="5" t="s">
        <v>506</v>
      </c>
      <c r="B143" s="6" t="s">
        <v>507</v>
      </c>
      <c r="C143" s="6" t="s">
        <v>508</v>
      </c>
      <c r="D143" s="7">
        <f ca="1">IF(Tableau1[[#This Row],[Naissance]]="",0,DATEDIF(Tableau1[[#This Row],[Naissance]],TODAY(),"y"))</f>
        <v>33</v>
      </c>
      <c r="E143" s="6" t="s">
        <v>21</v>
      </c>
      <c r="F143" s="6" t="s">
        <v>509</v>
      </c>
      <c r="G143" s="6" t="s">
        <v>34</v>
      </c>
      <c r="H143" s="6" t="s">
        <v>204</v>
      </c>
      <c r="I143" s="8">
        <v>45309</v>
      </c>
      <c r="J143" s="7">
        <f ca="1">DATEDIF(Tableau1[[#This Row],[date recrutement]],TODAY(),"y")</f>
        <v>0</v>
      </c>
      <c r="K143" s="6" t="s">
        <v>25</v>
      </c>
      <c r="L143" s="9">
        <v>174000</v>
      </c>
    </row>
    <row r="144" spans="1:12" x14ac:dyDescent="0.25">
      <c r="A144" s="5" t="s">
        <v>510</v>
      </c>
      <c r="B144" s="6" t="s">
        <v>511</v>
      </c>
      <c r="C144" s="6" t="s">
        <v>512</v>
      </c>
      <c r="D144" s="7">
        <f ca="1">IF(Tableau1[[#This Row],[Naissance]]="",0,DATEDIF(Tableau1[[#This Row],[Naissance]],TODAY(),"y"))</f>
        <v>27</v>
      </c>
      <c r="E144" s="6" t="s">
        <v>21</v>
      </c>
      <c r="F144" s="6" t="s">
        <v>22</v>
      </c>
      <c r="G144" s="6" t="s">
        <v>23</v>
      </c>
      <c r="H144" s="6" t="s">
        <v>24</v>
      </c>
      <c r="I144" s="8">
        <v>45321</v>
      </c>
      <c r="J144" s="7">
        <f ca="1">DATEDIF(Tableau1[[#This Row],[date recrutement]],TODAY(),"y")</f>
        <v>0</v>
      </c>
      <c r="K144" s="6" t="s">
        <v>25</v>
      </c>
      <c r="L144" s="9">
        <v>106000</v>
      </c>
    </row>
    <row r="145" spans="1:12" x14ac:dyDescent="0.25">
      <c r="A145" s="5" t="s">
        <v>513</v>
      </c>
      <c r="B145" s="6" t="s">
        <v>514</v>
      </c>
      <c r="C145" s="6" t="s">
        <v>515</v>
      </c>
      <c r="D145" s="7">
        <f ca="1">IF(Tableau1[[#This Row],[Naissance]]="",0,DATEDIF(Tableau1[[#This Row],[Naissance]],TODAY(),"y"))</f>
        <v>23</v>
      </c>
      <c r="E145" s="6" t="s">
        <v>21</v>
      </c>
      <c r="F145" s="6" t="s">
        <v>516</v>
      </c>
      <c r="G145" s="6" t="s">
        <v>23</v>
      </c>
      <c r="H145" s="6" t="s">
        <v>39</v>
      </c>
      <c r="I145" s="8">
        <v>45302</v>
      </c>
      <c r="J145" s="7">
        <f ca="1">DATEDIF(Tableau1[[#This Row],[date recrutement]],TODAY(),"y")</f>
        <v>0</v>
      </c>
      <c r="K145" s="6" t="s">
        <v>25</v>
      </c>
      <c r="L145" s="9">
        <v>223000</v>
      </c>
    </row>
    <row r="146" spans="1:12" x14ac:dyDescent="0.25">
      <c r="A146" s="5" t="s">
        <v>517</v>
      </c>
      <c r="B146" s="6" t="s">
        <v>518</v>
      </c>
      <c r="C146" s="6" t="s">
        <v>519</v>
      </c>
      <c r="D146" s="7">
        <f ca="1">IF(Tableau1[[#This Row],[Naissance]]="",0,DATEDIF(Tableau1[[#This Row],[Naissance]],TODAY(),"y"))</f>
        <v>24</v>
      </c>
      <c r="E146" s="6" t="s">
        <v>48</v>
      </c>
      <c r="F146" s="6" t="s">
        <v>232</v>
      </c>
      <c r="G146" s="6" t="s">
        <v>62</v>
      </c>
      <c r="H146" s="6" t="s">
        <v>63</v>
      </c>
      <c r="I146" s="8">
        <v>45123</v>
      </c>
      <c r="J146" s="7">
        <f ca="1">DATEDIF(Tableau1[[#This Row],[date recrutement]],TODAY(),"y")</f>
        <v>0</v>
      </c>
      <c r="K146" s="6" t="s">
        <v>25</v>
      </c>
      <c r="L146" s="9">
        <v>150000</v>
      </c>
    </row>
    <row r="147" spans="1:12" x14ac:dyDescent="0.25">
      <c r="A147" s="5" t="s">
        <v>520</v>
      </c>
      <c r="B147" s="6" t="s">
        <v>521</v>
      </c>
      <c r="C147" s="6" t="s">
        <v>522</v>
      </c>
      <c r="D147" s="7">
        <f ca="1">IF(Tableau1[[#This Row],[Naissance]]="",0,DATEDIF(Tableau1[[#This Row],[Naissance]],TODAY(),"y"))</f>
        <v>25</v>
      </c>
      <c r="E147" s="6" t="s">
        <v>21</v>
      </c>
      <c r="F147" s="6" t="s">
        <v>22</v>
      </c>
      <c r="G147" s="6" t="s">
        <v>23</v>
      </c>
      <c r="H147" s="6" t="s">
        <v>24</v>
      </c>
      <c r="I147" s="8">
        <v>45333</v>
      </c>
      <c r="J147" s="7">
        <f ca="1">DATEDIF(Tableau1[[#This Row],[date recrutement]],TODAY(),"y")</f>
        <v>0</v>
      </c>
      <c r="K147" s="6" t="s">
        <v>25</v>
      </c>
      <c r="L147" s="9">
        <v>210000</v>
      </c>
    </row>
    <row r="148" spans="1:12" x14ac:dyDescent="0.25">
      <c r="A148" s="5" t="s">
        <v>523</v>
      </c>
      <c r="B148" s="6" t="s">
        <v>524</v>
      </c>
      <c r="C148" s="6" t="s">
        <v>525</v>
      </c>
      <c r="D148" s="7">
        <f ca="1">IF(Tableau1[[#This Row],[Naissance]]="",0,DATEDIF(Tableau1[[#This Row],[Naissance]],TODAY(),"y"))</f>
        <v>26</v>
      </c>
      <c r="E148" s="6" t="s">
        <v>21</v>
      </c>
      <c r="F148" s="6" t="s">
        <v>22</v>
      </c>
      <c r="G148" s="6" t="s">
        <v>23</v>
      </c>
      <c r="H148" s="6" t="s">
        <v>24</v>
      </c>
      <c r="I148" s="8">
        <v>45421</v>
      </c>
      <c r="J148" s="7">
        <f ca="1">DATEDIF(Tableau1[[#This Row],[date recrutement]],TODAY(),"y")</f>
        <v>0</v>
      </c>
      <c r="K148" s="6" t="s">
        <v>25</v>
      </c>
      <c r="L148" s="9">
        <v>214000</v>
      </c>
    </row>
    <row r="149" spans="1:12" x14ac:dyDescent="0.25">
      <c r="A149" s="5" t="s">
        <v>526</v>
      </c>
      <c r="B149" s="6" t="s">
        <v>527</v>
      </c>
      <c r="C149" s="6" t="s">
        <v>528</v>
      </c>
      <c r="D149" s="7">
        <f ca="1">IF(Tableau1[[#This Row],[Naissance]]="",0,DATEDIF(Tableau1[[#This Row],[Naissance]],TODAY(),"y"))</f>
        <v>42</v>
      </c>
      <c r="E149" s="6" t="s">
        <v>21</v>
      </c>
      <c r="F149" s="6" t="s">
        <v>529</v>
      </c>
      <c r="G149" s="6" t="s">
        <v>62</v>
      </c>
      <c r="H149" s="6" t="s">
        <v>79</v>
      </c>
      <c r="I149" s="8">
        <v>42653</v>
      </c>
      <c r="J149" s="7">
        <f ca="1">DATEDIF(Tableau1[[#This Row],[date recrutement]],TODAY(),"y")</f>
        <v>7</v>
      </c>
      <c r="K149" s="6" t="s">
        <v>25</v>
      </c>
      <c r="L149" s="9">
        <v>166000</v>
      </c>
    </row>
    <row r="150" spans="1:12" x14ac:dyDescent="0.25">
      <c r="A150" s="5" t="s">
        <v>530</v>
      </c>
      <c r="B150" s="6" t="s">
        <v>531</v>
      </c>
      <c r="C150" s="8">
        <v>38016</v>
      </c>
      <c r="D150" s="7">
        <f ca="1">IF(Tableau1[[#This Row],[Naissance]]="",0,DATEDIF(Tableau1[[#This Row],[Naissance]],TODAY(),"y"))</f>
        <v>20</v>
      </c>
      <c r="E150" s="6" t="s">
        <v>21</v>
      </c>
      <c r="F150" s="6" t="s">
        <v>22</v>
      </c>
      <c r="G150" s="6" t="s">
        <v>23</v>
      </c>
      <c r="H150" s="6" t="s">
        <v>24</v>
      </c>
      <c r="I150" s="8">
        <v>45321</v>
      </c>
      <c r="J150" s="7">
        <f ca="1">DATEDIF(Tableau1[[#This Row],[date recrutement]],TODAY(),"y")</f>
        <v>0</v>
      </c>
      <c r="K150" s="6" t="s">
        <v>50</v>
      </c>
      <c r="L150" s="9">
        <v>125000</v>
      </c>
    </row>
    <row r="151" spans="1:12" x14ac:dyDescent="0.25">
      <c r="A151" s="5" t="s">
        <v>532</v>
      </c>
      <c r="B151" s="6" t="s">
        <v>533</v>
      </c>
      <c r="C151" s="6" t="s">
        <v>534</v>
      </c>
      <c r="D151" s="7">
        <f ca="1">IF(Tableau1[[#This Row],[Naissance]]="",0,DATEDIF(Tableau1[[#This Row],[Naissance]],TODAY(),"y"))</f>
        <v>34</v>
      </c>
      <c r="E151" s="6" t="s">
        <v>48</v>
      </c>
      <c r="F151" s="6" t="s">
        <v>22</v>
      </c>
      <c r="G151" s="6" t="s">
        <v>23</v>
      </c>
      <c r="H151" s="6" t="s">
        <v>24</v>
      </c>
      <c r="I151" s="8">
        <v>45419</v>
      </c>
      <c r="J151" s="7">
        <f ca="1">DATEDIF(Tableau1[[#This Row],[date recrutement]],TODAY(),"y")</f>
        <v>0</v>
      </c>
      <c r="K151" s="6" t="s">
        <v>25</v>
      </c>
      <c r="L151" s="9">
        <v>78000</v>
      </c>
    </row>
    <row r="152" spans="1:12" x14ac:dyDescent="0.25">
      <c r="A152" s="5" t="s">
        <v>535</v>
      </c>
      <c r="B152" s="6" t="s">
        <v>536</v>
      </c>
      <c r="C152" s="6" t="s">
        <v>537</v>
      </c>
      <c r="D152" s="7">
        <f ca="1">IF(Tableau1[[#This Row],[Naissance]]="",0,DATEDIF(Tableau1[[#This Row],[Naissance]],TODAY(),"y"))</f>
        <v>56</v>
      </c>
      <c r="E152" s="6" t="s">
        <v>21</v>
      </c>
      <c r="F152" s="6" t="s">
        <v>38</v>
      </c>
      <c r="G152" s="6" t="s">
        <v>23</v>
      </c>
      <c r="H152" s="6" t="s">
        <v>39</v>
      </c>
      <c r="I152" s="8">
        <v>37450</v>
      </c>
      <c r="J152" s="7">
        <f ca="1">DATEDIF(Tableau1[[#This Row],[date recrutement]],TODAY(),"y")</f>
        <v>21</v>
      </c>
      <c r="K152" s="6" t="s">
        <v>50</v>
      </c>
      <c r="L152" s="9">
        <v>206000</v>
      </c>
    </row>
    <row r="153" spans="1:12" x14ac:dyDescent="0.25">
      <c r="A153" s="5" t="s">
        <v>538</v>
      </c>
      <c r="B153" s="6" t="s">
        <v>539</v>
      </c>
      <c r="C153" s="6" t="s">
        <v>540</v>
      </c>
      <c r="D153" s="7">
        <f ca="1">IF(Tableau1[[#This Row],[Naissance]]="",0,DATEDIF(Tableau1[[#This Row],[Naissance]],TODAY(),"y"))</f>
        <v>23</v>
      </c>
      <c r="E153" s="6" t="s">
        <v>21</v>
      </c>
      <c r="F153" s="6" t="s">
        <v>22</v>
      </c>
      <c r="G153" s="6" t="s">
        <v>23</v>
      </c>
      <c r="H153" s="6" t="s">
        <v>24</v>
      </c>
      <c r="I153" s="8">
        <v>45418</v>
      </c>
      <c r="J153" s="7">
        <f ca="1">DATEDIF(Tableau1[[#This Row],[date recrutement]],TODAY(),"y")</f>
        <v>0</v>
      </c>
      <c r="K153" s="6" t="s">
        <v>25</v>
      </c>
      <c r="L153" s="9">
        <v>139000</v>
      </c>
    </row>
    <row r="154" spans="1:12" x14ac:dyDescent="0.25">
      <c r="A154" s="5" t="s">
        <v>541</v>
      </c>
      <c r="B154" s="6" t="s">
        <v>542</v>
      </c>
      <c r="C154" s="6" t="s">
        <v>543</v>
      </c>
      <c r="D154" s="7">
        <f ca="1">IF(Tableau1[[#This Row],[Naissance]]="",0,DATEDIF(Tableau1[[#This Row],[Naissance]],TODAY(),"y"))</f>
        <v>52</v>
      </c>
      <c r="E154" s="6" t="s">
        <v>21</v>
      </c>
      <c r="F154" s="6" t="s">
        <v>38</v>
      </c>
      <c r="G154" s="6" t="s">
        <v>23</v>
      </c>
      <c r="H154" s="6" t="s">
        <v>39</v>
      </c>
      <c r="I154" s="8">
        <v>42711</v>
      </c>
      <c r="J154" s="7">
        <f ca="1">DATEDIF(Tableau1[[#This Row],[date recrutement]],TODAY(),"y")</f>
        <v>7</v>
      </c>
      <c r="K154" s="6" t="s">
        <v>25</v>
      </c>
      <c r="L154" s="9">
        <v>165000</v>
      </c>
    </row>
  </sheetData>
  <dataValidations count="2">
    <dataValidation type="list" allowBlank="1" showInputMessage="1" showErrorMessage="1" sqref="G2:G154" xr:uid="{DE441BCD-FE1E-44DE-A7C0-F12DA4D382D2}">
      <formula1>LISTEDESGSP</formula1>
    </dataValidation>
    <dataValidation type="list" allowBlank="1" showInputMessage="1" showErrorMessage="1" sqref="E2:E154" xr:uid="{C5685E57-EA75-48A6-8BDF-33C200C870C2}">
      <formula1>LISTEMF</formula1>
    </dataValidation>
  </dataValidations>
  <pageMargins left="0.7" right="0.7" top="0.75" bottom="0.75" header="0.3" footer="0.3"/>
  <pageSetup paperSize="9" scale="74" orientation="landscape" verticalDpi="0" r:id="rId1"/>
  <colBreaks count="1" manualBreakCount="1">
    <brk id="11" max="175" man="1"/>
  </col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53E1-CC23-4244-8CE7-25FB70D9FB71}">
  <dimension ref="J2:J7"/>
  <sheetViews>
    <sheetView workbookViewId="0">
      <selection activeCell="H16" sqref="H16"/>
    </sheetView>
  </sheetViews>
  <sheetFormatPr baseColWidth="10" defaultRowHeight="15" x14ac:dyDescent="0.25"/>
  <cols>
    <col min="10" max="10" width="23.85546875" bestFit="1" customWidth="1"/>
  </cols>
  <sheetData>
    <row r="2" spans="10:10" x14ac:dyDescent="0.25">
      <c r="J2" t="s">
        <v>0</v>
      </c>
    </row>
    <row r="3" spans="10:10" x14ac:dyDescent="0.25">
      <c r="J3" t="s">
        <v>1</v>
      </c>
    </row>
    <row r="4" spans="10:10" x14ac:dyDescent="0.25">
      <c r="J4" t="s">
        <v>2</v>
      </c>
    </row>
    <row r="5" spans="10:10" x14ac:dyDescent="0.25">
      <c r="J5" t="s">
        <v>3</v>
      </c>
    </row>
    <row r="6" spans="10:10" x14ac:dyDescent="0.25">
      <c r="J6" t="s">
        <v>4</v>
      </c>
    </row>
    <row r="7" spans="10:10" x14ac:dyDescent="0.25">
      <c r="J7" t="s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B00C-4E5C-4994-A5D8-0C8A2EA30884}">
  <dimension ref="A1"/>
  <sheetViews>
    <sheetView workbookViewId="0">
      <selection activeCell="D23" sqref="D23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BASE DES DONNEES </vt:lpstr>
      <vt:lpstr>ICON</vt:lpstr>
      <vt:lpstr>TDB</vt:lpstr>
      <vt:lpstr>'BASE DES DONNEES 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Aymen Excel</dc:creator>
  <cp:lastModifiedBy>aymen sidali</cp:lastModifiedBy>
  <dcterms:created xsi:type="dcterms:W3CDTF">2015-06-05T18:17:20Z</dcterms:created>
  <dcterms:modified xsi:type="dcterms:W3CDTF">2024-06-21T10:43:53Z</dcterms:modified>
</cp:coreProperties>
</file>