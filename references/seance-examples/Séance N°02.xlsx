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Dell\Desktop\Formation Excel aya\"/>
    </mc:Choice>
  </mc:AlternateContent>
  <xr:revisionPtr revIDLastSave="0" documentId="13_ncr:1_{2ACF1252-8652-4BF8-B93E-F3DB5EF780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lidation des données" sheetId="2" r:id="rId1"/>
    <sheet name="mise en forme conditionnelle" sheetId="1" r:id="rId2"/>
    <sheet name="RECHERCH V" sheetId="7" r:id="rId3"/>
    <sheet name="SI-OU-ET" sheetId="8" r:id="rId4"/>
    <sheet name="SOMME,SI " sheetId="9" r:id="rId5"/>
  </sheets>
  <externalReferences>
    <externalReference r:id="rId6"/>
  </externalReferences>
  <definedNames>
    <definedName name="_xlnm._FilterDatabase" localSheetId="1" hidden="1">'mise en forme conditionnelle'!$B$4:$G$14</definedName>
    <definedName name="_xlnm._FilterDatabase" localSheetId="4" hidden="1">'SOMME,SI '!$A$2:$D$36</definedName>
    <definedName name="_xlnm._FilterDatabase" localSheetId="0" hidden="1">'Validation des données'!$B$2:$H$9</definedName>
    <definedName name="titre">'[1]Figer+liste deroulante'!$B$4:$H$4</definedName>
    <definedName name="TOTAL">'[1]mise en forme conditionnelle'!$E$5:$E$15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8" l="1"/>
  <c r="O6" i="8"/>
  <c r="O7" i="8"/>
  <c r="O8" i="8"/>
  <c r="O9" i="8"/>
  <c r="O10" i="8"/>
  <c r="O11" i="8"/>
  <c r="O12" i="8"/>
  <c r="O13" i="8"/>
  <c r="O4" i="8"/>
  <c r="N5" i="8"/>
  <c r="N6" i="8"/>
  <c r="N7" i="8"/>
  <c r="N8" i="8"/>
  <c r="N9" i="8"/>
  <c r="N10" i="8"/>
  <c r="N11" i="8"/>
  <c r="N12" i="8"/>
  <c r="N13" i="8"/>
  <c r="N4" i="8"/>
  <c r="M5" i="8"/>
  <c r="M6" i="8"/>
  <c r="M7" i="8"/>
  <c r="M8" i="8"/>
  <c r="M9" i="8"/>
  <c r="M10" i="8"/>
  <c r="M11" i="8"/>
  <c r="M12" i="8"/>
  <c r="M13" i="8"/>
  <c r="M4" i="8"/>
  <c r="D5" i="8"/>
  <c r="D6" i="8"/>
  <c r="D7" i="8"/>
  <c r="D8" i="8"/>
  <c r="D9" i="8"/>
  <c r="D10" i="8"/>
  <c r="D11" i="8"/>
  <c r="D12" i="8"/>
  <c r="D13" i="8"/>
  <c r="D14" i="8"/>
  <c r="D15" i="8"/>
  <c r="D16" i="8"/>
  <c r="D4" i="8"/>
  <c r="H11" i="9"/>
  <c r="H12" i="9"/>
  <c r="H13" i="9"/>
  <c r="H10" i="9"/>
  <c r="H5" i="9"/>
  <c r="H6" i="9"/>
  <c r="H4" i="9"/>
  <c r="D37" i="9"/>
  <c r="C5" i="8"/>
  <c r="C6" i="8"/>
  <c r="C7" i="8"/>
  <c r="C8" i="8"/>
  <c r="C9" i="8"/>
  <c r="C10" i="8"/>
  <c r="C11" i="8"/>
  <c r="C12" i="8"/>
  <c r="C13" i="8"/>
  <c r="C14" i="8"/>
  <c r="C15" i="8"/>
  <c r="C16" i="8"/>
  <c r="C4" i="8"/>
  <c r="L3" i="7"/>
  <c r="K3" i="7"/>
  <c r="J3" i="7"/>
  <c r="I3" i="7"/>
  <c r="E3" i="2"/>
  <c r="G3" i="2" s="1"/>
  <c r="E4" i="2"/>
  <c r="G4" i="2" s="1"/>
  <c r="E5" i="2"/>
  <c r="G5" i="2" s="1"/>
  <c r="E6" i="2"/>
  <c r="G6" i="2" s="1"/>
  <c r="E7" i="2"/>
  <c r="G7" i="2" s="1"/>
  <c r="E8" i="2"/>
  <c r="G8" i="2" s="1"/>
  <c r="E9" i="2"/>
  <c r="G9" i="2" s="1"/>
  <c r="E10" i="2"/>
  <c r="G10" i="2" s="1"/>
  <c r="E11" i="2"/>
  <c r="G11" i="2" s="1"/>
  <c r="E12" i="2"/>
  <c r="G12" i="2" s="1"/>
  <c r="E13" i="2"/>
  <c r="G13" i="2" s="1"/>
  <c r="E14" i="2"/>
  <c r="G14" i="2" s="1"/>
  <c r="E15" i="2"/>
  <c r="G15" i="2" s="1"/>
  <c r="D15" i="1"/>
  <c r="E15" i="1"/>
  <c r="F15" i="1"/>
  <c r="C15" i="1"/>
  <c r="G6" i="1"/>
  <c r="G8" i="1"/>
  <c r="G9" i="1"/>
  <c r="G10" i="1"/>
  <c r="G11" i="1"/>
  <c r="G12" i="1"/>
  <c r="G13" i="1"/>
  <c r="G14" i="1"/>
  <c r="G15" i="1" l="1"/>
  <c r="N15" i="1"/>
  <c r="N14" i="1"/>
  <c r="N13" i="1"/>
  <c r="N12" i="1"/>
  <c r="N11" i="1"/>
  <c r="N10" i="1"/>
  <c r="N9" i="1"/>
  <c r="N8" i="1"/>
  <c r="N7" i="1"/>
  <c r="N6" i="1"/>
  <c r="N5" i="1"/>
</calcChain>
</file>

<file path=xl/sharedStrings.xml><?xml version="1.0" encoding="utf-8"?>
<sst xmlns="http://schemas.openxmlformats.org/spreadsheetml/2006/main" count="300" uniqueCount="138">
  <si>
    <t>Chiffre d'affaire 2022</t>
  </si>
  <si>
    <t>Nom</t>
  </si>
  <si>
    <t>Date</t>
  </si>
  <si>
    <t>mode de règlement acceptés</t>
  </si>
  <si>
    <t>Chéque</t>
  </si>
  <si>
    <t>Espéce</t>
  </si>
  <si>
    <t>virement</t>
  </si>
  <si>
    <t>type de règlement</t>
  </si>
  <si>
    <t>produit</t>
  </si>
  <si>
    <t>Montant</t>
  </si>
  <si>
    <t>Produit 01</t>
  </si>
  <si>
    <t>Produit 02</t>
  </si>
  <si>
    <t>Produit 03</t>
  </si>
  <si>
    <t>Produit 04</t>
  </si>
  <si>
    <t>Produit 05</t>
  </si>
  <si>
    <t>Produit 06</t>
  </si>
  <si>
    <t>Produit 07</t>
  </si>
  <si>
    <t>Produit 08</t>
  </si>
  <si>
    <t>Produit 09</t>
  </si>
  <si>
    <t>Produit 10</t>
  </si>
  <si>
    <t>TOTAL</t>
  </si>
  <si>
    <t>CHIFFRE D'AFFAIRE</t>
  </si>
  <si>
    <t>Région</t>
  </si>
  <si>
    <t>CLIENT</t>
  </si>
  <si>
    <t>OUEST</t>
  </si>
  <si>
    <t>ABDESAMIEA</t>
  </si>
  <si>
    <t>EST</t>
  </si>
  <si>
    <t>AHLEM</t>
  </si>
  <si>
    <t>ASMA</t>
  </si>
  <si>
    <t>NORD</t>
  </si>
  <si>
    <t>HAFID</t>
  </si>
  <si>
    <t>SUD</t>
  </si>
  <si>
    <t>IKRAM</t>
  </si>
  <si>
    <t>LAMINE</t>
  </si>
  <si>
    <t>LILIA</t>
  </si>
  <si>
    <t>MANEL</t>
  </si>
  <si>
    <t>MOHAMED</t>
  </si>
  <si>
    <t>NOUR</t>
  </si>
  <si>
    <t>RYMA</t>
  </si>
  <si>
    <t>Q</t>
  </si>
  <si>
    <t>MONTANT</t>
  </si>
  <si>
    <t>CLAVIER</t>
  </si>
  <si>
    <t>2021</t>
  </si>
  <si>
    <t>2022</t>
  </si>
  <si>
    <t>NOM</t>
  </si>
  <si>
    <t>REF</t>
  </si>
  <si>
    <t>H/F</t>
  </si>
  <si>
    <t>AGE</t>
  </si>
  <si>
    <t>type de contrat</t>
  </si>
  <si>
    <t>recherche v + liste déroulante</t>
  </si>
  <si>
    <t>CLT01</t>
  </si>
  <si>
    <t>AH0001</t>
  </si>
  <si>
    <t>HOMME</t>
  </si>
  <si>
    <t>CDD</t>
  </si>
  <si>
    <t>CLT02</t>
  </si>
  <si>
    <t>AH0002</t>
  </si>
  <si>
    <t>CLT03</t>
  </si>
  <si>
    <t>CLT08</t>
  </si>
  <si>
    <t>AH0003</t>
  </si>
  <si>
    <t>FEMME</t>
  </si>
  <si>
    <t>CDI</t>
  </si>
  <si>
    <t>CLT04</t>
  </si>
  <si>
    <t>AH0004</t>
  </si>
  <si>
    <t>STAGE</t>
  </si>
  <si>
    <t>CLT05</t>
  </si>
  <si>
    <t>AH0005</t>
  </si>
  <si>
    <t>CLT06</t>
  </si>
  <si>
    <t>AH0006</t>
  </si>
  <si>
    <t>CLT07</t>
  </si>
  <si>
    <t>AH0007</t>
  </si>
  <si>
    <t>AH0008</t>
  </si>
  <si>
    <t>CLT09</t>
  </si>
  <si>
    <t>AH0009</t>
  </si>
  <si>
    <t>CLT10</t>
  </si>
  <si>
    <t>AH0010</t>
  </si>
  <si>
    <t>AH0011</t>
  </si>
  <si>
    <t>SI</t>
  </si>
  <si>
    <t>&lt;</t>
  </si>
  <si>
    <t>&gt;</t>
  </si>
  <si>
    <t>oui/non</t>
  </si>
  <si>
    <t>et</t>
  </si>
  <si>
    <t>ou</t>
  </si>
  <si>
    <t>Notes</t>
  </si>
  <si>
    <t>admis/réfusé</t>
  </si>
  <si>
    <t>déplome à imprimer</t>
  </si>
  <si>
    <t>ancienneté</t>
  </si>
  <si>
    <t>sallaire</t>
  </si>
  <si>
    <t>AGE&gt;25; homme</t>
  </si>
  <si>
    <t>cdi;anc&gt;3 
sallaire 10%</t>
  </si>
  <si>
    <t>Aymen 01</t>
  </si>
  <si>
    <t>FATEH</t>
  </si>
  <si>
    <t>Aymen 02</t>
  </si>
  <si>
    <t>IMEN</t>
  </si>
  <si>
    <t>Aymen 03</t>
  </si>
  <si>
    <t>ISLEM</t>
  </si>
  <si>
    <t>Aymen 04</t>
  </si>
  <si>
    <t>Aymen 05</t>
  </si>
  <si>
    <t>MERIEM 01</t>
  </si>
  <si>
    <t>Aymen 06</t>
  </si>
  <si>
    <t>MERIEM 02</t>
  </si>
  <si>
    <t>Aymen 07</t>
  </si>
  <si>
    <t>NADJET</t>
  </si>
  <si>
    <t>Aymen 08</t>
  </si>
  <si>
    <t>RIAD</t>
  </si>
  <si>
    <t>Aymen 09</t>
  </si>
  <si>
    <t>YAHIA</t>
  </si>
  <si>
    <t>Aymen 10</t>
  </si>
  <si>
    <t>Aymen 11</t>
  </si>
  <si>
    <t>Aymen 12</t>
  </si>
  <si>
    <t>Aymen 13</t>
  </si>
  <si>
    <t>CLIENTS</t>
  </si>
  <si>
    <t>PRODUITS</t>
  </si>
  <si>
    <t>PC DELL</t>
  </si>
  <si>
    <t xml:space="preserve">IMPRIMANTE </t>
  </si>
  <si>
    <t>PC HP</t>
  </si>
  <si>
    <t>souris</t>
  </si>
  <si>
    <t>=RECHERCHEV(valeur_cherchée;table_matrice;no_index_col;valeur_proche)</t>
  </si>
  <si>
    <t>=SI(test_logique;valeur_si_vrai;valeur_si_faux)</t>
  </si>
  <si>
    <t>SOMME SI</t>
  </si>
  <si>
    <t>PRODUIT</t>
  </si>
  <si>
    <t>PC</t>
  </si>
  <si>
    <t>BUREAU</t>
  </si>
  <si>
    <t>Imprimante</t>
  </si>
  <si>
    <t>photocopieuse</t>
  </si>
  <si>
    <t>chaise</t>
  </si>
  <si>
    <t>pu</t>
  </si>
  <si>
    <t>PU</t>
  </si>
  <si>
    <t>T1</t>
  </si>
  <si>
    <t>T2</t>
  </si>
  <si>
    <t>T3</t>
  </si>
  <si>
    <t>T4</t>
  </si>
  <si>
    <t>FN°</t>
  </si>
  <si>
    <t>cdd / anncien &gt;3</t>
  </si>
  <si>
    <t>Total</t>
  </si>
  <si>
    <t>001/2023</t>
  </si>
  <si>
    <t>002/2023</t>
  </si>
  <si>
    <t>003/2023</t>
  </si>
  <si>
    <t>003/2024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</si>
</sst>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3" fontId="3" fillId="7" borderId="1" xfId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0" fillId="6" borderId="0" xfId="0" applyFill="1"/>
    <xf numFmtId="0" fontId="0" fillId="0" borderId="0" xfId="0" applyAlignment="1">
      <alignment vertical="center"/>
    </xf>
    <xf numFmtId="0" fontId="0" fillId="7" borderId="0" xfId="0" applyFill="1"/>
    <xf numFmtId="0" fontId="0" fillId="7" borderId="0" xfId="0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vertical="center"/>
    </xf>
    <xf numFmtId="14" fontId="6" fillId="0" borderId="1" xfId="0" applyNumberFormat="1" applyFont="1" applyBorder="1" applyAlignment="1">
      <alignment horizontal="center"/>
    </xf>
    <xf numFmtId="0" fontId="0" fillId="0" borderId="1" xfId="0" applyBorder="1"/>
    <xf numFmtId="0" fontId="5" fillId="0" borderId="10" xfId="0" applyFont="1" applyBorder="1" applyAlignment="1">
      <alignment horizontal="center" vertical="center"/>
    </xf>
    <xf numFmtId="4" fontId="6" fillId="0" borderId="12" xfId="0" applyNumberFormat="1" applyFont="1" applyBorder="1" applyAlignment="1">
      <alignment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" fontId="6" fillId="0" borderId="2" xfId="0" applyNumberFormat="1" applyFont="1" applyBorder="1" applyAlignment="1">
      <alignment vertical="center"/>
    </xf>
    <xf numFmtId="4" fontId="6" fillId="0" borderId="4" xfId="0" applyNumberFormat="1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7" borderId="0" xfId="0" applyFont="1" applyFill="1"/>
    <xf numFmtId="0" fontId="0" fillId="11" borderId="0" xfId="0" applyFill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6" fillId="0" borderId="1" xfId="2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/>
    </xf>
    <xf numFmtId="0" fontId="3" fillId="0" borderId="0" xfId="0" quotePrefix="1" applyFont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1" fillId="0" borderId="0" xfId="0" quotePrefix="1" applyFont="1"/>
    <xf numFmtId="0" fontId="6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9" fillId="13" borderId="13" xfId="1" applyFont="1" applyFill="1" applyBorder="1" applyAlignment="1">
      <alignment horizontal="center" vertical="center"/>
    </xf>
    <xf numFmtId="43" fontId="2" fillId="3" borderId="1" xfId="0" applyNumberFormat="1" applyFont="1" applyFill="1" applyBorder="1" applyAlignment="1">
      <alignment vertical="center"/>
    </xf>
    <xf numFmtId="0" fontId="12" fillId="0" borderId="0" xfId="0" quotePrefix="1" applyFont="1" applyAlignment="1">
      <alignment vertical="center"/>
    </xf>
    <xf numFmtId="0" fontId="6" fillId="0" borderId="10" xfId="0" applyFont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9" fillId="14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/>
    </xf>
    <xf numFmtId="43" fontId="5" fillId="3" borderId="9" xfId="1" applyFont="1" applyFill="1" applyBorder="1" applyAlignment="1">
      <alignment horizontal="center"/>
    </xf>
    <xf numFmtId="43" fontId="6" fillId="0" borderId="1" xfId="1" applyFont="1" applyBorder="1" applyAlignment="1">
      <alignment horizontal="center"/>
    </xf>
    <xf numFmtId="43" fontId="6" fillId="0" borderId="2" xfId="1" applyFont="1" applyBorder="1" applyAlignment="1">
      <alignment horizontal="center"/>
    </xf>
    <xf numFmtId="4" fontId="6" fillId="0" borderId="12" xfId="0" applyNumberFormat="1" applyFont="1" applyBorder="1" applyAlignment="1">
      <alignment horizontal="center"/>
    </xf>
    <xf numFmtId="4" fontId="6" fillId="0" borderId="4" xfId="0" applyNumberFormat="1" applyFont="1" applyBorder="1" applyAlignment="1">
      <alignment horizontal="center"/>
    </xf>
    <xf numFmtId="43" fontId="6" fillId="0" borderId="1" xfId="0" applyNumberFormat="1" applyFont="1" applyBorder="1" applyAlignment="1">
      <alignment horizontal="center"/>
    </xf>
    <xf numFmtId="43" fontId="6" fillId="0" borderId="2" xfId="0" applyNumberFormat="1" applyFont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43" fontId="9" fillId="15" borderId="13" xfId="1" applyFont="1" applyFill="1" applyBorder="1" applyAlignment="1">
      <alignment horizontal="center" vertical="center"/>
    </xf>
    <xf numFmtId="43" fontId="0" fillId="0" borderId="0" xfId="0" applyNumberFormat="1"/>
    <xf numFmtId="43" fontId="0" fillId="0" borderId="1" xfId="1" applyFont="1" applyBorder="1"/>
    <xf numFmtId="0" fontId="0" fillId="0" borderId="14" xfId="0" applyBorder="1"/>
    <xf numFmtId="4" fontId="0" fillId="0" borderId="14" xfId="0" applyNumberFormat="1" applyBorder="1"/>
    <xf numFmtId="49" fontId="6" fillId="0" borderId="10" xfId="0" quotePrefix="1" applyNumberFormat="1" applyFont="1" applyBorder="1" applyAlignment="1">
      <alignment horizontal="center"/>
    </xf>
    <xf numFmtId="0" fontId="0" fillId="0" borderId="0" xfId="0" quotePrefix="1"/>
    <xf numFmtId="43" fontId="13" fillId="0" borderId="1" xfId="0" applyNumberFormat="1" applyFont="1" applyBorder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Milliers" xfId="1" builtinId="3"/>
    <cellStyle name="Milliers 2" xfId="2" xr:uid="{FB7EF6CE-BBEB-4F65-99E3-DE24E26A632E}"/>
    <cellStyle name="Normal" xfId="0" builtinId="0"/>
  </cellStyles>
  <dxfs count="5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sidali%20excel\FORMATION\FORMATION%20COMPTABILITE%20SUR%20EXCEL\Les%20s&#233;ances\S&#233;ance%20N&#176;2\s&#233;ance%20N&#176;%202.xlsx" TargetMode="External"/><Relationship Id="rId1" Type="http://schemas.openxmlformats.org/officeDocument/2006/relationships/externalLinkPath" Target="/Users/Dell/Desktop/sidali%20excel/FORMATION/FORMATION%20COMPTABILITE%20SUR%20EXCEL/Les%20s&#233;ances/S&#233;ance%20N&#176;2/s&#233;ance%20N&#176;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ger+liste deroulante"/>
      <sheetName val="mise en forme conditionnelle"/>
      <sheetName val="RECHERCH V"/>
      <sheetName val="SI-OU-ET"/>
      <sheetName val="SOMME,SI"/>
      <sheetName val="SOMME,SI,ENS"/>
      <sheetName val="Feuil1"/>
    </sheetNames>
    <sheetDataSet>
      <sheetData sheetId="0">
        <row r="4">
          <cell r="B4" t="str">
            <v>DATE</v>
          </cell>
          <cell r="C4" t="str">
            <v>NOM</v>
          </cell>
          <cell r="D4" t="str">
            <v>AGE</v>
          </cell>
          <cell r="F4" t="str">
            <v>type de contrat</v>
          </cell>
          <cell r="G4" t="str">
            <v>Situation familiale</v>
          </cell>
          <cell r="H4" t="str">
            <v>DEPARTEMENT</v>
          </cell>
        </row>
      </sheetData>
      <sheetData sheetId="1">
        <row r="5">
          <cell r="E5">
            <v>1806000</v>
          </cell>
        </row>
        <row r="6">
          <cell r="E6">
            <v>336000</v>
          </cell>
        </row>
        <row r="7">
          <cell r="E7">
            <v>1680000</v>
          </cell>
        </row>
        <row r="8">
          <cell r="E8">
            <v>200000</v>
          </cell>
        </row>
        <row r="9">
          <cell r="E9">
            <v>735000</v>
          </cell>
        </row>
        <row r="10">
          <cell r="E10">
            <v>241500</v>
          </cell>
        </row>
        <row r="11">
          <cell r="E11">
            <v>3150000</v>
          </cell>
        </row>
        <row r="12">
          <cell r="E12">
            <v>462000</v>
          </cell>
        </row>
        <row r="13">
          <cell r="E13">
            <v>1890000</v>
          </cell>
        </row>
        <row r="14">
          <cell r="E14">
            <v>4494000</v>
          </cell>
        </row>
        <row r="15">
          <cell r="E15">
            <v>105000</v>
          </cell>
        </row>
      </sheetData>
      <sheetData sheetId="2"/>
      <sheetData sheetId="3" refreshError="1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6523A9-8D14-45C6-8E2D-8647055CEAA2}" name="Tableau3" displayName="Tableau3" ref="B2:H15" totalsRowShown="0" headerRowDxfId="58" dataDxfId="56" headerRowBorderDxfId="57" tableBorderDxfId="55" totalsRowBorderDxfId="54">
  <autoFilter ref="B2:H15" xr:uid="{4D6523A9-8D14-45C6-8E2D-8647055CEAA2}"/>
  <tableColumns count="7">
    <tableColumn id="1" xr3:uid="{D8D76633-6300-4EB7-AECA-FBFD4088F99D}" name="FN°" dataDxfId="53"/>
    <tableColumn id="2" xr3:uid="{70EAEA49-C1AC-41C1-8D41-42B2F9AEC8A4}" name="Date" dataDxfId="52"/>
    <tableColumn id="3" xr3:uid="{823CF76F-9E00-43ED-8885-9631EFCA15A9}" name="PRODUIT" dataDxfId="51"/>
    <tableColumn id="4" xr3:uid="{3A7C905E-0447-486D-B0F5-CE1F51A29E53}" name="pu" dataDxfId="50" dataCellStyle="Milliers">
      <calculatedColumnFormula>IFERROR(VLOOKUP(Tableau3[[#This Row],[PRODUIT]],Tableau7[],2,0),"")</calculatedColumnFormula>
    </tableColumn>
    <tableColumn id="5" xr3:uid="{F692A3B3-A788-427C-A622-C0F519451117}" name="Q" dataDxfId="49"/>
    <tableColumn id="6" xr3:uid="{4669158C-CDF4-45EC-ABFA-454BC2E83F10}" name="Montant" dataDxfId="48">
      <calculatedColumnFormula>IFERROR(Tableau3[[#This Row],[pu]]*Tableau3[[#This Row],[Q]],"")</calculatedColumnFormula>
    </tableColumn>
    <tableColumn id="7" xr3:uid="{D9F7921F-C3EA-44AC-9FE2-7C84FDDF8506}" name="type de règlement" dataDxfId="4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CCD735-9136-4B97-9772-C633979881A7}" name="Tableau7" displayName="Tableau7" ref="J2:K7" totalsRowShown="0" headerRowDxfId="46" headerRowBorderDxfId="45" tableBorderDxfId="44" totalsRowBorderDxfId="43">
  <autoFilter ref="J2:K7" xr:uid="{A1CCD735-9136-4B97-9772-C633979881A7}"/>
  <tableColumns count="2">
    <tableColumn id="1" xr3:uid="{1D4E0BFD-83FA-4B76-B33C-C50C008B5F67}" name="produit" dataDxfId="42"/>
    <tableColumn id="2" xr3:uid="{78A2A363-CE5B-4ACF-A8E1-64600E0B9604}" name="PU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8EF4B3-E7AB-4248-9C26-B871D48E0746}" name="Tableau2" displayName="Tableau2" ref="J4:N15" totalsRowShown="0" headerRowDxfId="40" headerRowBorderDxfId="39" tableBorderDxfId="38" totalsRowBorderDxfId="37">
  <autoFilter ref="J4:N15" xr:uid="{518EF4B3-E7AB-4248-9C26-B871D48E0746}"/>
  <tableColumns count="5">
    <tableColumn id="1" xr3:uid="{35CC02B1-2ED1-4F2B-9601-F01DE3764967}" name="Région" dataDxfId="36"/>
    <tableColumn id="2" xr3:uid="{17EE91F0-5CA0-4A86-BED0-15E4DBDB0C98}" name="CLIENT" dataDxfId="35"/>
    <tableColumn id="3" xr3:uid="{33F99280-1624-4E7C-B44A-3531AD3A7557}" name="2021" dataDxfId="34"/>
    <tableColumn id="4" xr3:uid="{84EC5C08-4043-4593-9D60-99F17DA34E9A}" name="2022" dataDxfId="33"/>
    <tableColumn id="5" xr3:uid="{C212CA6C-42A2-4CBF-8401-2A1124E8723C}" name="TOTAL" dataDxfId="32">
      <calculatedColumnFormula>+L5+M5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0D69C0-8EE6-4718-A3E9-BC77804802A1}" name="RH" displayName="RH" ref="B1:F12" totalsRowShown="0" headerRowDxfId="31" dataDxfId="29" headerRowBorderDxfId="30" tableBorderDxfId="28" totalsRowBorderDxfId="27">
  <autoFilter ref="B1:F12" xr:uid="{280D69C0-8EE6-4718-A3E9-BC77804802A1}"/>
  <tableColumns count="5">
    <tableColumn id="1" xr3:uid="{BC4207CB-1387-4B25-B229-29D71857E86C}" name="REF" dataDxfId="26"/>
    <tableColumn id="2" xr3:uid="{B3B490C0-AF01-488C-9632-AF2DD2113E59}" name="NOM" dataDxfId="25"/>
    <tableColumn id="3" xr3:uid="{9E92FE03-0601-4F7B-8161-63E6854716BA}" name="H/F" dataDxfId="24"/>
    <tableColumn id="4" xr3:uid="{BB2312BD-840A-44DD-9B1A-38A9E00F2573}" name="AGE" dataDxfId="23"/>
    <tableColumn id="5" xr3:uid="{469095B6-2A55-4941-A9E8-53B40EB6591A}" name="type de contrat" dataDxfId="2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0FC7B2-E687-4E7C-9760-0FF5274E7CD5}" name="Tableau6" displayName="Tableau6" ref="A2:D37" totalsRowCount="1">
  <autoFilter ref="A2:D36" xr:uid="{E10FC7B2-E687-4E7C-9760-0FF5274E7CD5}"/>
  <tableColumns count="4">
    <tableColumn id="1" xr3:uid="{C8B28317-9B5A-4376-8341-627785E01EE1}" name="CLIENTS" totalsRowLabel="Total" dataDxfId="21" totalsRowDxfId="20"/>
    <tableColumn id="2" xr3:uid="{F94A2DB9-B167-4708-A524-23442E9774C6}" name="Q" dataDxfId="19" totalsRowDxfId="18"/>
    <tableColumn id="3" xr3:uid="{16315577-2391-4FA3-A216-B4119884EBF1}" name="PRODUITS" dataDxfId="17" totalsRowDxfId="16"/>
    <tableColumn id="4" xr3:uid="{0A0E5C60-F194-4690-9858-C7F3102CC309}" name="MONTANT" totalsRowFunction="sum" dataDxfId="15" totalsRowDxfId="14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AA08-5A48-4885-B5E9-F78EAAF17BB1}">
  <sheetPr>
    <tabColor rgb="FFFFC000"/>
  </sheetPr>
  <dimension ref="B2:M15"/>
  <sheetViews>
    <sheetView showGridLines="0" tabSelected="1" zoomScale="90" zoomScaleNormal="90" workbookViewId="0">
      <selection activeCell="J15" sqref="J15"/>
    </sheetView>
  </sheetViews>
  <sheetFormatPr baseColWidth="10" defaultRowHeight="15" x14ac:dyDescent="0.25"/>
  <cols>
    <col min="1" max="1" width="6.42578125" customWidth="1"/>
    <col min="2" max="2" width="12.28515625" bestFit="1" customWidth="1"/>
    <col min="3" max="3" width="14.7109375" bestFit="1" customWidth="1"/>
    <col min="4" max="4" width="17.7109375" bestFit="1" customWidth="1"/>
    <col min="5" max="5" width="14.28515625" bestFit="1" customWidth="1"/>
    <col min="6" max="6" width="10" customWidth="1"/>
    <col min="7" max="7" width="26" customWidth="1"/>
    <col min="8" max="8" width="23.7109375" customWidth="1"/>
    <col min="9" max="9" width="3.140625" customWidth="1"/>
    <col min="10" max="10" width="22.5703125" bestFit="1" customWidth="1"/>
    <col min="11" max="11" width="17.7109375" customWidth="1"/>
    <col min="12" max="12" width="7.28515625" customWidth="1"/>
    <col min="13" max="13" width="34.7109375" customWidth="1"/>
    <col min="14" max="17" width="15" bestFit="1" customWidth="1"/>
  </cols>
  <sheetData>
    <row r="2" spans="2:13" ht="18.75" x14ac:dyDescent="0.3">
      <c r="B2" s="55" t="s">
        <v>131</v>
      </c>
      <c r="C2" s="56" t="s">
        <v>2</v>
      </c>
      <c r="D2" s="56" t="s">
        <v>119</v>
      </c>
      <c r="E2" s="61" t="s">
        <v>125</v>
      </c>
      <c r="F2" s="56" t="s">
        <v>39</v>
      </c>
      <c r="G2" s="56" t="s">
        <v>9</v>
      </c>
      <c r="H2" s="57" t="s">
        <v>7</v>
      </c>
      <c r="I2" s="50"/>
      <c r="J2" s="55" t="s">
        <v>8</v>
      </c>
      <c r="K2" s="57" t="s">
        <v>126</v>
      </c>
      <c r="M2" s="2" t="s">
        <v>3</v>
      </c>
    </row>
    <row r="3" spans="2:13" ht="18.75" x14ac:dyDescent="0.3">
      <c r="B3" s="74" t="s">
        <v>134</v>
      </c>
      <c r="C3" s="15">
        <v>45261</v>
      </c>
      <c r="D3" s="3" t="s">
        <v>120</v>
      </c>
      <c r="E3" s="62">
        <f>IFERROR(VLOOKUP(Tableau3[[#This Row],[PRODUIT]],Tableau7[],2,0),"")</f>
        <v>55000</v>
      </c>
      <c r="F3" s="3">
        <v>2</v>
      </c>
      <c r="G3" s="66">
        <f>IFERROR(Tableau3[[#This Row],[pu]]*Tableau3[[#This Row],[Q]],"")</f>
        <v>110000</v>
      </c>
      <c r="H3" s="3" t="s">
        <v>5</v>
      </c>
      <c r="I3" s="49"/>
      <c r="J3" s="54" t="s">
        <v>121</v>
      </c>
      <c r="K3" s="64">
        <v>25000</v>
      </c>
      <c r="M3" s="1" t="s">
        <v>4</v>
      </c>
    </row>
    <row r="4" spans="2:13" ht="18.75" x14ac:dyDescent="0.3">
      <c r="B4" s="74" t="s">
        <v>135</v>
      </c>
      <c r="C4" s="15">
        <v>45262</v>
      </c>
      <c r="D4" s="3" t="s">
        <v>122</v>
      </c>
      <c r="E4" s="62">
        <f>IFERROR(VLOOKUP(Tableau3[[#This Row],[PRODUIT]],Tableau7[],2,0),"")</f>
        <v>60000</v>
      </c>
      <c r="F4" s="3">
        <v>3</v>
      </c>
      <c r="G4" s="66">
        <f>IFERROR(Tableau3[[#This Row],[pu]]*Tableau3[[#This Row],[Q]],"")</f>
        <v>180000</v>
      </c>
      <c r="H4" s="3" t="s">
        <v>6</v>
      </c>
      <c r="I4" s="49"/>
      <c r="J4" s="54" t="s">
        <v>122</v>
      </c>
      <c r="K4" s="64">
        <v>60000</v>
      </c>
      <c r="M4" s="1" t="s">
        <v>5</v>
      </c>
    </row>
    <row r="5" spans="2:13" ht="18.75" x14ac:dyDescent="0.3">
      <c r="B5" s="74" t="s">
        <v>136</v>
      </c>
      <c r="C5" s="15">
        <v>45263</v>
      </c>
      <c r="D5" s="3" t="s">
        <v>123</v>
      </c>
      <c r="E5" s="62">
        <f>IFERROR(VLOOKUP(Tableau3[[#This Row],[PRODUIT]],Tableau7[],2,0),"")</f>
        <v>35000</v>
      </c>
      <c r="F5" s="3">
        <v>5</v>
      </c>
      <c r="G5" s="66">
        <f>IFERROR(Tableau3[[#This Row],[pu]]*Tableau3[[#This Row],[Q]],"")</f>
        <v>175000</v>
      </c>
      <c r="H5" s="3" t="s">
        <v>4</v>
      </c>
      <c r="I5" s="49"/>
      <c r="J5" s="54" t="s">
        <v>120</v>
      </c>
      <c r="K5" s="64">
        <v>55000</v>
      </c>
      <c r="M5" s="1" t="s">
        <v>6</v>
      </c>
    </row>
    <row r="6" spans="2:13" ht="18.75" x14ac:dyDescent="0.3">
      <c r="B6" s="74" t="s">
        <v>137</v>
      </c>
      <c r="C6" s="15">
        <v>45264</v>
      </c>
      <c r="D6" s="3" t="s">
        <v>122</v>
      </c>
      <c r="E6" s="62">
        <f>IFERROR(VLOOKUP(Tableau3[[#This Row],[PRODUIT]],Tableau7[],2,0),"")</f>
        <v>60000</v>
      </c>
      <c r="F6" s="3">
        <v>2</v>
      </c>
      <c r="G6" s="66">
        <f>IFERROR(Tableau3[[#This Row],[pu]]*Tableau3[[#This Row],[Q]],"")</f>
        <v>120000</v>
      </c>
      <c r="H6" s="3" t="s">
        <v>5</v>
      </c>
      <c r="I6" s="49"/>
      <c r="J6" s="54" t="s">
        <v>123</v>
      </c>
      <c r="K6" s="64">
        <v>35000</v>
      </c>
    </row>
    <row r="7" spans="2:13" ht="18.75" x14ac:dyDescent="0.3">
      <c r="B7" s="74" t="s">
        <v>134</v>
      </c>
      <c r="C7" s="15"/>
      <c r="D7" s="3"/>
      <c r="E7" s="62" t="str">
        <f>IFERROR(VLOOKUP(Tableau3[[#This Row],[PRODUIT]],Tableau7[],2,0),"")</f>
        <v/>
      </c>
      <c r="F7" s="3"/>
      <c r="G7" s="66" t="str">
        <f>IFERROR(Tableau3[[#This Row],[pu]]*Tableau3[[#This Row],[Q]],"")</f>
        <v/>
      </c>
      <c r="H7" s="3" t="s">
        <v>6</v>
      </c>
      <c r="I7" s="49"/>
      <c r="J7" s="60" t="s">
        <v>124</v>
      </c>
      <c r="K7" s="65">
        <v>20000</v>
      </c>
    </row>
    <row r="8" spans="2:13" ht="18.75" x14ac:dyDescent="0.3">
      <c r="B8" s="74"/>
      <c r="C8" s="15"/>
      <c r="D8" s="3"/>
      <c r="E8" s="62" t="str">
        <f>IFERROR(VLOOKUP(Tableau3[[#This Row],[PRODUIT]],Tableau7[],2,0),"")</f>
        <v/>
      </c>
      <c r="F8" s="3"/>
      <c r="G8" s="66" t="str">
        <f>IFERROR(Tableau3[[#This Row],[pu]]*Tableau3[[#This Row],[Q]],"")</f>
        <v/>
      </c>
      <c r="H8" s="3"/>
      <c r="I8" s="49"/>
    </row>
    <row r="9" spans="2:13" ht="18.75" x14ac:dyDescent="0.3">
      <c r="B9" s="74"/>
      <c r="C9" s="15"/>
      <c r="D9" s="3"/>
      <c r="E9" s="62" t="str">
        <f>IFERROR(VLOOKUP(Tableau3[[#This Row],[PRODUIT]],Tableau7[],2,0),"")</f>
        <v/>
      </c>
      <c r="F9" s="3"/>
      <c r="G9" s="66" t="str">
        <f>IFERROR(Tableau3[[#This Row],[pu]]*Tableau3[[#This Row],[Q]],"")</f>
        <v/>
      </c>
      <c r="H9" s="3"/>
      <c r="I9" s="49"/>
    </row>
    <row r="10" spans="2:13" ht="18.75" x14ac:dyDescent="0.3">
      <c r="B10" s="74"/>
      <c r="C10" s="15"/>
      <c r="D10" s="3"/>
      <c r="E10" s="62" t="str">
        <f>IFERROR(VLOOKUP(Tableau3[[#This Row],[PRODUIT]],Tableau7[],2,0),"")</f>
        <v/>
      </c>
      <c r="F10" s="3"/>
      <c r="G10" s="66" t="str">
        <f>IFERROR(Tableau3[[#This Row],[pu]]*Tableau3[[#This Row],[Q]],"")</f>
        <v/>
      </c>
      <c r="H10" s="3"/>
      <c r="I10" s="49"/>
    </row>
    <row r="11" spans="2:13" ht="18.75" x14ac:dyDescent="0.3">
      <c r="B11" s="74"/>
      <c r="C11" s="15"/>
      <c r="D11" s="3"/>
      <c r="E11" s="63" t="str">
        <f>IFERROR(VLOOKUP(Tableau3[[#This Row],[PRODUIT]],Tableau7[],2,0),"")</f>
        <v/>
      </c>
      <c r="F11" s="58"/>
      <c r="G11" s="67" t="str">
        <f>IFERROR(Tableau3[[#This Row],[pu]]*Tableau3[[#This Row],[Q]],"")</f>
        <v/>
      </c>
      <c r="H11" s="3"/>
      <c r="I11" s="49"/>
    </row>
    <row r="12" spans="2:13" ht="18.75" x14ac:dyDescent="0.3">
      <c r="B12" s="74"/>
      <c r="C12" s="15"/>
      <c r="D12" s="3"/>
      <c r="E12" s="62" t="str">
        <f>IFERROR(VLOOKUP(Tableau3[[#This Row],[PRODUIT]],Tableau7[],2,0),"")</f>
        <v/>
      </c>
      <c r="F12" s="3"/>
      <c r="G12" s="66" t="str">
        <f>IFERROR(Tableau3[[#This Row],[pu]]*Tableau3[[#This Row],[Q]],"")</f>
        <v/>
      </c>
      <c r="H12" s="3"/>
    </row>
    <row r="13" spans="2:13" ht="18.75" x14ac:dyDescent="0.3">
      <c r="B13" s="74"/>
      <c r="C13" s="15"/>
      <c r="D13" s="3"/>
      <c r="E13" s="62" t="str">
        <f>IFERROR(VLOOKUP(Tableau3[[#This Row],[PRODUIT]],Tableau7[],2,0),"")</f>
        <v/>
      </c>
      <c r="F13" s="3"/>
      <c r="G13" s="66" t="str">
        <f>IFERROR(Tableau3[[#This Row],[pu]]*Tableau3[[#This Row],[Q]],"")</f>
        <v/>
      </c>
      <c r="H13" s="3"/>
    </row>
    <row r="14" spans="2:13" ht="18.75" x14ac:dyDescent="0.3">
      <c r="B14" s="74"/>
      <c r="C14" s="15"/>
      <c r="D14" s="3"/>
      <c r="E14" s="62" t="str">
        <f>IFERROR(VLOOKUP(Tableau3[[#This Row],[PRODUIT]],Tableau7[],2,0),"")</f>
        <v/>
      </c>
      <c r="F14" s="3"/>
      <c r="G14" s="66" t="str">
        <f>IFERROR(Tableau3[[#This Row],[pu]]*Tableau3[[#This Row],[Q]],"")</f>
        <v/>
      </c>
      <c r="H14" s="3"/>
    </row>
    <row r="15" spans="2:13" ht="18.75" x14ac:dyDescent="0.3">
      <c r="B15" s="74"/>
      <c r="C15" s="15"/>
      <c r="D15" s="3"/>
      <c r="E15" s="63" t="str">
        <f>IFERROR(VLOOKUP(Tableau3[[#This Row],[PRODUIT]],Tableau7[],2,0),"")</f>
        <v/>
      </c>
      <c r="F15" s="58"/>
      <c r="G15" s="67" t="str">
        <f>IFERROR(Tableau3[[#This Row],[pu]]*Tableau3[[#This Row],[Q]],"")</f>
        <v/>
      </c>
      <c r="H15" s="58"/>
    </row>
  </sheetData>
  <phoneticPr fontId="7" type="noConversion"/>
  <conditionalFormatting sqref="B1:B1048576">
    <cfRule type="duplicateValues" dxfId="13" priority="2"/>
  </conditionalFormatting>
  <conditionalFormatting sqref="H1:H1048576">
    <cfRule type="cellIs" dxfId="12" priority="1" operator="equal">
      <formula>"virement"</formula>
    </cfRule>
  </conditionalFormatting>
  <dataValidations count="4">
    <dataValidation type="list" allowBlank="1" showInputMessage="1" showErrorMessage="1" sqref="D3:D15" xr:uid="{9DF9AFFD-6C08-4BE1-8FE8-374EA464226C}">
      <formula1>$J$3:$J$7</formula1>
    </dataValidation>
    <dataValidation type="date" allowBlank="1" showInputMessage="1" showErrorMessage="1" sqref="C3:C15" xr:uid="{75771124-49C7-46A9-A88E-3180DC182612}">
      <formula1>45261</formula1>
      <formula2>45291</formula2>
    </dataValidation>
    <dataValidation type="list" allowBlank="1" showInputMessage="1" showErrorMessage="1" sqref="H3:H15" xr:uid="{852C5108-D33E-449F-886F-C41E0D10851C}">
      <formula1>$M$3:$M$5</formula1>
    </dataValidation>
    <dataValidation type="textLength" operator="equal" allowBlank="1" showInputMessage="1" showErrorMessage="1" sqref="B3:B15" xr:uid="{428679C4-F23B-431E-A667-255148F412A4}">
      <formula1>8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P15"/>
  <sheetViews>
    <sheetView showGridLines="0" zoomScale="120" zoomScaleNormal="120" workbookViewId="0">
      <selection activeCell="I12" sqref="I12"/>
    </sheetView>
  </sheetViews>
  <sheetFormatPr baseColWidth="10" defaultColWidth="9.140625" defaultRowHeight="15" x14ac:dyDescent="0.25"/>
  <cols>
    <col min="1" max="1" width="1" style="9" customWidth="1"/>
    <col min="2" max="2" width="10.140625" bestFit="1" customWidth="1"/>
    <col min="3" max="3" width="12.85546875" bestFit="1" customWidth="1"/>
    <col min="4" max="4" width="16" bestFit="1" customWidth="1"/>
    <col min="5" max="5" width="16" customWidth="1"/>
    <col min="6" max="7" width="16" bestFit="1" customWidth="1"/>
    <col min="8" max="9" width="16" customWidth="1"/>
    <col min="10" max="14" width="16" bestFit="1" customWidth="1"/>
    <col min="15" max="15" width="15" bestFit="1" customWidth="1"/>
    <col min="16" max="16" width="20.42578125" customWidth="1"/>
  </cols>
  <sheetData>
    <row r="1" spans="2:16" ht="24.75" customHeight="1" thickBot="1" x14ac:dyDescent="0.3">
      <c r="B1" s="77" t="s">
        <v>0</v>
      </c>
      <c r="C1" s="77"/>
      <c r="D1" s="77"/>
      <c r="E1" s="10"/>
      <c r="F1" s="10"/>
      <c r="G1" s="10"/>
      <c r="J1" s="59"/>
      <c r="K1" s="10"/>
      <c r="L1" s="79" t="s">
        <v>21</v>
      </c>
      <c r="M1" s="80"/>
      <c r="N1" s="81"/>
      <c r="O1" s="10"/>
      <c r="P1" s="13" t="s">
        <v>24</v>
      </c>
    </row>
    <row r="2" spans="2:16" s="11" customFormat="1" ht="26.25" customHeight="1" thickBot="1" x14ac:dyDescent="0.3">
      <c r="B2" s="78"/>
      <c r="C2" s="78"/>
      <c r="D2" s="78"/>
      <c r="E2" s="12"/>
      <c r="F2" s="51">
        <v>95000</v>
      </c>
      <c r="G2" s="69">
        <v>55000</v>
      </c>
      <c r="H2"/>
      <c r="I2"/>
      <c r="J2" s="12"/>
      <c r="K2" s="12"/>
      <c r="L2" s="82"/>
      <c r="M2" s="83"/>
      <c r="N2" s="84"/>
      <c r="O2" s="12"/>
      <c r="P2" s="13" t="s">
        <v>26</v>
      </c>
    </row>
    <row r="3" spans="2:16" s="11" customFormat="1" ht="18.75" x14ac:dyDescent="0.25">
      <c r="B3" s="8"/>
      <c r="C3" s="8"/>
      <c r="D3" s="8"/>
      <c r="E3" s="12"/>
      <c r="F3" s="12"/>
      <c r="G3" s="12"/>
      <c r="H3"/>
      <c r="I3"/>
      <c r="J3" s="12"/>
      <c r="K3" s="12"/>
      <c r="L3" s="12"/>
      <c r="M3" s="12"/>
      <c r="N3" s="12"/>
      <c r="O3" s="12"/>
      <c r="P3" s="13" t="s">
        <v>29</v>
      </c>
    </row>
    <row r="4" spans="2:16" ht="18.75" x14ac:dyDescent="0.25">
      <c r="B4" s="26" t="s">
        <v>8</v>
      </c>
      <c r="C4" s="5" t="s">
        <v>127</v>
      </c>
      <c r="D4" s="5" t="s">
        <v>128</v>
      </c>
      <c r="E4" s="5" t="s">
        <v>129</v>
      </c>
      <c r="F4" s="5" t="s">
        <v>130</v>
      </c>
      <c r="G4" s="27" t="s">
        <v>20</v>
      </c>
      <c r="J4" s="19" t="s">
        <v>22</v>
      </c>
      <c r="K4" s="20" t="s">
        <v>23</v>
      </c>
      <c r="L4" s="20" t="s">
        <v>42</v>
      </c>
      <c r="M4" s="20" t="s">
        <v>43</v>
      </c>
      <c r="N4" s="21" t="s">
        <v>20</v>
      </c>
      <c r="P4" s="13" t="s">
        <v>31</v>
      </c>
    </row>
    <row r="5" spans="2:16" ht="15.75" customHeight="1" x14ac:dyDescent="0.25">
      <c r="B5" s="5" t="s">
        <v>10</v>
      </c>
      <c r="C5" s="6">
        <v>76473</v>
      </c>
      <c r="D5" s="6">
        <v>97509</v>
      </c>
      <c r="E5" s="6">
        <v>94868</v>
      </c>
      <c r="F5" s="6">
        <v>15000</v>
      </c>
      <c r="G5" s="76">
        <v>500000</v>
      </c>
      <c r="H5" s="70"/>
      <c r="J5" s="17" t="s">
        <v>24</v>
      </c>
      <c r="K5" s="4" t="s">
        <v>25</v>
      </c>
      <c r="L5" s="14">
        <v>860000</v>
      </c>
      <c r="M5" s="14">
        <v>946000.00000000012</v>
      </c>
      <c r="N5" s="18">
        <f t="shared" ref="N5:N15" si="0">+L5+M5</f>
        <v>1806000</v>
      </c>
      <c r="P5" s="16"/>
    </row>
    <row r="6" spans="2:16" ht="18.75" x14ac:dyDescent="0.25">
      <c r="B6" s="5" t="s">
        <v>11</v>
      </c>
      <c r="C6" s="6">
        <v>56120</v>
      </c>
      <c r="D6" s="6">
        <v>82416</v>
      </c>
      <c r="E6" s="6">
        <v>78120</v>
      </c>
      <c r="F6" s="6">
        <v>64434</v>
      </c>
      <c r="G6" s="76">
        <f>+SUM(C6:F6)</f>
        <v>281090</v>
      </c>
      <c r="H6" s="70"/>
      <c r="J6" s="17" t="s">
        <v>26</v>
      </c>
      <c r="K6" s="4" t="s">
        <v>27</v>
      </c>
      <c r="L6" s="14">
        <v>160000</v>
      </c>
      <c r="M6" s="14">
        <v>176000</v>
      </c>
      <c r="N6" s="18">
        <f t="shared" si="0"/>
        <v>336000</v>
      </c>
    </row>
    <row r="7" spans="2:16" ht="18.75" x14ac:dyDescent="0.25">
      <c r="B7" s="5" t="s">
        <v>12</v>
      </c>
      <c r="C7" s="6">
        <v>55314</v>
      </c>
      <c r="D7" s="7">
        <v>90875</v>
      </c>
      <c r="E7" s="6">
        <v>64065</v>
      </c>
      <c r="F7" s="6">
        <v>72852</v>
      </c>
      <c r="G7" s="76">
        <v>500000</v>
      </c>
      <c r="H7" s="70"/>
      <c r="J7" s="17" t="s">
        <v>24</v>
      </c>
      <c r="K7" s="4" t="s">
        <v>28</v>
      </c>
      <c r="L7" s="14">
        <v>800000</v>
      </c>
      <c r="M7" s="14">
        <v>880000.00000000012</v>
      </c>
      <c r="N7" s="18">
        <f t="shared" si="0"/>
        <v>1680000</v>
      </c>
    </row>
    <row r="8" spans="2:16" ht="18.75" x14ac:dyDescent="0.25">
      <c r="B8" s="5" t="s">
        <v>13</v>
      </c>
      <c r="C8" s="6">
        <v>75609</v>
      </c>
      <c r="D8" s="6">
        <v>50601</v>
      </c>
      <c r="E8" s="6">
        <v>76542</v>
      </c>
      <c r="F8" s="6">
        <v>60514</v>
      </c>
      <c r="G8" s="76">
        <f t="shared" ref="G8:G14" si="1">+SUM(C8:F8)</f>
        <v>263266</v>
      </c>
      <c r="H8" s="70"/>
      <c r="J8" s="17" t="s">
        <v>29</v>
      </c>
      <c r="K8" s="4" t="s">
        <v>30</v>
      </c>
      <c r="L8" s="14">
        <v>100000</v>
      </c>
      <c r="M8" s="14">
        <v>100000</v>
      </c>
      <c r="N8" s="18">
        <f t="shared" si="0"/>
        <v>200000</v>
      </c>
    </row>
    <row r="9" spans="2:16" ht="18.75" x14ac:dyDescent="0.25">
      <c r="B9" s="5" t="s">
        <v>14</v>
      </c>
      <c r="C9" s="6">
        <v>74195</v>
      </c>
      <c r="D9" s="6">
        <v>69303</v>
      </c>
      <c r="E9" s="6">
        <v>61743</v>
      </c>
      <c r="F9" s="6">
        <v>70958</v>
      </c>
      <c r="G9" s="76">
        <f t="shared" si="1"/>
        <v>276199</v>
      </c>
      <c r="H9" s="70"/>
      <c r="J9" s="17" t="s">
        <v>31</v>
      </c>
      <c r="K9" s="4" t="s">
        <v>32</v>
      </c>
      <c r="L9" s="14">
        <v>350000</v>
      </c>
      <c r="M9" s="14">
        <v>385000.00000000006</v>
      </c>
      <c r="N9" s="18">
        <f t="shared" si="0"/>
        <v>735000</v>
      </c>
    </row>
    <row r="10" spans="2:16" ht="18.75" x14ac:dyDescent="0.25">
      <c r="B10" s="5" t="s">
        <v>15</v>
      </c>
      <c r="C10" s="6">
        <v>73025</v>
      </c>
      <c r="D10" s="6">
        <v>92697</v>
      </c>
      <c r="E10" s="6">
        <v>59393</v>
      </c>
      <c r="F10" s="6">
        <v>65854</v>
      </c>
      <c r="G10" s="76">
        <f t="shared" si="1"/>
        <v>290969</v>
      </c>
      <c r="H10" s="70"/>
      <c r="J10" s="17" t="s">
        <v>31</v>
      </c>
      <c r="K10" s="4" t="s">
        <v>33</v>
      </c>
      <c r="L10" s="14">
        <v>115000</v>
      </c>
      <c r="M10" s="14">
        <v>126500.00000000001</v>
      </c>
      <c r="N10" s="18">
        <f t="shared" si="0"/>
        <v>241500</v>
      </c>
    </row>
    <row r="11" spans="2:16" ht="18.75" x14ac:dyDescent="0.25">
      <c r="B11" s="5" t="s">
        <v>16</v>
      </c>
      <c r="C11" s="6">
        <v>23527</v>
      </c>
      <c r="D11" s="6">
        <v>78643</v>
      </c>
      <c r="E11" s="6">
        <v>65748</v>
      </c>
      <c r="F11" s="6">
        <v>64326</v>
      </c>
      <c r="G11" s="76">
        <f t="shared" si="1"/>
        <v>232244</v>
      </c>
      <c r="H11" s="70"/>
      <c r="J11" s="17" t="s">
        <v>29</v>
      </c>
      <c r="K11" s="4" t="s">
        <v>34</v>
      </c>
      <c r="L11" s="14">
        <v>1500000</v>
      </c>
      <c r="M11" s="14">
        <v>1650000.0000000002</v>
      </c>
      <c r="N11" s="18">
        <f t="shared" si="0"/>
        <v>3150000</v>
      </c>
    </row>
    <row r="12" spans="2:16" ht="18.75" x14ac:dyDescent="0.25">
      <c r="B12" s="5" t="s">
        <v>17</v>
      </c>
      <c r="C12" s="6">
        <v>68409</v>
      </c>
      <c r="D12" s="6">
        <v>81439</v>
      </c>
      <c r="E12" s="6">
        <v>96158</v>
      </c>
      <c r="F12" s="6">
        <v>78618</v>
      </c>
      <c r="G12" s="76">
        <f t="shared" si="1"/>
        <v>324624</v>
      </c>
      <c r="H12" s="70"/>
      <c r="J12" s="17" t="s">
        <v>29</v>
      </c>
      <c r="K12" s="4" t="s">
        <v>35</v>
      </c>
      <c r="L12" s="14">
        <v>220000</v>
      </c>
      <c r="M12" s="14">
        <v>242000.00000000003</v>
      </c>
      <c r="N12" s="18">
        <f t="shared" si="0"/>
        <v>462000</v>
      </c>
    </row>
    <row r="13" spans="2:16" ht="18.75" x14ac:dyDescent="0.25">
      <c r="B13" s="5" t="s">
        <v>18</v>
      </c>
      <c r="C13" s="6">
        <v>54657</v>
      </c>
      <c r="D13" s="6">
        <v>72764</v>
      </c>
      <c r="E13" s="6">
        <v>64724</v>
      </c>
      <c r="F13" s="6">
        <v>99610</v>
      </c>
      <c r="G13" s="76">
        <f t="shared" si="1"/>
        <v>291755</v>
      </c>
      <c r="H13" s="70"/>
      <c r="J13" s="17" t="s">
        <v>24</v>
      </c>
      <c r="K13" s="4" t="s">
        <v>36</v>
      </c>
      <c r="L13" s="14">
        <v>900000</v>
      </c>
      <c r="M13" s="14">
        <v>990000.00000000012</v>
      </c>
      <c r="N13" s="18">
        <f t="shared" si="0"/>
        <v>1890000</v>
      </c>
    </row>
    <row r="14" spans="2:16" ht="18.75" x14ac:dyDescent="0.25">
      <c r="B14" s="5" t="s">
        <v>19</v>
      </c>
      <c r="C14" s="6">
        <v>78111</v>
      </c>
      <c r="D14" s="6">
        <v>89547</v>
      </c>
      <c r="E14" s="6">
        <v>59406</v>
      </c>
      <c r="F14" s="6">
        <v>62123</v>
      </c>
      <c r="G14" s="76">
        <f t="shared" si="1"/>
        <v>289187</v>
      </c>
      <c r="H14" s="70"/>
      <c r="J14" s="17" t="s">
        <v>29</v>
      </c>
      <c r="K14" s="4" t="s">
        <v>37</v>
      </c>
      <c r="L14" s="14">
        <v>2140000</v>
      </c>
      <c r="M14" s="14">
        <v>2354000</v>
      </c>
      <c r="N14" s="18">
        <f t="shared" si="0"/>
        <v>4494000</v>
      </c>
    </row>
    <row r="15" spans="2:16" ht="18.75" x14ac:dyDescent="0.25">
      <c r="B15" s="68" t="s">
        <v>20</v>
      </c>
      <c r="C15" s="52">
        <f>SUM(C5:C14)</f>
        <v>635440</v>
      </c>
      <c r="D15" s="52">
        <f>SUM(D5:D14)</f>
        <v>805794</v>
      </c>
      <c r="E15" s="52">
        <f>SUM(E5:E14)</f>
        <v>720767</v>
      </c>
      <c r="F15" s="52">
        <f>SUM(F5:F14)</f>
        <v>654289</v>
      </c>
      <c r="G15" s="52">
        <f>SUM(G5:G14)</f>
        <v>3249334</v>
      </c>
      <c r="J15" s="22" t="s">
        <v>26</v>
      </c>
      <c r="K15" s="23" t="s">
        <v>38</v>
      </c>
      <c r="L15" s="24">
        <v>50000</v>
      </c>
      <c r="M15" s="24">
        <v>55000</v>
      </c>
      <c r="N15" s="25">
        <f t="shared" si="0"/>
        <v>105000</v>
      </c>
    </row>
  </sheetData>
  <autoFilter ref="B4:G15" xr:uid="{00000000-0001-0000-0000-000000000000}">
    <sortState xmlns:xlrd2="http://schemas.microsoft.com/office/spreadsheetml/2017/richdata2" ref="B5:G15">
      <sortCondition ref="B4:B14"/>
    </sortState>
  </autoFilter>
  <mergeCells count="2">
    <mergeCell ref="B1:D2"/>
    <mergeCell ref="L1:N2"/>
  </mergeCells>
  <phoneticPr fontId="7" type="noConversion"/>
  <conditionalFormatting sqref="C5:F14">
    <cfRule type="cellIs" dxfId="11" priority="2" operator="lessThan">
      <formula>$G$2</formula>
    </cfRule>
    <cfRule type="cellIs" dxfId="10" priority="3" operator="greaterThan">
      <formula>$F$2</formula>
    </cfRule>
  </conditionalFormatting>
  <conditionalFormatting sqref="G5:G1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{35A2F1C5-D5D4-48A4-B952-133A81BB7BC2}</x14:id>
        </ext>
      </extLst>
    </cfRule>
  </conditionalFormatting>
  <dataValidations count="1">
    <dataValidation type="list" allowBlank="1" showInputMessage="1" showErrorMessage="1" sqref="J1" xr:uid="{D6D9DB70-50FC-4AA8-BEE7-3EBAEA997CCE}">
      <formula1>$P$1:$P$4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2" fitToHeight="0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A2F1C5-D5D4-48A4-B952-133A81BB7B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FDDB-3642-4FD6-A568-0517958C05F6}">
  <sheetPr>
    <tabColor rgb="FF00B050"/>
  </sheetPr>
  <dimension ref="B1:L12"/>
  <sheetViews>
    <sheetView showGridLines="0" topLeftCell="B1" zoomScale="90" zoomScaleNormal="90" workbookViewId="0">
      <selection activeCell="I3" sqref="I3"/>
    </sheetView>
  </sheetViews>
  <sheetFormatPr baseColWidth="10" defaultRowHeight="15" x14ac:dyDescent="0.25"/>
  <cols>
    <col min="1" max="1" width="7" customWidth="1"/>
    <col min="2" max="3" width="20.42578125" customWidth="1"/>
    <col min="6" max="6" width="20.42578125" customWidth="1"/>
    <col min="7" max="7" width="3" customWidth="1"/>
    <col min="8" max="8" width="19.85546875" customWidth="1"/>
    <col min="9" max="9" width="42" customWidth="1"/>
    <col min="10" max="10" width="19.85546875" customWidth="1"/>
    <col min="11" max="11" width="14.7109375" customWidth="1"/>
    <col min="12" max="12" width="19.85546875" customWidth="1"/>
  </cols>
  <sheetData>
    <row r="1" spans="2:12" ht="33.75" customHeight="1" x14ac:dyDescent="0.25">
      <c r="B1" s="19" t="s">
        <v>45</v>
      </c>
      <c r="C1" s="20" t="s">
        <v>44</v>
      </c>
      <c r="D1" s="20" t="s">
        <v>46</v>
      </c>
      <c r="E1" s="20" t="s">
        <v>47</v>
      </c>
      <c r="F1" s="48" t="s">
        <v>48</v>
      </c>
      <c r="I1" s="85" t="s">
        <v>49</v>
      </c>
      <c r="J1" s="85"/>
      <c r="K1" s="85"/>
      <c r="L1" s="85"/>
    </row>
    <row r="2" spans="2:12" ht="25.5" customHeight="1" x14ac:dyDescent="0.25">
      <c r="B2" s="17" t="s">
        <v>51</v>
      </c>
      <c r="C2" s="4" t="s">
        <v>33</v>
      </c>
      <c r="D2" s="4" t="s">
        <v>52</v>
      </c>
      <c r="E2" s="4">
        <v>28</v>
      </c>
      <c r="F2" s="46" t="s">
        <v>53</v>
      </c>
      <c r="H2" s="28" t="s">
        <v>45</v>
      </c>
      <c r="I2" s="28" t="s">
        <v>44</v>
      </c>
      <c r="J2" s="28" t="s">
        <v>46</v>
      </c>
      <c r="K2" s="28" t="s">
        <v>47</v>
      </c>
      <c r="L2" s="29" t="s">
        <v>48</v>
      </c>
    </row>
    <row r="3" spans="2:12" ht="25.5" customHeight="1" x14ac:dyDescent="0.25">
      <c r="B3" s="17" t="s">
        <v>55</v>
      </c>
      <c r="C3" s="4" t="s">
        <v>30</v>
      </c>
      <c r="D3" s="4" t="s">
        <v>52</v>
      </c>
      <c r="E3" s="4">
        <v>27</v>
      </c>
      <c r="F3" s="46" t="s">
        <v>53</v>
      </c>
      <c r="H3" s="13" t="s">
        <v>75</v>
      </c>
      <c r="I3" s="4" t="str">
        <f>VLOOKUP(H3,RH[],2,0)</f>
        <v>NOUR</v>
      </c>
      <c r="J3" s="4" t="str">
        <f>VLOOKUP(H3,RH[],3,0)</f>
        <v>FEMME</v>
      </c>
      <c r="K3" s="4">
        <f>VLOOKUP(H3,RH[],4,0)</f>
        <v>24</v>
      </c>
      <c r="L3" s="4" t="str">
        <f>VLOOKUP(H3,RH[],5,0)</f>
        <v>STAGE</v>
      </c>
    </row>
    <row r="4" spans="2:12" ht="25.5" customHeight="1" x14ac:dyDescent="0.25">
      <c r="B4" s="17" t="s">
        <v>58</v>
      </c>
      <c r="C4" s="4" t="s">
        <v>38</v>
      </c>
      <c r="D4" s="4" t="s">
        <v>59</v>
      </c>
      <c r="E4" s="4">
        <v>24</v>
      </c>
      <c r="F4" s="46" t="s">
        <v>60</v>
      </c>
    </row>
    <row r="5" spans="2:12" ht="25.5" customHeight="1" x14ac:dyDescent="0.25">
      <c r="B5" s="17" t="s">
        <v>62</v>
      </c>
      <c r="C5" s="4" t="s">
        <v>28</v>
      </c>
      <c r="D5" s="4" t="s">
        <v>59</v>
      </c>
      <c r="E5" s="4">
        <v>24</v>
      </c>
      <c r="F5" s="46" t="s">
        <v>63</v>
      </c>
      <c r="I5" s="53" t="s">
        <v>116</v>
      </c>
    </row>
    <row r="6" spans="2:12" ht="25.5" customHeight="1" x14ac:dyDescent="0.25">
      <c r="B6" s="17" t="s">
        <v>65</v>
      </c>
      <c r="C6" s="4" t="s">
        <v>32</v>
      </c>
      <c r="D6" s="4" t="s">
        <v>59</v>
      </c>
      <c r="E6" s="4">
        <v>23</v>
      </c>
      <c r="F6" s="46" t="s">
        <v>63</v>
      </c>
    </row>
    <row r="7" spans="2:12" ht="25.5" customHeight="1" x14ac:dyDescent="0.25">
      <c r="B7" s="17" t="s">
        <v>67</v>
      </c>
      <c r="C7" s="4" t="s">
        <v>35</v>
      </c>
      <c r="D7" s="4" t="s">
        <v>59</v>
      </c>
      <c r="E7" s="4">
        <v>24</v>
      </c>
      <c r="F7" s="46" t="s">
        <v>53</v>
      </c>
    </row>
    <row r="8" spans="2:12" ht="25.5" customHeight="1" x14ac:dyDescent="0.25">
      <c r="B8" s="17" t="s">
        <v>69</v>
      </c>
      <c r="C8" s="4" t="s">
        <v>27</v>
      </c>
      <c r="D8" s="4" t="s">
        <v>59</v>
      </c>
      <c r="E8" s="4">
        <v>26</v>
      </c>
      <c r="F8" s="46" t="s">
        <v>60</v>
      </c>
    </row>
    <row r="9" spans="2:12" ht="25.5" customHeight="1" x14ac:dyDescent="0.25">
      <c r="B9" s="17" t="s">
        <v>70</v>
      </c>
      <c r="C9" s="4" t="s">
        <v>36</v>
      </c>
      <c r="D9" s="4" t="s">
        <v>52</v>
      </c>
      <c r="E9" s="4">
        <v>25</v>
      </c>
      <c r="F9" s="46" t="s">
        <v>63</v>
      </c>
    </row>
    <row r="10" spans="2:12" ht="30" customHeight="1" x14ac:dyDescent="0.25">
      <c r="B10" s="17" t="s">
        <v>72</v>
      </c>
      <c r="C10" s="4" t="s">
        <v>25</v>
      </c>
      <c r="D10" s="4" t="s">
        <v>52</v>
      </c>
      <c r="E10" s="4">
        <v>27</v>
      </c>
      <c r="F10" s="46" t="s">
        <v>53</v>
      </c>
    </row>
    <row r="11" spans="2:12" ht="30" customHeight="1" x14ac:dyDescent="0.25">
      <c r="B11" s="17" t="s">
        <v>74</v>
      </c>
      <c r="C11" s="4" t="s">
        <v>34</v>
      </c>
      <c r="D11" s="4" t="s">
        <v>59</v>
      </c>
      <c r="E11" s="4">
        <v>27</v>
      </c>
      <c r="F11" s="46" t="s">
        <v>63</v>
      </c>
    </row>
    <row r="12" spans="2:12" ht="32.25" customHeight="1" x14ac:dyDescent="0.25">
      <c r="B12" s="22" t="s">
        <v>75</v>
      </c>
      <c r="C12" s="23" t="s">
        <v>37</v>
      </c>
      <c r="D12" s="23" t="s">
        <v>59</v>
      </c>
      <c r="E12" s="23">
        <v>24</v>
      </c>
      <c r="F12" s="47" t="s">
        <v>63</v>
      </c>
    </row>
  </sheetData>
  <mergeCells count="1">
    <mergeCell ref="I1:L1"/>
  </mergeCells>
  <dataValidations count="1">
    <dataValidation type="list" allowBlank="1" showInputMessage="1" showErrorMessage="1" sqref="H3" xr:uid="{6A527757-3EB3-492C-B327-68AFEB488CC1}">
      <formula1>$B$2:$B$12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328D-3EF1-4426-8D75-E4FD7D624610}">
  <sheetPr>
    <tabColor rgb="FF92D050"/>
  </sheetPr>
  <dimension ref="A1:O16"/>
  <sheetViews>
    <sheetView showGridLines="0" topLeftCell="E1" zoomScale="90" zoomScaleNormal="90" workbookViewId="0">
      <selection activeCell="P6" sqref="P6"/>
    </sheetView>
  </sheetViews>
  <sheetFormatPr baseColWidth="10" defaultRowHeight="15" x14ac:dyDescent="0.25"/>
  <cols>
    <col min="1" max="1" width="11.85546875" bestFit="1" customWidth="1"/>
    <col min="2" max="2" width="11.85546875" customWidth="1"/>
    <col min="3" max="3" width="31" customWidth="1"/>
    <col min="4" max="4" width="43.28515625" bestFit="1" customWidth="1"/>
    <col min="5" max="5" width="5.85546875" style="32" customWidth="1"/>
    <col min="6" max="11" width="14.5703125" customWidth="1"/>
    <col min="12" max="12" width="16.42578125" bestFit="1" customWidth="1"/>
    <col min="13" max="13" width="20.140625" bestFit="1" customWidth="1"/>
    <col min="14" max="14" width="20.28515625" bestFit="1" customWidth="1"/>
    <col min="15" max="15" width="33" customWidth="1"/>
  </cols>
  <sheetData>
    <row r="1" spans="1:15" ht="15.75" x14ac:dyDescent="0.25">
      <c r="A1" s="30" t="s">
        <v>76</v>
      </c>
      <c r="B1" s="31"/>
      <c r="C1" t="s">
        <v>77</v>
      </c>
      <c r="D1" s="45" t="s">
        <v>117</v>
      </c>
      <c r="M1" t="s">
        <v>78</v>
      </c>
      <c r="O1" t="s">
        <v>77</v>
      </c>
    </row>
    <row r="2" spans="1:15" x14ac:dyDescent="0.25">
      <c r="C2" t="s">
        <v>78</v>
      </c>
      <c r="D2" s="33" t="s">
        <v>79</v>
      </c>
      <c r="M2" t="s">
        <v>80</v>
      </c>
      <c r="N2" t="s">
        <v>81</v>
      </c>
    </row>
    <row r="3" spans="1:15" ht="37.5" x14ac:dyDescent="0.25">
      <c r="A3" s="36" t="s">
        <v>1</v>
      </c>
      <c r="B3" s="36" t="s">
        <v>82</v>
      </c>
      <c r="C3" s="36" t="s">
        <v>83</v>
      </c>
      <c r="D3" s="36" t="s">
        <v>84</v>
      </c>
      <c r="F3" s="43" t="s">
        <v>45</v>
      </c>
      <c r="G3" s="43" t="s">
        <v>44</v>
      </c>
      <c r="H3" s="43" t="s">
        <v>46</v>
      </c>
      <c r="I3" s="43" t="s">
        <v>47</v>
      </c>
      <c r="J3" s="44" t="s">
        <v>48</v>
      </c>
      <c r="K3" s="44" t="s">
        <v>85</v>
      </c>
      <c r="L3" s="44" t="s">
        <v>86</v>
      </c>
      <c r="M3" s="43" t="s">
        <v>132</v>
      </c>
      <c r="N3" s="43" t="s">
        <v>87</v>
      </c>
      <c r="O3" s="44" t="s">
        <v>88</v>
      </c>
    </row>
    <row r="4" spans="1:15" ht="18" customHeight="1" x14ac:dyDescent="0.25">
      <c r="A4" s="34" t="s">
        <v>89</v>
      </c>
      <c r="B4" s="34">
        <v>5</v>
      </c>
      <c r="C4" s="1" t="str">
        <f>IF(B4&lt;10,"réfusé","admis")</f>
        <v>réfusé</v>
      </c>
      <c r="D4" s="4" t="str">
        <f>IF(C4="admis","oui","non")</f>
        <v>non</v>
      </c>
      <c r="F4" s="13" t="s">
        <v>51</v>
      </c>
      <c r="G4" s="4" t="s">
        <v>90</v>
      </c>
      <c r="H4" s="4" t="s">
        <v>59</v>
      </c>
      <c r="I4" s="4">
        <v>28</v>
      </c>
      <c r="J4" s="4" t="s">
        <v>53</v>
      </c>
      <c r="K4" s="4">
        <v>4</v>
      </c>
      <c r="L4" s="35">
        <v>50000</v>
      </c>
      <c r="M4" s="16" t="b">
        <f>AND(J4="cdd",K4&gt;3)</f>
        <v>1</v>
      </c>
      <c r="N4" s="16" t="b">
        <f>OR(I4&gt;25,H4="homm")</f>
        <v>1</v>
      </c>
      <c r="O4" s="71">
        <f>IF(AND(J4="cdi",K4&gt;3),L4*0.1,0)</f>
        <v>0</v>
      </c>
    </row>
    <row r="5" spans="1:15" ht="18" customHeight="1" x14ac:dyDescent="0.25">
      <c r="A5" s="34" t="s">
        <v>91</v>
      </c>
      <c r="B5" s="34">
        <v>6</v>
      </c>
      <c r="C5" s="1" t="str">
        <f t="shared" ref="C5:C16" si="0">IF(B5&lt;10,"réfusé","admis")</f>
        <v>réfusé</v>
      </c>
      <c r="D5" s="4" t="str">
        <f t="shared" ref="D5:D16" si="1">IF(C5="admis","oui","non")</f>
        <v>non</v>
      </c>
      <c r="F5" s="13" t="s">
        <v>55</v>
      </c>
      <c r="G5" s="4" t="s">
        <v>92</v>
      </c>
      <c r="H5" s="4" t="s">
        <v>59</v>
      </c>
      <c r="I5" s="4">
        <v>27</v>
      </c>
      <c r="J5" s="4" t="s">
        <v>53</v>
      </c>
      <c r="K5" s="4">
        <v>2</v>
      </c>
      <c r="L5" s="35">
        <v>50000</v>
      </c>
      <c r="M5" s="16" t="b">
        <f t="shared" ref="M5:M13" si="2">AND(J5="cdd",K5&gt;3)</f>
        <v>0</v>
      </c>
      <c r="N5" s="16" t="b">
        <f t="shared" ref="N5:N13" si="3">OR(I5&gt;25,H5="homm")</f>
        <v>1</v>
      </c>
      <c r="O5" s="71">
        <f t="shared" ref="O5:O13" si="4">IF(AND(J5="cdi",K5&gt;3),L5*0.1,0)</f>
        <v>0</v>
      </c>
    </row>
    <row r="6" spans="1:15" ht="18" customHeight="1" x14ac:dyDescent="0.25">
      <c r="A6" s="34" t="s">
        <v>93</v>
      </c>
      <c r="B6" s="34">
        <v>10</v>
      </c>
      <c r="C6" s="1" t="str">
        <f t="shared" si="0"/>
        <v>admis</v>
      </c>
      <c r="D6" s="4" t="str">
        <f t="shared" si="1"/>
        <v>oui</v>
      </c>
      <c r="F6" s="13" t="s">
        <v>58</v>
      </c>
      <c r="G6" s="4" t="s">
        <v>94</v>
      </c>
      <c r="H6" s="4" t="s">
        <v>52</v>
      </c>
      <c r="I6" s="4">
        <v>24</v>
      </c>
      <c r="J6" s="4" t="s">
        <v>60</v>
      </c>
      <c r="K6" s="4">
        <v>4</v>
      </c>
      <c r="L6" s="35">
        <v>50000</v>
      </c>
      <c r="M6" s="16" t="b">
        <f t="shared" si="2"/>
        <v>0</v>
      </c>
      <c r="N6" s="16" t="b">
        <f t="shared" si="3"/>
        <v>0</v>
      </c>
      <c r="O6" s="71">
        <f t="shared" si="4"/>
        <v>5000</v>
      </c>
    </row>
    <row r="7" spans="1:15" ht="18" customHeight="1" x14ac:dyDescent="0.25">
      <c r="A7" s="34" t="s">
        <v>95</v>
      </c>
      <c r="B7" s="34">
        <v>11</v>
      </c>
      <c r="C7" s="1" t="str">
        <f t="shared" si="0"/>
        <v>admis</v>
      </c>
      <c r="D7" s="4" t="str">
        <f t="shared" si="1"/>
        <v>oui</v>
      </c>
      <c r="F7" s="13" t="s">
        <v>62</v>
      </c>
      <c r="G7" s="4" t="s">
        <v>35</v>
      </c>
      <c r="H7" s="4" t="s">
        <v>59</v>
      </c>
      <c r="I7" s="4">
        <v>24</v>
      </c>
      <c r="J7" s="4" t="s">
        <v>63</v>
      </c>
      <c r="K7" s="4">
        <v>1</v>
      </c>
      <c r="L7" s="35">
        <v>50000</v>
      </c>
      <c r="M7" s="16" t="b">
        <f t="shared" si="2"/>
        <v>0</v>
      </c>
      <c r="N7" s="16" t="b">
        <f t="shared" si="3"/>
        <v>0</v>
      </c>
      <c r="O7" s="71">
        <f t="shared" si="4"/>
        <v>0</v>
      </c>
    </row>
    <row r="8" spans="1:15" ht="18" customHeight="1" x14ac:dyDescent="0.25">
      <c r="A8" s="34" t="s">
        <v>96</v>
      </c>
      <c r="B8" s="34">
        <v>12</v>
      </c>
      <c r="C8" s="1" t="str">
        <f t="shared" si="0"/>
        <v>admis</v>
      </c>
      <c r="D8" s="4" t="str">
        <f t="shared" si="1"/>
        <v>oui</v>
      </c>
      <c r="F8" s="13" t="s">
        <v>65</v>
      </c>
      <c r="G8" s="4" t="s">
        <v>97</v>
      </c>
      <c r="H8" s="4" t="s">
        <v>59</v>
      </c>
      <c r="I8" s="4">
        <v>23</v>
      </c>
      <c r="J8" s="4" t="s">
        <v>63</v>
      </c>
      <c r="K8" s="4">
        <v>1</v>
      </c>
      <c r="L8" s="35">
        <v>50000</v>
      </c>
      <c r="M8" s="16" t="b">
        <f t="shared" si="2"/>
        <v>0</v>
      </c>
      <c r="N8" s="16" t="b">
        <f t="shared" si="3"/>
        <v>0</v>
      </c>
      <c r="O8" s="71">
        <f t="shared" si="4"/>
        <v>0</v>
      </c>
    </row>
    <row r="9" spans="1:15" ht="18" customHeight="1" x14ac:dyDescent="0.25">
      <c r="A9" s="34" t="s">
        <v>98</v>
      </c>
      <c r="B9" s="34">
        <v>9</v>
      </c>
      <c r="C9" s="1" t="str">
        <f t="shared" si="0"/>
        <v>réfusé</v>
      </c>
      <c r="D9" s="4" t="str">
        <f t="shared" si="1"/>
        <v>non</v>
      </c>
      <c r="F9" s="13" t="s">
        <v>67</v>
      </c>
      <c r="G9" s="4" t="s">
        <v>99</v>
      </c>
      <c r="H9" s="4" t="s">
        <v>59</v>
      </c>
      <c r="I9" s="4">
        <v>24</v>
      </c>
      <c r="J9" s="4" t="s">
        <v>53</v>
      </c>
      <c r="K9" s="4">
        <v>2</v>
      </c>
      <c r="L9" s="35">
        <v>50000</v>
      </c>
      <c r="M9" s="16" t="b">
        <f t="shared" si="2"/>
        <v>0</v>
      </c>
      <c r="N9" s="16" t="b">
        <f t="shared" si="3"/>
        <v>0</v>
      </c>
      <c r="O9" s="71">
        <f t="shared" si="4"/>
        <v>0</v>
      </c>
    </row>
    <row r="10" spans="1:15" ht="18" customHeight="1" x14ac:dyDescent="0.25">
      <c r="A10" s="34" t="s">
        <v>100</v>
      </c>
      <c r="B10" s="34">
        <v>18</v>
      </c>
      <c r="C10" s="1" t="str">
        <f t="shared" si="0"/>
        <v>admis</v>
      </c>
      <c r="D10" s="4" t="str">
        <f t="shared" si="1"/>
        <v>oui</v>
      </c>
      <c r="F10" s="13" t="s">
        <v>69</v>
      </c>
      <c r="G10" s="4" t="s">
        <v>101</v>
      </c>
      <c r="H10" s="4" t="s">
        <v>59</v>
      </c>
      <c r="I10" s="4">
        <v>26</v>
      </c>
      <c r="J10" s="4" t="s">
        <v>60</v>
      </c>
      <c r="K10" s="4">
        <v>4</v>
      </c>
      <c r="L10" s="35">
        <v>50000</v>
      </c>
      <c r="M10" s="16" t="b">
        <f t="shared" si="2"/>
        <v>0</v>
      </c>
      <c r="N10" s="16" t="b">
        <f t="shared" si="3"/>
        <v>1</v>
      </c>
      <c r="O10" s="71">
        <f t="shared" si="4"/>
        <v>5000</v>
      </c>
    </row>
    <row r="11" spans="1:15" ht="18" customHeight="1" x14ac:dyDescent="0.25">
      <c r="A11" s="34" t="s">
        <v>102</v>
      </c>
      <c r="B11" s="34">
        <v>14</v>
      </c>
      <c r="C11" s="1" t="str">
        <f t="shared" si="0"/>
        <v>admis</v>
      </c>
      <c r="D11" s="4" t="str">
        <f t="shared" si="1"/>
        <v>oui</v>
      </c>
      <c r="F11" s="13" t="s">
        <v>70</v>
      </c>
      <c r="G11" s="4" t="s">
        <v>103</v>
      </c>
      <c r="H11" s="4" t="s">
        <v>52</v>
      </c>
      <c r="I11" s="4">
        <v>25</v>
      </c>
      <c r="J11" s="4" t="s">
        <v>63</v>
      </c>
      <c r="K11" s="4">
        <v>1</v>
      </c>
      <c r="L11" s="35">
        <v>50000</v>
      </c>
      <c r="M11" s="16" t="b">
        <f t="shared" si="2"/>
        <v>0</v>
      </c>
      <c r="N11" s="16" t="b">
        <f t="shared" si="3"/>
        <v>0</v>
      </c>
      <c r="O11" s="71">
        <f t="shared" si="4"/>
        <v>0</v>
      </c>
    </row>
    <row r="12" spans="1:15" ht="18" customHeight="1" x14ac:dyDescent="0.25">
      <c r="A12" s="34" t="s">
        <v>104</v>
      </c>
      <c r="B12" s="34">
        <v>13</v>
      </c>
      <c r="C12" s="1" t="str">
        <f t="shared" si="0"/>
        <v>admis</v>
      </c>
      <c r="D12" s="4" t="str">
        <f t="shared" si="1"/>
        <v>oui</v>
      </c>
      <c r="F12" s="13" t="s">
        <v>72</v>
      </c>
      <c r="G12" s="4" t="s">
        <v>105</v>
      </c>
      <c r="H12" s="4" t="s">
        <v>52</v>
      </c>
      <c r="I12" s="4">
        <v>27</v>
      </c>
      <c r="J12" s="4" t="s">
        <v>53</v>
      </c>
      <c r="K12" s="4">
        <v>1</v>
      </c>
      <c r="L12" s="35">
        <v>50000</v>
      </c>
      <c r="M12" s="16" t="b">
        <f t="shared" si="2"/>
        <v>0</v>
      </c>
      <c r="N12" s="16" t="b">
        <f t="shared" si="3"/>
        <v>1</v>
      </c>
      <c r="O12" s="71">
        <f t="shared" si="4"/>
        <v>0</v>
      </c>
    </row>
    <row r="13" spans="1:15" ht="18" customHeight="1" x14ac:dyDescent="0.25">
      <c r="A13" s="34" t="s">
        <v>106</v>
      </c>
      <c r="B13" s="34">
        <v>6</v>
      </c>
      <c r="C13" s="1" t="str">
        <f t="shared" si="0"/>
        <v>réfusé</v>
      </c>
      <c r="D13" s="4" t="str">
        <f t="shared" si="1"/>
        <v>non</v>
      </c>
      <c r="F13" s="13" t="s">
        <v>74</v>
      </c>
      <c r="G13" s="4" t="s">
        <v>28</v>
      </c>
      <c r="H13" s="4" t="s">
        <v>59</v>
      </c>
      <c r="I13" s="4">
        <v>27</v>
      </c>
      <c r="J13" s="4" t="s">
        <v>63</v>
      </c>
      <c r="K13" s="4">
        <v>1</v>
      </c>
      <c r="L13" s="35">
        <v>50000</v>
      </c>
      <c r="M13" s="16" t="b">
        <f t="shared" si="2"/>
        <v>0</v>
      </c>
      <c r="N13" s="16" t="b">
        <f t="shared" si="3"/>
        <v>1</v>
      </c>
      <c r="O13" s="71">
        <f t="shared" si="4"/>
        <v>0</v>
      </c>
    </row>
    <row r="14" spans="1:15" ht="18" customHeight="1" x14ac:dyDescent="0.25">
      <c r="A14" s="34" t="s">
        <v>107</v>
      </c>
      <c r="B14" s="34">
        <v>4</v>
      </c>
      <c r="C14" s="1" t="str">
        <f t="shared" si="0"/>
        <v>réfusé</v>
      </c>
      <c r="D14" s="4" t="str">
        <f t="shared" si="1"/>
        <v>non</v>
      </c>
    </row>
    <row r="15" spans="1:15" ht="18" customHeight="1" x14ac:dyDescent="0.25">
      <c r="A15" s="34" t="s">
        <v>108</v>
      </c>
      <c r="B15" s="34">
        <v>7</v>
      </c>
      <c r="C15" s="1" t="str">
        <f t="shared" si="0"/>
        <v>réfusé</v>
      </c>
      <c r="D15" s="4" t="str">
        <f t="shared" si="1"/>
        <v>non</v>
      </c>
    </row>
    <row r="16" spans="1:15" ht="18" customHeight="1" x14ac:dyDescent="0.25">
      <c r="A16" s="34" t="s">
        <v>109</v>
      </c>
      <c r="B16" s="34">
        <v>19</v>
      </c>
      <c r="C16" s="1" t="str">
        <f t="shared" si="0"/>
        <v>admis</v>
      </c>
      <c r="D16" s="4" t="str">
        <f t="shared" si="1"/>
        <v>oui</v>
      </c>
    </row>
  </sheetData>
  <conditionalFormatting sqref="D4:D16">
    <cfRule type="cellIs" dxfId="6" priority="4" operator="equal">
      <formula>"oui"</formula>
    </cfRule>
    <cfRule type="cellIs" dxfId="5" priority="3" operator="equal">
      <formula>"non"</formula>
    </cfRule>
  </conditionalFormatting>
  <conditionalFormatting sqref="C4:C16">
    <cfRule type="cellIs" dxfId="0" priority="2" operator="equal">
      <formula>"admis"</formula>
    </cfRule>
    <cfRule type="cellIs" dxfId="1" priority="1" operator="equal">
      <formula>"réfusé"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89EB-2C9E-4EE9-A24A-4B470C521AAA}">
  <sheetPr>
    <tabColor rgb="FFFFFF00"/>
    <pageSetUpPr fitToPage="1"/>
  </sheetPr>
  <dimension ref="A1:H37"/>
  <sheetViews>
    <sheetView showGridLines="0" topLeftCell="D1" zoomScale="90" zoomScaleNormal="90" workbookViewId="0">
      <selection activeCell="G1" sqref="G1"/>
    </sheetView>
  </sheetViews>
  <sheetFormatPr baseColWidth="10" defaultRowHeight="15" x14ac:dyDescent="0.25"/>
  <cols>
    <col min="1" max="1" width="19" customWidth="1"/>
    <col min="2" max="4" width="19" style="33" customWidth="1"/>
    <col min="5" max="5" width="2" customWidth="1"/>
    <col min="6" max="6" width="14.28515625" bestFit="1" customWidth="1"/>
    <col min="7" max="7" width="34.28515625" customWidth="1"/>
    <col min="8" max="8" width="32.85546875" customWidth="1"/>
  </cols>
  <sheetData>
    <row r="1" spans="1:8" x14ac:dyDescent="0.25">
      <c r="G1" s="75"/>
      <c r="H1" s="42"/>
    </row>
    <row r="2" spans="1:8" ht="21" x14ac:dyDescent="0.25">
      <c r="A2" s="33" t="s">
        <v>110</v>
      </c>
      <c r="B2" s="33" t="s">
        <v>39</v>
      </c>
      <c r="C2" s="33" t="s">
        <v>111</v>
      </c>
      <c r="D2" s="37" t="s">
        <v>40</v>
      </c>
      <c r="F2" s="38" t="s">
        <v>118</v>
      </c>
    </row>
    <row r="3" spans="1:8" ht="15.75" x14ac:dyDescent="0.25">
      <c r="A3" s="1" t="s">
        <v>61</v>
      </c>
      <c r="B3" s="1">
        <v>10</v>
      </c>
      <c r="C3" s="1" t="s">
        <v>41</v>
      </c>
      <c r="D3" s="39">
        <v>30000</v>
      </c>
      <c r="G3" s="40" t="s">
        <v>8</v>
      </c>
      <c r="H3" s="40" t="s">
        <v>40</v>
      </c>
    </row>
    <row r="4" spans="1:8" ht="18.75" x14ac:dyDescent="0.3">
      <c r="A4" s="1" t="s">
        <v>54</v>
      </c>
      <c r="B4" s="1">
        <v>20</v>
      </c>
      <c r="C4" s="1" t="s">
        <v>41</v>
      </c>
      <c r="D4" s="39">
        <v>60000</v>
      </c>
      <c r="G4" s="1" t="s">
        <v>41</v>
      </c>
      <c r="H4" s="41">
        <f>SUMIF(C:C,G4,D:D)</f>
        <v>225000</v>
      </c>
    </row>
    <row r="5" spans="1:8" ht="18.75" x14ac:dyDescent="0.3">
      <c r="A5" s="1" t="s">
        <v>56</v>
      </c>
      <c r="B5" s="1">
        <v>30</v>
      </c>
      <c r="C5" s="1" t="s">
        <v>41</v>
      </c>
      <c r="D5" s="39">
        <v>90000</v>
      </c>
      <c r="G5" s="1" t="s">
        <v>112</v>
      </c>
      <c r="H5" s="41">
        <f t="shared" ref="H5:H6" si="0">SUMIF(C:C,G5,D:D)</f>
        <v>1950000</v>
      </c>
    </row>
    <row r="6" spans="1:8" ht="18.75" x14ac:dyDescent="0.3">
      <c r="A6" s="1" t="s">
        <v>50</v>
      </c>
      <c r="B6" s="1">
        <v>15</v>
      </c>
      <c r="C6" s="1" t="s">
        <v>41</v>
      </c>
      <c r="D6" s="39">
        <v>45000</v>
      </c>
      <c r="G6" s="1" t="s">
        <v>113</v>
      </c>
      <c r="H6" s="41">
        <f t="shared" si="0"/>
        <v>540000</v>
      </c>
    </row>
    <row r="7" spans="1:8" x14ac:dyDescent="0.25">
      <c r="A7" s="1" t="s">
        <v>50</v>
      </c>
      <c r="B7" s="1">
        <v>5</v>
      </c>
      <c r="C7" s="1" t="s">
        <v>113</v>
      </c>
      <c r="D7" s="39">
        <v>150000</v>
      </c>
    </row>
    <row r="8" spans="1:8" x14ac:dyDescent="0.25">
      <c r="A8" s="1" t="s">
        <v>61</v>
      </c>
      <c r="B8" s="1">
        <v>3</v>
      </c>
      <c r="C8" s="1" t="s">
        <v>113</v>
      </c>
      <c r="D8" s="39">
        <v>90000</v>
      </c>
    </row>
    <row r="9" spans="1:8" ht="15.75" x14ac:dyDescent="0.25">
      <c r="A9" s="1" t="s">
        <v>50</v>
      </c>
      <c r="B9" s="1">
        <v>4</v>
      </c>
      <c r="C9" s="1" t="s">
        <v>113</v>
      </c>
      <c r="D9" s="39">
        <v>120000</v>
      </c>
      <c r="G9" s="40" t="s">
        <v>44</v>
      </c>
      <c r="H9" s="40" t="s">
        <v>40</v>
      </c>
    </row>
    <row r="10" spans="1:8" ht="18.75" x14ac:dyDescent="0.3">
      <c r="A10" s="1" t="s">
        <v>54</v>
      </c>
      <c r="B10" s="1">
        <v>1</v>
      </c>
      <c r="C10" s="1" t="s">
        <v>113</v>
      </c>
      <c r="D10" s="39">
        <v>30000</v>
      </c>
      <c r="G10" s="4" t="s">
        <v>61</v>
      </c>
      <c r="H10" s="41">
        <f>SUMIF(A:A,G10,D:D)</f>
        <v>620000</v>
      </c>
    </row>
    <row r="11" spans="1:8" ht="18.75" x14ac:dyDescent="0.3">
      <c r="A11" s="1" t="s">
        <v>54</v>
      </c>
      <c r="B11" s="1">
        <v>1</v>
      </c>
      <c r="C11" s="1" t="s">
        <v>113</v>
      </c>
      <c r="D11" s="39">
        <v>30000</v>
      </c>
      <c r="G11" s="4" t="s">
        <v>54</v>
      </c>
      <c r="H11" s="41">
        <f t="shared" ref="H11:H13" si="1">SUMIF(A:A,G11,D:D)</f>
        <v>412000</v>
      </c>
    </row>
    <row r="12" spans="1:8" ht="18.75" x14ac:dyDescent="0.3">
      <c r="A12" s="1" t="s">
        <v>57</v>
      </c>
      <c r="B12" s="1">
        <v>1</v>
      </c>
      <c r="C12" s="1" t="s">
        <v>113</v>
      </c>
      <c r="D12" s="39">
        <v>30000</v>
      </c>
      <c r="G12" s="4" t="s">
        <v>56</v>
      </c>
      <c r="H12" s="41">
        <f t="shared" si="1"/>
        <v>450000</v>
      </c>
    </row>
    <row r="13" spans="1:8" ht="18.75" x14ac:dyDescent="0.3">
      <c r="A13" s="1" t="s">
        <v>73</v>
      </c>
      <c r="B13" s="1">
        <v>1</v>
      </c>
      <c r="C13" s="1" t="s">
        <v>113</v>
      </c>
      <c r="D13" s="39">
        <v>30000</v>
      </c>
      <c r="G13" s="4" t="s">
        <v>50</v>
      </c>
      <c r="H13" s="41">
        <f t="shared" si="1"/>
        <v>945000</v>
      </c>
    </row>
    <row r="14" spans="1:8" x14ac:dyDescent="0.25">
      <c r="A14" s="1" t="s">
        <v>57</v>
      </c>
      <c r="B14" s="1">
        <v>1</v>
      </c>
      <c r="C14" s="1" t="s">
        <v>113</v>
      </c>
      <c r="D14" s="39">
        <v>30000</v>
      </c>
    </row>
    <row r="15" spans="1:8" x14ac:dyDescent="0.25">
      <c r="A15" s="1" t="s">
        <v>73</v>
      </c>
      <c r="B15" s="1">
        <v>1</v>
      </c>
      <c r="C15" s="1" t="s">
        <v>113</v>
      </c>
      <c r="D15" s="39">
        <v>30000</v>
      </c>
    </row>
    <row r="16" spans="1:8" x14ac:dyDescent="0.25">
      <c r="A16" s="1" t="s">
        <v>54</v>
      </c>
      <c r="B16" s="1">
        <v>4</v>
      </c>
      <c r="C16" s="1" t="s">
        <v>112</v>
      </c>
      <c r="D16" s="39">
        <v>200000</v>
      </c>
    </row>
    <row r="17" spans="1:4" x14ac:dyDescent="0.25">
      <c r="A17" s="1" t="s">
        <v>50</v>
      </c>
      <c r="B17" s="1">
        <v>3</v>
      </c>
      <c r="C17" s="1" t="s">
        <v>112</v>
      </c>
      <c r="D17" s="39">
        <v>150000</v>
      </c>
    </row>
    <row r="18" spans="1:4" x14ac:dyDescent="0.25">
      <c r="A18" s="1" t="s">
        <v>50</v>
      </c>
      <c r="B18" s="1">
        <v>2</v>
      </c>
      <c r="C18" s="1" t="s">
        <v>112</v>
      </c>
      <c r="D18" s="39">
        <v>100000</v>
      </c>
    </row>
    <row r="19" spans="1:4" x14ac:dyDescent="0.25">
      <c r="A19" s="1" t="s">
        <v>61</v>
      </c>
      <c r="B19" s="1">
        <v>1</v>
      </c>
      <c r="C19" s="1" t="s">
        <v>112</v>
      </c>
      <c r="D19" s="39">
        <v>500000</v>
      </c>
    </row>
    <row r="20" spans="1:4" x14ac:dyDescent="0.25">
      <c r="A20" s="1" t="s">
        <v>66</v>
      </c>
      <c r="B20" s="1">
        <v>1</v>
      </c>
      <c r="C20" s="1" t="s">
        <v>112</v>
      </c>
      <c r="D20" s="39">
        <v>500000</v>
      </c>
    </row>
    <row r="21" spans="1:4" x14ac:dyDescent="0.25">
      <c r="A21" s="1" t="s">
        <v>66</v>
      </c>
      <c r="B21" s="1">
        <v>1</v>
      </c>
      <c r="C21" s="1" t="s">
        <v>112</v>
      </c>
      <c r="D21" s="39">
        <v>500000</v>
      </c>
    </row>
    <row r="22" spans="1:4" x14ac:dyDescent="0.25">
      <c r="A22" s="1" t="s">
        <v>56</v>
      </c>
      <c r="B22" s="1">
        <v>5</v>
      </c>
      <c r="C22" s="1" t="s">
        <v>114</v>
      </c>
      <c r="D22" s="39">
        <v>300000</v>
      </c>
    </row>
    <row r="23" spans="1:4" x14ac:dyDescent="0.25">
      <c r="A23" s="1" t="s">
        <v>50</v>
      </c>
      <c r="B23" s="1">
        <v>4</v>
      </c>
      <c r="C23" s="1" t="s">
        <v>114</v>
      </c>
      <c r="D23" s="39">
        <v>240000</v>
      </c>
    </row>
    <row r="24" spans="1:4" x14ac:dyDescent="0.25">
      <c r="A24" s="1" t="s">
        <v>54</v>
      </c>
      <c r="B24" s="1">
        <v>2</v>
      </c>
      <c r="C24" s="1" t="s">
        <v>114</v>
      </c>
      <c r="D24" s="39">
        <v>12000</v>
      </c>
    </row>
    <row r="25" spans="1:4" x14ac:dyDescent="0.25">
      <c r="A25" s="1" t="s">
        <v>50</v>
      </c>
      <c r="B25" s="1">
        <v>1</v>
      </c>
      <c r="C25" s="1" t="s">
        <v>114</v>
      </c>
      <c r="D25" s="39">
        <v>60000</v>
      </c>
    </row>
    <row r="26" spans="1:4" x14ac:dyDescent="0.25">
      <c r="A26" s="1" t="s">
        <v>64</v>
      </c>
      <c r="B26" s="1">
        <v>1</v>
      </c>
      <c r="C26" s="1" t="s">
        <v>114</v>
      </c>
      <c r="D26" s="39">
        <v>60000</v>
      </c>
    </row>
    <row r="27" spans="1:4" x14ac:dyDescent="0.25">
      <c r="A27" s="1" t="s">
        <v>64</v>
      </c>
      <c r="B27" s="1">
        <v>1</v>
      </c>
      <c r="C27" s="1" t="s">
        <v>114</v>
      </c>
      <c r="D27" s="39">
        <v>60000</v>
      </c>
    </row>
    <row r="28" spans="1:4" x14ac:dyDescent="0.25">
      <c r="A28" s="1" t="s">
        <v>54</v>
      </c>
      <c r="B28" s="1">
        <v>30</v>
      </c>
      <c r="C28" s="1" t="s">
        <v>115</v>
      </c>
      <c r="D28" s="39">
        <v>30000</v>
      </c>
    </row>
    <row r="29" spans="1:4" x14ac:dyDescent="0.25">
      <c r="A29" s="1" t="s">
        <v>50</v>
      </c>
      <c r="B29" s="1">
        <v>40</v>
      </c>
      <c r="C29" s="1" t="s">
        <v>115</v>
      </c>
      <c r="D29" s="39">
        <v>40000</v>
      </c>
    </row>
    <row r="30" spans="1:4" x14ac:dyDescent="0.25">
      <c r="A30" s="1" t="s">
        <v>54</v>
      </c>
      <c r="B30" s="1">
        <v>50</v>
      </c>
      <c r="C30" s="1" t="s">
        <v>115</v>
      </c>
      <c r="D30" s="39">
        <v>50000</v>
      </c>
    </row>
    <row r="31" spans="1:4" x14ac:dyDescent="0.25">
      <c r="A31" s="1" t="s">
        <v>56</v>
      </c>
      <c r="B31" s="1">
        <v>60</v>
      </c>
      <c r="C31" s="1" t="s">
        <v>115</v>
      </c>
      <c r="D31" s="39">
        <v>60000</v>
      </c>
    </row>
    <row r="32" spans="1:4" x14ac:dyDescent="0.25">
      <c r="A32" s="1" t="s">
        <v>50</v>
      </c>
      <c r="B32" s="1">
        <v>40</v>
      </c>
      <c r="C32" s="1" t="s">
        <v>115</v>
      </c>
      <c r="D32" s="39">
        <v>40000</v>
      </c>
    </row>
    <row r="33" spans="1:4" x14ac:dyDescent="0.25">
      <c r="A33" s="1" t="s">
        <v>68</v>
      </c>
      <c r="B33" s="1">
        <v>60</v>
      </c>
      <c r="C33" s="1" t="s">
        <v>115</v>
      </c>
      <c r="D33" s="39">
        <v>60000</v>
      </c>
    </row>
    <row r="34" spans="1:4" x14ac:dyDescent="0.25">
      <c r="A34" s="1" t="s">
        <v>71</v>
      </c>
      <c r="B34" s="1">
        <v>40</v>
      </c>
      <c r="C34" s="1" t="s">
        <v>115</v>
      </c>
      <c r="D34" s="39">
        <v>40000</v>
      </c>
    </row>
    <row r="35" spans="1:4" x14ac:dyDescent="0.25">
      <c r="A35" s="1" t="s">
        <v>71</v>
      </c>
      <c r="B35" s="1">
        <v>40</v>
      </c>
      <c r="C35" s="1" t="s">
        <v>115</v>
      </c>
      <c r="D35" s="39">
        <v>40000</v>
      </c>
    </row>
    <row r="36" spans="1:4" x14ac:dyDescent="0.25">
      <c r="A36" s="1" t="s">
        <v>68</v>
      </c>
      <c r="B36" s="1">
        <v>60</v>
      </c>
      <c r="C36" s="1" t="s">
        <v>115</v>
      </c>
      <c r="D36" s="39">
        <v>60000</v>
      </c>
    </row>
    <row r="37" spans="1:4" x14ac:dyDescent="0.25">
      <c r="A37" s="72" t="s">
        <v>133</v>
      </c>
      <c r="B37" s="72"/>
      <c r="C37" s="72"/>
      <c r="D37" s="73">
        <f>SUBTOTAL(109,Tableau6[MONTANT])</f>
        <v>3867000</v>
      </c>
    </row>
  </sheetData>
  <pageMargins left="0.70866141732283472" right="0.70866141732283472" top="0.74803149606299213" bottom="0.74803149606299213" header="0.31496062992125984" footer="0.31496062992125984"/>
  <pageSetup paperSize="9" scale="67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Validation des données</vt:lpstr>
      <vt:lpstr>mise en forme conditionnelle</vt:lpstr>
      <vt:lpstr>RECHERCH V</vt:lpstr>
      <vt:lpstr>SI-OU-ET</vt:lpstr>
      <vt:lpstr>SOMME,SI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Bouziane Zineddine</cp:lastModifiedBy>
  <cp:lastPrinted>2023-03-20T13:11:51Z</cp:lastPrinted>
  <dcterms:created xsi:type="dcterms:W3CDTF">2015-06-05T18:17:20Z</dcterms:created>
  <dcterms:modified xsi:type="dcterms:W3CDTF">2024-01-19T10:28:07Z</dcterms:modified>
</cp:coreProperties>
</file>