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FORMATION EN LIGNE\etat partagée\"/>
    </mc:Choice>
  </mc:AlternateContent>
  <xr:revisionPtr revIDLastSave="0" documentId="13_ncr:1_{656E811A-74E4-474E-A03E-53E372A579AC}" xr6:coauthVersionLast="47" xr6:coauthVersionMax="47" xr10:uidLastSave="{00000000-0000-0000-0000-000000000000}"/>
  <bookViews>
    <workbookView xWindow="-120" yWindow="-120" windowWidth="20730" windowHeight="11160" activeTab="6" xr2:uid="{00000000-000D-0000-FFFF-FFFF00000000}"/>
  </bookViews>
  <sheets>
    <sheet name="-01-" sheetId="1" r:id="rId1"/>
    <sheet name="-02-" sheetId="2" r:id="rId2"/>
    <sheet name="-04-" sheetId="13" r:id="rId3"/>
    <sheet name="-03-" sheetId="12" r:id="rId4"/>
    <sheet name="-07-" sheetId="16" r:id="rId5"/>
    <sheet name="-05-" sheetId="14" r:id="rId6"/>
    <sheet name="-06-" sheetId="17" r:id="rId7"/>
  </sheets>
  <externalReferences>
    <externalReference r:id="rId8"/>
    <externalReference r:id="rId9"/>
  </externalReferences>
  <definedNames>
    <definedName name="_xlnm._FilterDatabase" localSheetId="0" hidden="1">'-01-'!$B$4:$G$15</definedName>
    <definedName name="_xlnm._FilterDatabase" localSheetId="5" hidden="1">'-05-'!$A$1:$I$154</definedName>
    <definedName name="LISTEDESDIRECTIONS">#REF!</definedName>
    <definedName name="LISTEDESGSP">#REF!</definedName>
    <definedName name="LISTEDIRECTIONS">#REF!</definedName>
    <definedName name="LISTEMF">#REF!</definedName>
    <definedName name="PRODUIT">'[1]Validation des données (2)'!$L$6:$L$10</definedName>
    <definedName name="TABLEHF">#REF!</definedName>
    <definedName name="TABLESEXE">#REF!</definedName>
    <definedName name="TABLGSP">#REF!</definedName>
    <definedName name="titre">'[2]Figer+liste deroulante'!$B$4:$H$4</definedName>
    <definedName name="TOTAL">'[2]mise en forme conditionnelle'!$E$5:$E$15</definedName>
    <definedName name="_xlnm.Print_Area" localSheetId="5">'-05-'!$A$1:$J$176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7" l="1"/>
  <c r="K15" i="17"/>
  <c r="J15" i="17"/>
  <c r="I15" i="17"/>
  <c r="M14" i="17"/>
  <c r="M13" i="17"/>
  <c r="M12" i="17"/>
  <c r="M11" i="17"/>
  <c r="M10" i="17"/>
  <c r="M9" i="17"/>
  <c r="M8" i="17"/>
  <c r="M7" i="17"/>
  <c r="M6" i="17"/>
  <c r="M5" i="17"/>
  <c r="M15" i="17" s="1"/>
  <c r="H6" i="16"/>
  <c r="I4" i="16"/>
  <c r="H12" i="16"/>
  <c r="H8" i="16"/>
  <c r="H9" i="16"/>
  <c r="H11" i="16"/>
  <c r="H13" i="16"/>
  <c r="H14" i="16"/>
  <c r="H15" i="16"/>
  <c r="H16" i="16"/>
  <c r="H17" i="16"/>
  <c r="H18" i="16"/>
  <c r="G6" i="16"/>
  <c r="F6" i="13"/>
  <c r="F7" i="13"/>
  <c r="F8" i="13"/>
  <c r="F9" i="13"/>
  <c r="F10" i="13"/>
  <c r="F11" i="13"/>
  <c r="F12" i="13"/>
  <c r="F13" i="13"/>
  <c r="F5" i="13"/>
  <c r="G6" i="1"/>
  <c r="G7" i="1"/>
  <c r="G8" i="1"/>
  <c r="G9" i="1"/>
  <c r="H9" i="1" s="1"/>
  <c r="G10" i="1"/>
  <c r="G11" i="1"/>
  <c r="G12" i="1"/>
  <c r="H12" i="1" s="1"/>
  <c r="G13" i="1"/>
  <c r="H13" i="1" s="1"/>
  <c r="G14" i="1"/>
  <c r="G5" i="1"/>
  <c r="H7" i="1"/>
  <c r="H10" i="1"/>
  <c r="H11" i="1"/>
  <c r="H14" i="1"/>
  <c r="G18" i="16"/>
  <c r="G17" i="16"/>
  <c r="G16" i="16"/>
  <c r="G15" i="16"/>
  <c r="G14" i="16"/>
  <c r="G13" i="16"/>
  <c r="G12" i="16"/>
  <c r="G11" i="16"/>
  <c r="G10" i="16"/>
  <c r="H10" i="16" s="1"/>
  <c r="G9" i="16"/>
  <c r="G8" i="16"/>
  <c r="G7" i="16"/>
  <c r="H7" i="16" s="1"/>
  <c r="H8" i="1" l="1"/>
  <c r="H6" i="1"/>
  <c r="H154" i="14"/>
  <c r="E154" i="14"/>
  <c r="H153" i="14"/>
  <c r="E153" i="14"/>
  <c r="H152" i="14"/>
  <c r="E152" i="14"/>
  <c r="H151" i="14"/>
  <c r="E151" i="14"/>
  <c r="H150" i="14"/>
  <c r="E150" i="14"/>
  <c r="H149" i="14"/>
  <c r="E149" i="14"/>
  <c r="H148" i="14"/>
  <c r="E148" i="14"/>
  <c r="H147" i="14"/>
  <c r="E147" i="14"/>
  <c r="H146" i="14"/>
  <c r="E146" i="14"/>
  <c r="H145" i="14"/>
  <c r="E145" i="14"/>
  <c r="H144" i="14"/>
  <c r="E144" i="14"/>
  <c r="H143" i="14"/>
  <c r="E143" i="14"/>
  <c r="H142" i="14"/>
  <c r="E142" i="14"/>
  <c r="H141" i="14"/>
  <c r="E141" i="14"/>
  <c r="H140" i="14"/>
  <c r="E140" i="14"/>
  <c r="H139" i="14"/>
  <c r="E139" i="14"/>
  <c r="H138" i="14"/>
  <c r="E138" i="14"/>
  <c r="H137" i="14"/>
  <c r="E137" i="14"/>
  <c r="H136" i="14"/>
  <c r="E136" i="14"/>
  <c r="H135" i="14"/>
  <c r="E135" i="14"/>
  <c r="H134" i="14"/>
  <c r="E134" i="14"/>
  <c r="H133" i="14"/>
  <c r="E133" i="14"/>
  <c r="H132" i="14"/>
  <c r="E132" i="14"/>
  <c r="H131" i="14"/>
  <c r="E131" i="14"/>
  <c r="H130" i="14"/>
  <c r="E130" i="14"/>
  <c r="H129" i="14"/>
  <c r="E129" i="14"/>
  <c r="H128" i="14"/>
  <c r="E128" i="14"/>
  <c r="H127" i="14"/>
  <c r="E127" i="14"/>
  <c r="H126" i="14"/>
  <c r="E126" i="14"/>
  <c r="H125" i="14"/>
  <c r="E125" i="14"/>
  <c r="H124" i="14"/>
  <c r="E124" i="14"/>
  <c r="H123" i="14"/>
  <c r="E123" i="14"/>
  <c r="H122" i="14"/>
  <c r="E122" i="14"/>
  <c r="H121" i="14"/>
  <c r="E121" i="14"/>
  <c r="H120" i="14"/>
  <c r="E120" i="14"/>
  <c r="H119" i="14"/>
  <c r="E119" i="14"/>
  <c r="H118" i="14"/>
  <c r="E118" i="14"/>
  <c r="H117" i="14"/>
  <c r="E117" i="14"/>
  <c r="H116" i="14"/>
  <c r="E116" i="14"/>
  <c r="H115" i="14"/>
  <c r="E115" i="14"/>
  <c r="H114" i="14"/>
  <c r="E114" i="14"/>
  <c r="H113" i="14"/>
  <c r="E113" i="14"/>
  <c r="H112" i="14"/>
  <c r="E112" i="14"/>
  <c r="H111" i="14"/>
  <c r="E111" i="14"/>
  <c r="H110" i="14"/>
  <c r="E110" i="14"/>
  <c r="H109" i="14"/>
  <c r="E109" i="14"/>
  <c r="H108" i="14"/>
  <c r="E108" i="14"/>
  <c r="H107" i="14"/>
  <c r="E107" i="14"/>
  <c r="H106" i="14"/>
  <c r="E106" i="14"/>
  <c r="H105" i="14"/>
  <c r="E105" i="14"/>
  <c r="H104" i="14"/>
  <c r="E104" i="14"/>
  <c r="H103" i="14"/>
  <c r="E103" i="14"/>
  <c r="H102" i="14"/>
  <c r="E102" i="14"/>
  <c r="H101" i="14"/>
  <c r="E101" i="14"/>
  <c r="H100" i="14"/>
  <c r="E100" i="14"/>
  <c r="H99" i="14"/>
  <c r="E99" i="14"/>
  <c r="H98" i="14"/>
  <c r="E98" i="14"/>
  <c r="H97" i="14"/>
  <c r="E97" i="14"/>
  <c r="H96" i="14"/>
  <c r="E96" i="14"/>
  <c r="H95" i="14"/>
  <c r="E95" i="14"/>
  <c r="H94" i="14"/>
  <c r="E94" i="14"/>
  <c r="H93" i="14"/>
  <c r="E93" i="14"/>
  <c r="H92" i="14"/>
  <c r="E92" i="14"/>
  <c r="H91" i="14"/>
  <c r="E91" i="14"/>
  <c r="H90" i="14"/>
  <c r="E90" i="14"/>
  <c r="H89" i="14"/>
  <c r="E89" i="14"/>
  <c r="H88" i="14"/>
  <c r="E88" i="14"/>
  <c r="H87" i="14"/>
  <c r="E87" i="14"/>
  <c r="H86" i="14"/>
  <c r="E86" i="14"/>
  <c r="H85" i="14"/>
  <c r="E85" i="14"/>
  <c r="H84" i="14"/>
  <c r="E84" i="14"/>
  <c r="H83" i="14"/>
  <c r="E83" i="14"/>
  <c r="H82" i="14"/>
  <c r="E82" i="14"/>
  <c r="H81" i="14"/>
  <c r="E81" i="14"/>
  <c r="H80" i="14"/>
  <c r="E80" i="14"/>
  <c r="H79" i="14"/>
  <c r="E79" i="14"/>
  <c r="H78" i="14"/>
  <c r="E78" i="14"/>
  <c r="H77" i="14"/>
  <c r="E77" i="14"/>
  <c r="H76" i="14"/>
  <c r="E76" i="14"/>
  <c r="H75" i="14"/>
  <c r="E75" i="14"/>
  <c r="H74" i="14"/>
  <c r="E74" i="14"/>
  <c r="H73" i="14"/>
  <c r="E73" i="14"/>
  <c r="H72" i="14"/>
  <c r="E72" i="14"/>
  <c r="H71" i="14"/>
  <c r="E71" i="14"/>
  <c r="H70" i="14"/>
  <c r="E70" i="14"/>
  <c r="H69" i="14"/>
  <c r="E69" i="14"/>
  <c r="H68" i="14"/>
  <c r="E68" i="14"/>
  <c r="H67" i="14"/>
  <c r="E67" i="14"/>
  <c r="H66" i="14"/>
  <c r="E66" i="14"/>
  <c r="H65" i="14"/>
  <c r="E65" i="14"/>
  <c r="H64" i="14"/>
  <c r="E64" i="14"/>
  <c r="H63" i="14"/>
  <c r="E63" i="14"/>
  <c r="H62" i="14"/>
  <c r="E62" i="14"/>
  <c r="H61" i="14"/>
  <c r="E61" i="14"/>
  <c r="H60" i="14"/>
  <c r="E60" i="14"/>
  <c r="H59" i="14"/>
  <c r="E59" i="14"/>
  <c r="H58" i="14"/>
  <c r="E58" i="14"/>
  <c r="H57" i="14"/>
  <c r="E57" i="14"/>
  <c r="H56" i="14"/>
  <c r="E56" i="14"/>
  <c r="H55" i="14"/>
  <c r="E55" i="14"/>
  <c r="H54" i="14"/>
  <c r="E54" i="14"/>
  <c r="H53" i="14"/>
  <c r="E53" i="14"/>
  <c r="H52" i="14"/>
  <c r="E52" i="14"/>
  <c r="H51" i="14"/>
  <c r="E51" i="14"/>
  <c r="H50" i="14"/>
  <c r="E50" i="14"/>
  <c r="H49" i="14"/>
  <c r="E49" i="14"/>
  <c r="H48" i="14"/>
  <c r="E48" i="14"/>
  <c r="H47" i="14"/>
  <c r="E47" i="14"/>
  <c r="H46" i="14"/>
  <c r="E46" i="14"/>
  <c r="H45" i="14"/>
  <c r="E45" i="14"/>
  <c r="H44" i="14"/>
  <c r="E44" i="14"/>
  <c r="H43" i="14"/>
  <c r="E43" i="14"/>
  <c r="H42" i="14"/>
  <c r="E42" i="14"/>
  <c r="H41" i="14"/>
  <c r="E41" i="14"/>
  <c r="H40" i="14"/>
  <c r="E40" i="14"/>
  <c r="H39" i="14"/>
  <c r="E39" i="14"/>
  <c r="H38" i="14"/>
  <c r="E38" i="14"/>
  <c r="H37" i="14"/>
  <c r="E37" i="14"/>
  <c r="H36" i="14"/>
  <c r="E36" i="14"/>
  <c r="H35" i="14"/>
  <c r="E35" i="14"/>
  <c r="H34" i="14"/>
  <c r="E34" i="14"/>
  <c r="H33" i="14"/>
  <c r="E33" i="14"/>
  <c r="H32" i="14"/>
  <c r="E32" i="14"/>
  <c r="H31" i="14"/>
  <c r="E31" i="14"/>
  <c r="H30" i="14"/>
  <c r="E30" i="14"/>
  <c r="H29" i="14"/>
  <c r="E29" i="14"/>
  <c r="H28" i="14"/>
  <c r="E28" i="14"/>
  <c r="H27" i="14"/>
  <c r="E27" i="14"/>
  <c r="H26" i="14"/>
  <c r="E26" i="14"/>
  <c r="H25" i="14"/>
  <c r="E25" i="14"/>
  <c r="H24" i="14"/>
  <c r="E24" i="14"/>
  <c r="H23" i="14"/>
  <c r="E23" i="14"/>
  <c r="H22" i="14"/>
  <c r="E22" i="14"/>
  <c r="H21" i="14"/>
  <c r="E21" i="14"/>
  <c r="H20" i="14"/>
  <c r="E20" i="14"/>
  <c r="H19" i="14"/>
  <c r="E19" i="14"/>
  <c r="H18" i="14"/>
  <c r="E18" i="14"/>
  <c r="H17" i="14"/>
  <c r="E17" i="14"/>
  <c r="H16" i="14"/>
  <c r="E16" i="14"/>
  <c r="H15" i="14"/>
  <c r="E15" i="14"/>
  <c r="H14" i="14"/>
  <c r="E14" i="14"/>
  <c r="H13" i="14"/>
  <c r="E13" i="14"/>
  <c r="H12" i="14"/>
  <c r="E12" i="14"/>
  <c r="H11" i="14"/>
  <c r="E11" i="14"/>
  <c r="H10" i="14"/>
  <c r="E10" i="14"/>
  <c r="H9" i="14"/>
  <c r="E9" i="14"/>
  <c r="H8" i="14"/>
  <c r="E8" i="14"/>
  <c r="H7" i="14"/>
  <c r="E7" i="14"/>
  <c r="H6" i="14"/>
  <c r="E6" i="14"/>
  <c r="H5" i="14"/>
  <c r="E5" i="14"/>
  <c r="H4" i="14"/>
  <c r="E4" i="14"/>
  <c r="H3" i="14"/>
  <c r="E3" i="14"/>
  <c r="H2" i="14"/>
  <c r="E2" i="14"/>
  <c r="E15" i="12" l="1"/>
  <c r="E14" i="12"/>
  <c r="E13" i="12"/>
  <c r="E12" i="12"/>
  <c r="E11" i="12"/>
  <c r="E10" i="12"/>
  <c r="E9" i="12"/>
  <c r="E8" i="12"/>
  <c r="E7" i="12"/>
  <c r="E6" i="12"/>
  <c r="E5" i="12"/>
  <c r="G4" i="2"/>
  <c r="G3" i="2"/>
  <c r="G5" i="2"/>
  <c r="G6" i="2"/>
  <c r="G7" i="2"/>
  <c r="G8" i="2"/>
  <c r="D15" i="1"/>
  <c r="E15" i="1"/>
  <c r="F15" i="1"/>
  <c r="C15" i="1"/>
  <c r="G15" i="1" l="1"/>
  <c r="H5" i="1" s="1"/>
</calcChain>
</file>

<file path=xl/sharedStrings.xml><?xml version="1.0" encoding="utf-8"?>
<sst xmlns="http://schemas.openxmlformats.org/spreadsheetml/2006/main" count="1218" uniqueCount="837">
  <si>
    <t>Chiffre d'affaire 2022</t>
  </si>
  <si>
    <t>Nom</t>
  </si>
  <si>
    <t>Date</t>
  </si>
  <si>
    <t>mode de règlement acceptés</t>
  </si>
  <si>
    <t>Chéque</t>
  </si>
  <si>
    <t>virement</t>
  </si>
  <si>
    <t>type de règlement</t>
  </si>
  <si>
    <t>produit</t>
  </si>
  <si>
    <t>Montant</t>
  </si>
  <si>
    <t>Produit 01</t>
  </si>
  <si>
    <t>Produit 02</t>
  </si>
  <si>
    <t>Produit 03</t>
  </si>
  <si>
    <t>Produit 04</t>
  </si>
  <si>
    <t>Produit 05</t>
  </si>
  <si>
    <t>Produit 06</t>
  </si>
  <si>
    <t>Produit 07</t>
  </si>
  <si>
    <t>Produit 08</t>
  </si>
  <si>
    <t>Produit 09</t>
  </si>
  <si>
    <t>Produit 10</t>
  </si>
  <si>
    <t>TOTAL</t>
  </si>
  <si>
    <t>CHIFFRE D'AFFAIRE</t>
  </si>
  <si>
    <t>Région</t>
  </si>
  <si>
    <t>CLIENT</t>
  </si>
  <si>
    <t>OUEST</t>
  </si>
  <si>
    <t>ABDESAMIEA</t>
  </si>
  <si>
    <t>EST</t>
  </si>
  <si>
    <t>AHLEM</t>
  </si>
  <si>
    <t>ASMA</t>
  </si>
  <si>
    <t>NORD</t>
  </si>
  <si>
    <t>HAFID</t>
  </si>
  <si>
    <t>SUD</t>
  </si>
  <si>
    <t>IKRAM</t>
  </si>
  <si>
    <t>LAMINE</t>
  </si>
  <si>
    <t>LILIA</t>
  </si>
  <si>
    <t>MANEL</t>
  </si>
  <si>
    <t>MOHAMED</t>
  </si>
  <si>
    <t>NOUR</t>
  </si>
  <si>
    <t>RYMA</t>
  </si>
  <si>
    <t>Q</t>
  </si>
  <si>
    <t>2021</t>
  </si>
  <si>
    <t>2022</t>
  </si>
  <si>
    <t>NOM</t>
  </si>
  <si>
    <t>CDD</t>
  </si>
  <si>
    <t>CDI</t>
  </si>
  <si>
    <t>Aymen 01</t>
  </si>
  <si>
    <t>Aymen 02</t>
  </si>
  <si>
    <t>Aymen 03</t>
  </si>
  <si>
    <t>Aymen 04</t>
  </si>
  <si>
    <t>Aymen 05</t>
  </si>
  <si>
    <t>Aymen 06</t>
  </si>
  <si>
    <t>Aymen 07</t>
  </si>
  <si>
    <t>Aymen 08</t>
  </si>
  <si>
    <t>Aymen 09</t>
  </si>
  <si>
    <t>Aymen 10</t>
  </si>
  <si>
    <t>Aymen 11</t>
  </si>
  <si>
    <t>Aymen 12</t>
  </si>
  <si>
    <t>Aymen 13</t>
  </si>
  <si>
    <t>PRODUIT</t>
  </si>
  <si>
    <t>BUREAU</t>
  </si>
  <si>
    <t>Imprimante</t>
  </si>
  <si>
    <t>photocopieuse</t>
  </si>
  <si>
    <t>pu</t>
  </si>
  <si>
    <t>T1</t>
  </si>
  <si>
    <t>T2</t>
  </si>
  <si>
    <t>T3</t>
  </si>
  <si>
    <t>T4</t>
  </si>
  <si>
    <t>FN°</t>
  </si>
  <si>
    <t>ETAT DE PAIEMENT</t>
  </si>
  <si>
    <t>Payée</t>
  </si>
  <si>
    <t>impayée</t>
  </si>
  <si>
    <t>FN°12345</t>
  </si>
  <si>
    <t>FN°12465</t>
  </si>
  <si>
    <t>FN°12565</t>
  </si>
  <si>
    <t>(2022-2021)/2021</t>
  </si>
  <si>
    <t>LIBELLE</t>
  </si>
  <si>
    <t>évolution</t>
  </si>
  <si>
    <t>Ventes et produits annexes</t>
  </si>
  <si>
    <t>Achats consommés</t>
  </si>
  <si>
    <t>Services extérieurs et autres services</t>
  </si>
  <si>
    <t>Charges de personnel</t>
  </si>
  <si>
    <t>Impôts, taxes et versements assimilés</t>
  </si>
  <si>
    <t>Autres produits opérationnels</t>
  </si>
  <si>
    <t>Autres charges opérationnelles</t>
  </si>
  <si>
    <t>Dotations aux amortissements, provisions et pertes de valeurs</t>
  </si>
  <si>
    <t>Charges financières</t>
  </si>
  <si>
    <t xml:space="preserve">Matricule </t>
  </si>
  <si>
    <t>Prénom</t>
  </si>
  <si>
    <t>Naissance</t>
  </si>
  <si>
    <t>age</t>
  </si>
  <si>
    <t>SEXE</t>
  </si>
  <si>
    <t>date recrutement</t>
  </si>
  <si>
    <t>Expérience</t>
  </si>
  <si>
    <t>contrat</t>
  </si>
  <si>
    <t>Salaire</t>
  </si>
  <si>
    <t>0001</t>
  </si>
  <si>
    <t>Sidali 01</t>
  </si>
  <si>
    <t>04/10/2005</t>
  </si>
  <si>
    <t xml:space="preserve">Masculin </t>
  </si>
  <si>
    <t>25/02/2024</t>
  </si>
  <si>
    <t>0002</t>
  </si>
  <si>
    <t>Sidali 02</t>
  </si>
  <si>
    <t>26/01/1997</t>
  </si>
  <si>
    <t>22/10/2023</t>
  </si>
  <si>
    <t>0003</t>
  </si>
  <si>
    <t>Sidali 03</t>
  </si>
  <si>
    <t>09/05/1963</t>
  </si>
  <si>
    <t>03/08/2023</t>
  </si>
  <si>
    <t>0004</t>
  </si>
  <si>
    <t>Sidali 04</t>
  </si>
  <si>
    <t>06/02/1984</t>
  </si>
  <si>
    <t>06/04/2016</t>
  </si>
  <si>
    <t>0005</t>
  </si>
  <si>
    <t>Sidali 05</t>
  </si>
  <si>
    <t>26/03/1968</t>
  </si>
  <si>
    <t>14/08/2023</t>
  </si>
  <si>
    <t>0006</t>
  </si>
  <si>
    <t>Sidali 06</t>
  </si>
  <si>
    <t>21/04/1975</t>
  </si>
  <si>
    <t xml:space="preserve">Féminin </t>
  </si>
  <si>
    <t>03/09/1997</t>
  </si>
  <si>
    <t>0007</t>
  </si>
  <si>
    <t>Sidali 07</t>
  </si>
  <si>
    <t>19/06/1984</t>
  </si>
  <si>
    <t>21/02/2022</t>
  </si>
  <si>
    <t>0008</t>
  </si>
  <si>
    <t>Sidali 08</t>
  </si>
  <si>
    <t>07/02/2024</t>
  </si>
  <si>
    <t>0009</t>
  </si>
  <si>
    <t>Sidali 09</t>
  </si>
  <si>
    <t>02/08/1990</t>
  </si>
  <si>
    <t>09/08/2021</t>
  </si>
  <si>
    <t>0010</t>
  </si>
  <si>
    <t>Sidali 10</t>
  </si>
  <si>
    <t>18/08/1995</t>
  </si>
  <si>
    <t>06/11/2022</t>
  </si>
  <si>
    <t>0011</t>
  </si>
  <si>
    <t>Sidali 11</t>
  </si>
  <si>
    <t>30/10/1971</t>
  </si>
  <si>
    <t>11/12/1993</t>
  </si>
  <si>
    <t>0012</t>
  </si>
  <si>
    <t>Sidali 12</t>
  </si>
  <si>
    <t>08/12/1984</t>
  </si>
  <si>
    <t>25/03/2024</t>
  </si>
  <si>
    <t>0013</t>
  </si>
  <si>
    <t>Sidali 13</t>
  </si>
  <si>
    <t>04/08/1969</t>
  </si>
  <si>
    <t>27/08/2023</t>
  </si>
  <si>
    <t>0014</t>
  </si>
  <si>
    <t>Aymen 14</t>
  </si>
  <si>
    <t>Sidali 14</t>
  </si>
  <si>
    <t>05/08/1986</t>
  </si>
  <si>
    <t>02/11/2022</t>
  </si>
  <si>
    <t>0015</t>
  </si>
  <si>
    <t>Aymen 15</t>
  </si>
  <si>
    <t>Sidali 15</t>
  </si>
  <si>
    <t>10/11/1988</t>
  </si>
  <si>
    <t>25/05/2021</t>
  </si>
  <si>
    <t>0016</t>
  </si>
  <si>
    <t>Aymen 16</t>
  </si>
  <si>
    <t>Sidali 16</t>
  </si>
  <si>
    <t>08/10/1982</t>
  </si>
  <si>
    <t>19/02/2017</t>
  </si>
  <si>
    <t>0017</t>
  </si>
  <si>
    <t>Aymen 17</t>
  </si>
  <si>
    <t>Sidali 17</t>
  </si>
  <si>
    <t>23/06/1979</t>
  </si>
  <si>
    <t>11/04/2021</t>
  </si>
  <si>
    <t>0018</t>
  </si>
  <si>
    <t>Aymen 18</t>
  </si>
  <si>
    <t>Sidali 18</t>
  </si>
  <si>
    <t>24/11/1960</t>
  </si>
  <si>
    <t>27/07/2003</t>
  </si>
  <si>
    <t>0019</t>
  </si>
  <si>
    <t>Aymen 19</t>
  </si>
  <si>
    <t>Sidali 19</t>
  </si>
  <si>
    <t>20/03/1966</t>
  </si>
  <si>
    <t>21/10/2007</t>
  </si>
  <si>
    <t>0020</t>
  </si>
  <si>
    <t>Aymen 20</t>
  </si>
  <si>
    <t>Sidali 20</t>
  </si>
  <si>
    <t>06/07/1982</t>
  </si>
  <si>
    <t>06/03/2005</t>
  </si>
  <si>
    <t>0021</t>
  </si>
  <si>
    <t>Aymen 21</t>
  </si>
  <si>
    <t>Sidali 21</t>
  </si>
  <si>
    <t>23/06/2004</t>
  </si>
  <si>
    <t>28/03/2024</t>
  </si>
  <si>
    <t>0022</t>
  </si>
  <si>
    <t>Aymen 22</t>
  </si>
  <si>
    <t>Sidali 22</t>
  </si>
  <si>
    <t>15/07/1991</t>
  </si>
  <si>
    <t>09/05/2024</t>
  </si>
  <si>
    <t>0023</t>
  </si>
  <si>
    <t>Aymen 23</t>
  </si>
  <si>
    <t>Sidali 23</t>
  </si>
  <si>
    <t>01/04/1967</t>
  </si>
  <si>
    <t>06/04/2021</t>
  </si>
  <si>
    <t>0024</t>
  </si>
  <si>
    <t>Aymen 24</t>
  </si>
  <si>
    <t>Sidali 24</t>
  </si>
  <si>
    <t>24/02/2006</t>
  </si>
  <si>
    <t>31/03/2024</t>
  </si>
  <si>
    <t>0025</t>
  </si>
  <si>
    <t>Aymen 25</t>
  </si>
  <si>
    <t>Sidali 25</t>
  </si>
  <si>
    <t>18/03/1981</t>
  </si>
  <si>
    <t>12/04/2021</t>
  </si>
  <si>
    <t>0026</t>
  </si>
  <si>
    <t>Aymen 26</t>
  </si>
  <si>
    <t>Sidali 26</t>
  </si>
  <si>
    <t>29/01/1974</t>
  </si>
  <si>
    <t>07/04/2008</t>
  </si>
  <si>
    <t>0027</t>
  </si>
  <si>
    <t>Aymen 27</t>
  </si>
  <si>
    <t>Sidali 27</t>
  </si>
  <si>
    <t>03/08/1997</t>
  </si>
  <si>
    <t>20/11/2022</t>
  </si>
  <si>
    <t>0028</t>
  </si>
  <si>
    <t>Aymen 28</t>
  </si>
  <si>
    <t>Sidali 28</t>
  </si>
  <si>
    <t>07/05/1984</t>
  </si>
  <si>
    <t>14/02/2021</t>
  </si>
  <si>
    <t>0029</t>
  </si>
  <si>
    <t>Aymen 29</t>
  </si>
  <si>
    <t>Sidali 29</t>
  </si>
  <si>
    <t>11/11/1999</t>
  </si>
  <si>
    <t>23/08/2023</t>
  </si>
  <si>
    <t>0030</t>
  </si>
  <si>
    <t>Aymen 30</t>
  </si>
  <si>
    <t>Sidali 30</t>
  </si>
  <si>
    <t>30/09/1985</t>
  </si>
  <si>
    <t>04/04/2018</t>
  </si>
  <si>
    <t>0031</t>
  </si>
  <si>
    <t>Aymen 31</t>
  </si>
  <si>
    <t>Sidali 31</t>
  </si>
  <si>
    <t>12/08/1984</t>
  </si>
  <si>
    <t>04/07/2021</t>
  </si>
  <si>
    <t>0032</t>
  </si>
  <si>
    <t>Aymen 32</t>
  </si>
  <si>
    <t>Sidali 32</t>
  </si>
  <si>
    <t>21/03/1972</t>
  </si>
  <si>
    <t>29/07/2003</t>
  </si>
  <si>
    <t>0033</t>
  </si>
  <si>
    <t>Aymen 33</t>
  </si>
  <si>
    <t>Sidali 33</t>
  </si>
  <si>
    <t>25/01/2024</t>
  </si>
  <si>
    <t>0034</t>
  </si>
  <si>
    <t>Aymen 34</t>
  </si>
  <si>
    <t>Sidali 34</t>
  </si>
  <si>
    <t>27/02/1984</t>
  </si>
  <si>
    <t>28/09/2010</t>
  </si>
  <si>
    <t>0035</t>
  </si>
  <si>
    <t>Aymen 35</t>
  </si>
  <si>
    <t>Sidali 35</t>
  </si>
  <si>
    <t>27/06/1974</t>
  </si>
  <si>
    <t>20/11/1996</t>
  </si>
  <si>
    <t>0036</t>
  </si>
  <si>
    <t>Aymen 36</t>
  </si>
  <si>
    <t>Sidali 36</t>
  </si>
  <si>
    <t>25/02/1973</t>
  </si>
  <si>
    <t>02/10/1994</t>
  </si>
  <si>
    <t>0037</t>
  </si>
  <si>
    <t>Aymen 37</t>
  </si>
  <si>
    <t>Sidali 37</t>
  </si>
  <si>
    <t>19/11/1968</t>
  </si>
  <si>
    <t>11/03/2024</t>
  </si>
  <si>
    <t>0038</t>
  </si>
  <si>
    <t>Aymen 38</t>
  </si>
  <si>
    <t>Sidali 38</t>
  </si>
  <si>
    <t>13/02/1973</t>
  </si>
  <si>
    <t>05/10/2016</t>
  </si>
  <si>
    <t>0039</t>
  </si>
  <si>
    <t>Aymen 39</t>
  </si>
  <si>
    <t>Sidali 39</t>
  </si>
  <si>
    <t>16/01/1982</t>
  </si>
  <si>
    <t>08/09/2022</t>
  </si>
  <si>
    <t>0040</t>
  </si>
  <si>
    <t>Aymen 40</t>
  </si>
  <si>
    <t>Sidali 40</t>
  </si>
  <si>
    <t>13/08/1975</t>
  </si>
  <si>
    <t>10/03/2023</t>
  </si>
  <si>
    <t>0041</t>
  </si>
  <si>
    <t>Aymen 41</t>
  </si>
  <si>
    <t>Sidali 41</t>
  </si>
  <si>
    <t>03/03/2005</t>
  </si>
  <si>
    <t>29/02/2024</t>
  </si>
  <si>
    <t>0042</t>
  </si>
  <si>
    <t>Aymen 42</t>
  </si>
  <si>
    <t>Sidali 42</t>
  </si>
  <si>
    <t>17/11/1988</t>
  </si>
  <si>
    <t>06/02/2024</t>
  </si>
  <si>
    <t>0043</t>
  </si>
  <si>
    <t>Aymen 43</t>
  </si>
  <si>
    <t>Sidali 43</t>
  </si>
  <si>
    <t>07/08/1972</t>
  </si>
  <si>
    <t>12/02/2008</t>
  </si>
  <si>
    <t>0044</t>
  </si>
  <si>
    <t>Aymen 44</t>
  </si>
  <si>
    <t>Sidali 44</t>
  </si>
  <si>
    <t>23/10/1986</t>
  </si>
  <si>
    <t>01/04/2021</t>
  </si>
  <si>
    <t>0045</t>
  </si>
  <si>
    <t>Aymen 45</t>
  </si>
  <si>
    <t>Sidali 45</t>
  </si>
  <si>
    <t>04/05/1995</t>
  </si>
  <si>
    <t>02/08/2023</t>
  </si>
  <si>
    <t>0046</t>
  </si>
  <si>
    <t>Aymen 46</t>
  </si>
  <si>
    <t>Sidali 46</t>
  </si>
  <si>
    <t>31/08/1959</t>
  </si>
  <si>
    <t>01/02/2005</t>
  </si>
  <si>
    <t>0047</t>
  </si>
  <si>
    <t>Aymen 47</t>
  </si>
  <si>
    <t>Sidali 47</t>
  </si>
  <si>
    <t>10/04/1989</t>
  </si>
  <si>
    <t>05/06/2023</t>
  </si>
  <si>
    <t>0048</t>
  </si>
  <si>
    <t>Aymen 48</t>
  </si>
  <si>
    <t>Sidali 48</t>
  </si>
  <si>
    <t>27/07/1995</t>
  </si>
  <si>
    <t>06/05/2024</t>
  </si>
  <si>
    <t>0049</t>
  </si>
  <si>
    <t>Aymen 49</t>
  </si>
  <si>
    <t>Sidali 49</t>
  </si>
  <si>
    <t>08/06/1994</t>
  </si>
  <si>
    <t>0050</t>
  </si>
  <si>
    <t>Aymen 50</t>
  </si>
  <si>
    <t>Sidali 50</t>
  </si>
  <si>
    <t>24/12/1986</t>
  </si>
  <si>
    <t>24/03/2024</t>
  </si>
  <si>
    <t>0051</t>
  </si>
  <si>
    <t>Aymen 51</t>
  </si>
  <si>
    <t>Sidali 51</t>
  </si>
  <si>
    <t>11/09/1977</t>
  </si>
  <si>
    <t>09/12/2015</t>
  </si>
  <si>
    <t>0052</t>
  </si>
  <si>
    <t>Aymen 52</t>
  </si>
  <si>
    <t>Sidali 52</t>
  </si>
  <si>
    <t>21/09/1990</t>
  </si>
  <si>
    <t>09/12/2021</t>
  </si>
  <si>
    <t>0053</t>
  </si>
  <si>
    <t>Aymen 53</t>
  </si>
  <si>
    <t>Sidali 53</t>
  </si>
  <si>
    <t>23/12/1995</t>
  </si>
  <si>
    <t>20/02/2024</t>
  </si>
  <si>
    <t>0054</t>
  </si>
  <si>
    <t>Aymen 54</t>
  </si>
  <si>
    <t>Sidali 54</t>
  </si>
  <si>
    <t>29/05/1974</t>
  </si>
  <si>
    <t>0055</t>
  </si>
  <si>
    <t>Aymen 55</t>
  </si>
  <si>
    <t>Sidali 55</t>
  </si>
  <si>
    <t>06/02/1976</t>
  </si>
  <si>
    <t>07/04/2021</t>
  </si>
  <si>
    <t>0056</t>
  </si>
  <si>
    <t>Aymen 56</t>
  </si>
  <si>
    <t>Sidali 56</t>
  </si>
  <si>
    <t>09/01/1974</t>
  </si>
  <si>
    <t>26/07/1997</t>
  </si>
  <si>
    <t>0057</t>
  </si>
  <si>
    <t>Aymen 57</t>
  </si>
  <si>
    <t>Sidali 57</t>
  </si>
  <si>
    <t>21/07/1988</t>
  </si>
  <si>
    <t>04/12/2023</t>
  </si>
  <si>
    <t>0058</t>
  </si>
  <si>
    <t>Aymen 58</t>
  </si>
  <si>
    <t>Sidali 58</t>
  </si>
  <si>
    <t>12/01/1998</t>
  </si>
  <si>
    <t>12/02/2024</t>
  </si>
  <si>
    <t>0059</t>
  </si>
  <si>
    <t>Aymen 59</t>
  </si>
  <si>
    <t>Sidali 59</t>
  </si>
  <si>
    <t>09/07/1997</t>
  </si>
  <si>
    <t>09/05/2021</t>
  </si>
  <si>
    <t>0060</t>
  </si>
  <si>
    <t>Aymen 60</t>
  </si>
  <si>
    <t>Sidali 60</t>
  </si>
  <si>
    <t>30/08/1997</t>
  </si>
  <si>
    <t>04/02/2019</t>
  </si>
  <si>
    <t>0061</t>
  </si>
  <si>
    <t>Aymen 61</t>
  </si>
  <si>
    <t>Sidali 61</t>
  </si>
  <si>
    <t>17/03/1982</t>
  </si>
  <si>
    <t>31/03/2010</t>
  </si>
  <si>
    <t>0062</t>
  </si>
  <si>
    <t>Aymen 62</t>
  </si>
  <si>
    <t>Sidali 62</t>
  </si>
  <si>
    <t>02/04/1994</t>
  </si>
  <si>
    <t>26/11/2023</t>
  </si>
  <si>
    <t>0063</t>
  </si>
  <si>
    <t>Aymen 63</t>
  </si>
  <si>
    <t>Sidali 63</t>
  </si>
  <si>
    <t>28/02/1972</t>
  </si>
  <si>
    <t>17/11/1996</t>
  </si>
  <si>
    <t>0064</t>
  </si>
  <si>
    <t>Aymen 64</t>
  </si>
  <si>
    <t>Sidali 64</t>
  </si>
  <si>
    <t>16/08/1984</t>
  </si>
  <si>
    <t>07/03/2010</t>
  </si>
  <si>
    <t>0065</t>
  </si>
  <si>
    <t>Aymen 65</t>
  </si>
  <si>
    <t>Sidali 65</t>
  </si>
  <si>
    <t>07/11/1971</t>
  </si>
  <si>
    <t>12/11/2018</t>
  </si>
  <si>
    <t>0066</t>
  </si>
  <si>
    <t>Aymen 66</t>
  </si>
  <si>
    <t>Sidali 66</t>
  </si>
  <si>
    <t>08/05/1982</t>
  </si>
  <si>
    <t>0067</t>
  </si>
  <si>
    <t>Aymen 67</t>
  </si>
  <si>
    <t>Sidali 67</t>
  </si>
  <si>
    <t>03/06/1991</t>
  </si>
  <si>
    <t>08/04/2024</t>
  </si>
  <si>
    <t>0068</t>
  </si>
  <si>
    <t>Aymen 68</t>
  </si>
  <si>
    <t>Sidali 68</t>
  </si>
  <si>
    <t>29/09/2002</t>
  </si>
  <si>
    <t>28/01/2024</t>
  </si>
  <si>
    <t>0069</t>
  </si>
  <si>
    <t>Aymen 69</t>
  </si>
  <si>
    <t>Sidali 69</t>
  </si>
  <si>
    <t>14/07/1976</t>
  </si>
  <si>
    <t>0070</t>
  </si>
  <si>
    <t>Aymen 70</t>
  </si>
  <si>
    <t>Sidali 70</t>
  </si>
  <si>
    <t>10/05/1991</t>
  </si>
  <si>
    <t>16/12/2021</t>
  </si>
  <si>
    <t>0071</t>
  </si>
  <si>
    <t>Aymen 71</t>
  </si>
  <si>
    <t>Sidali 71</t>
  </si>
  <si>
    <t>16/05/1984</t>
  </si>
  <si>
    <t>0072</t>
  </si>
  <si>
    <t>Aymen 72</t>
  </si>
  <si>
    <t>Sidali 72</t>
  </si>
  <si>
    <t>28/02/2024</t>
  </si>
  <si>
    <t>0073</t>
  </si>
  <si>
    <t>Aymen 73</t>
  </si>
  <si>
    <t>Sidali 73</t>
  </si>
  <si>
    <t>13/03/1968</t>
  </si>
  <si>
    <t>23/07/2023</t>
  </si>
  <si>
    <t>0074</t>
  </si>
  <si>
    <t>Aymen 74</t>
  </si>
  <si>
    <t>Sidali 74</t>
  </si>
  <si>
    <t>27/03/1969</t>
  </si>
  <si>
    <t>20/06/2005</t>
  </si>
  <si>
    <t>0075</t>
  </si>
  <si>
    <t>Aymen 75</t>
  </si>
  <si>
    <t>Sidali 75</t>
  </si>
  <si>
    <t>01/04/2001</t>
  </si>
  <si>
    <t>0076</t>
  </si>
  <si>
    <t>Aymen 76</t>
  </si>
  <si>
    <t>Sidali 76</t>
  </si>
  <si>
    <t>06/12/1985</t>
  </si>
  <si>
    <t>0077</t>
  </si>
  <si>
    <t>Aymen 77</t>
  </si>
  <si>
    <t>Sidali 77</t>
  </si>
  <si>
    <t>07/07/1999</t>
  </si>
  <si>
    <t>21/02/2024</t>
  </si>
  <si>
    <t>0078</t>
  </si>
  <si>
    <t>Aymen 78</t>
  </si>
  <si>
    <t>Sidali 78</t>
  </si>
  <si>
    <t>13/03/1977</t>
  </si>
  <si>
    <t>15/02/2018</t>
  </si>
  <si>
    <t>0079</t>
  </si>
  <si>
    <t>Aymen 79</t>
  </si>
  <si>
    <t>Sidali 79</t>
  </si>
  <si>
    <t>10/07/1979</t>
  </si>
  <si>
    <t>19/03/2019</t>
  </si>
  <si>
    <t>0080</t>
  </si>
  <si>
    <t>Aymen 80</t>
  </si>
  <si>
    <t>Sidali 80</t>
  </si>
  <si>
    <t>27/04/1990</t>
  </si>
  <si>
    <t>0081</t>
  </si>
  <si>
    <t>Aymen 81</t>
  </si>
  <si>
    <t>Sidali 81</t>
  </si>
  <si>
    <t>12/07/1969</t>
  </si>
  <si>
    <t>17/11/1990</t>
  </si>
  <si>
    <t>0082</t>
  </si>
  <si>
    <t>Aymen 82</t>
  </si>
  <si>
    <t>Sidali 82</t>
  </si>
  <si>
    <t>05/12/1983</t>
  </si>
  <si>
    <t>04/02/2002</t>
  </si>
  <si>
    <t>0083</t>
  </si>
  <si>
    <t>Aymen 83</t>
  </si>
  <si>
    <t>Sidali 83</t>
  </si>
  <si>
    <t>16/10/2002</t>
  </si>
  <si>
    <t>07/03/2024</t>
  </si>
  <si>
    <t>0084</t>
  </si>
  <si>
    <t>Aymen 84</t>
  </si>
  <si>
    <t>Sidali 84</t>
  </si>
  <si>
    <t>29/04/1979</t>
  </si>
  <si>
    <t>01/10/2018</t>
  </si>
  <si>
    <t>0085</t>
  </si>
  <si>
    <t>Aymen 85</t>
  </si>
  <si>
    <t>Sidali 85</t>
  </si>
  <si>
    <t>19/11/1997</t>
  </si>
  <si>
    <t>08/05/2024</t>
  </si>
  <si>
    <t>0086</t>
  </si>
  <si>
    <t>Aymen 86</t>
  </si>
  <si>
    <t>Sidali 86</t>
  </si>
  <si>
    <t>06/03/2006</t>
  </si>
  <si>
    <t>0087</t>
  </si>
  <si>
    <t>Aymen 87</t>
  </si>
  <si>
    <t>Sidali 87</t>
  </si>
  <si>
    <t>24/01/1978</t>
  </si>
  <si>
    <t>18/10/2011</t>
  </si>
  <si>
    <t>0088</t>
  </si>
  <si>
    <t>Aymen 88</t>
  </si>
  <si>
    <t>Sidali 88</t>
  </si>
  <si>
    <t>21/09/1986</t>
  </si>
  <si>
    <t>25/07/2016</t>
  </si>
  <si>
    <t>0089</t>
  </si>
  <si>
    <t>Aymen 89</t>
  </si>
  <si>
    <t>Sidali 89</t>
  </si>
  <si>
    <t>08/04/1999</t>
  </si>
  <si>
    <t>19/02/2024</t>
  </si>
  <si>
    <t>0090</t>
  </si>
  <si>
    <t>Aymen 90</t>
  </si>
  <si>
    <t>Sidali 90</t>
  </si>
  <si>
    <t>29/08/1964</t>
  </si>
  <si>
    <t>24/05/2018</t>
  </si>
  <si>
    <t>0091</t>
  </si>
  <si>
    <t>Aymen 91</t>
  </si>
  <si>
    <t>Sidali 91</t>
  </si>
  <si>
    <t>12/09/1982</t>
  </si>
  <si>
    <t>0092</t>
  </si>
  <si>
    <t>Aymen 92</t>
  </si>
  <si>
    <t>Sidali 92</t>
  </si>
  <si>
    <t>14/12/1993</t>
  </si>
  <si>
    <t>10/09/2023</t>
  </si>
  <si>
    <t>0093</t>
  </si>
  <si>
    <t>Aymen 93</t>
  </si>
  <si>
    <t>Sidali 93</t>
  </si>
  <si>
    <t>20/01/1987</t>
  </si>
  <si>
    <t>03/04/2016</t>
  </si>
  <si>
    <t>0094</t>
  </si>
  <si>
    <t>Aymen 94</t>
  </si>
  <si>
    <t>Sidali 94</t>
  </si>
  <si>
    <t>15/01/1991</t>
  </si>
  <si>
    <t>22/06/2023</t>
  </si>
  <si>
    <t>0095</t>
  </si>
  <si>
    <t>Aymen 95</t>
  </si>
  <si>
    <t>Sidali 95</t>
  </si>
  <si>
    <t>11/09/2004</t>
  </si>
  <si>
    <t>0096</t>
  </si>
  <si>
    <t>Aymen 96</t>
  </si>
  <si>
    <t>Sidali 96</t>
  </si>
  <si>
    <t>21/06/1979</t>
  </si>
  <si>
    <t>14/04/2024</t>
  </si>
  <si>
    <t>0097</t>
  </si>
  <si>
    <t>Aymen 97</t>
  </si>
  <si>
    <t>Sidali 97</t>
  </si>
  <si>
    <t>26/08/1982</t>
  </si>
  <si>
    <t>04/02/2003</t>
  </si>
  <si>
    <t>0098</t>
  </si>
  <si>
    <t>Aymen 98</t>
  </si>
  <si>
    <t>Sidali 98</t>
  </si>
  <si>
    <t>07/03/1973</t>
  </si>
  <si>
    <t>05/12/2018</t>
  </si>
  <si>
    <t>0099</t>
  </si>
  <si>
    <t>Aymen 99</t>
  </si>
  <si>
    <t>Sidali 99</t>
  </si>
  <si>
    <t>28/12/1965</t>
  </si>
  <si>
    <t>01/03/2000</t>
  </si>
  <si>
    <t>0100</t>
  </si>
  <si>
    <t>Aymen 100</t>
  </si>
  <si>
    <t>Sidali 100</t>
  </si>
  <si>
    <t>0101</t>
  </si>
  <si>
    <t>Aymen 101</t>
  </si>
  <si>
    <t>Sidali 101</t>
  </si>
  <si>
    <t>08/06/1991</t>
  </si>
  <si>
    <t>0102</t>
  </si>
  <si>
    <t>Aymen 102</t>
  </si>
  <si>
    <t>Sidali 102</t>
  </si>
  <si>
    <t>01/03/1970</t>
  </si>
  <si>
    <t>22/07/2020</t>
  </si>
  <si>
    <t>0103</t>
  </si>
  <si>
    <t>Aymen 103</t>
  </si>
  <si>
    <t>Sidali 103</t>
  </si>
  <si>
    <t>07/03/1990</t>
  </si>
  <si>
    <t>18/12/2023</t>
  </si>
  <si>
    <t>0104</t>
  </si>
  <si>
    <t>Aymen 104</t>
  </si>
  <si>
    <t>Sidali 104</t>
  </si>
  <si>
    <t>28/04/1976</t>
  </si>
  <si>
    <t>15/02/2021</t>
  </si>
  <si>
    <t>0105</t>
  </si>
  <si>
    <t>Aymen 105</t>
  </si>
  <si>
    <t>Sidali 105</t>
  </si>
  <si>
    <t>25/08/1985</t>
  </si>
  <si>
    <t>15/03/2010</t>
  </si>
  <si>
    <t>0106</t>
  </si>
  <si>
    <t>Aymen 106</t>
  </si>
  <si>
    <t>Sidali 106</t>
  </si>
  <si>
    <t>19/08/1992</t>
  </si>
  <si>
    <t>09/08/2023</t>
  </si>
  <si>
    <t>0107</t>
  </si>
  <si>
    <t>Aymen 107</t>
  </si>
  <si>
    <t>Sidali 107</t>
  </si>
  <si>
    <t>03/12/1996</t>
  </si>
  <si>
    <t>26/10/2022</t>
  </si>
  <si>
    <t>0108</t>
  </si>
  <si>
    <t>Aymen 108</t>
  </si>
  <si>
    <t>Sidali 108</t>
  </si>
  <si>
    <t>01/02/1991</t>
  </si>
  <si>
    <t>25/07/2017</t>
  </si>
  <si>
    <t>0109</t>
  </si>
  <si>
    <t>Aymen 109</t>
  </si>
  <si>
    <t>Sidali 109</t>
  </si>
  <si>
    <t>24/04/1984</t>
  </si>
  <si>
    <t>29/01/2012</t>
  </si>
  <si>
    <t>0110</t>
  </si>
  <si>
    <t>Aymen 110</t>
  </si>
  <si>
    <t>Sidali 110</t>
  </si>
  <si>
    <t>20/09/1977</t>
  </si>
  <si>
    <t>26/02/2020</t>
  </si>
  <si>
    <t>0111</t>
  </si>
  <si>
    <t>Aymen 111</t>
  </si>
  <si>
    <t>Sidali 111</t>
  </si>
  <si>
    <t>08/10/1986</t>
  </si>
  <si>
    <t>13/11/2022</t>
  </si>
  <si>
    <t>0112</t>
  </si>
  <si>
    <t>Aymen 112</t>
  </si>
  <si>
    <t>Sidali 112</t>
  </si>
  <si>
    <t>22/08/1996</t>
  </si>
  <si>
    <t>0113</t>
  </si>
  <si>
    <t>Aymen 113</t>
  </si>
  <si>
    <t>Sidali 113</t>
  </si>
  <si>
    <t>02/05/2002</t>
  </si>
  <si>
    <t>29/08/2023</t>
  </si>
  <si>
    <t>0114</t>
  </si>
  <si>
    <t>Aymen 114</t>
  </si>
  <si>
    <t>Sidali 114</t>
  </si>
  <si>
    <t>30/01/2024</t>
  </si>
  <si>
    <t>0115</t>
  </si>
  <si>
    <t>Aymen 115</t>
  </si>
  <si>
    <t>Sidali 115</t>
  </si>
  <si>
    <t>14/04/1967</t>
  </si>
  <si>
    <t>13/11/1995</t>
  </si>
  <si>
    <t>0116</t>
  </si>
  <si>
    <t>Aymen 116</t>
  </si>
  <si>
    <t>Sidali 116</t>
  </si>
  <si>
    <t>27/05/1998</t>
  </si>
  <si>
    <t>10/10/2021</t>
  </si>
  <si>
    <t>0117</t>
  </si>
  <si>
    <t>Aymen 117</t>
  </si>
  <si>
    <t>Sidali 117</t>
  </si>
  <si>
    <t>06/03/1986</t>
  </si>
  <si>
    <t>13/11/2023</t>
  </si>
  <si>
    <t>0118</t>
  </si>
  <si>
    <t>Aymen 118</t>
  </si>
  <si>
    <t>Sidali 118</t>
  </si>
  <si>
    <t>23/02/1975</t>
  </si>
  <si>
    <t>0119</t>
  </si>
  <si>
    <t>Aymen 119</t>
  </si>
  <si>
    <t>Sidali 119</t>
  </si>
  <si>
    <t>27/12/1994</t>
  </si>
  <si>
    <t>22/09/2019</t>
  </si>
  <si>
    <t>0120</t>
  </si>
  <si>
    <t>Aymen 120</t>
  </si>
  <si>
    <t>Sidali 120</t>
  </si>
  <si>
    <t>11/09/1966</t>
  </si>
  <si>
    <t>02/10/2006</t>
  </si>
  <si>
    <t>0121</t>
  </si>
  <si>
    <t>Aymen 121</t>
  </si>
  <si>
    <t>Sidali 121</t>
  </si>
  <si>
    <t>09/01/1975</t>
  </si>
  <si>
    <t>0122</t>
  </si>
  <si>
    <t>Aymen 122</t>
  </si>
  <si>
    <t>Sidali 122</t>
  </si>
  <si>
    <t>16/02/1995</t>
  </si>
  <si>
    <t>0123</t>
  </si>
  <si>
    <t>Aymen 123</t>
  </si>
  <si>
    <t>Sidali 123</t>
  </si>
  <si>
    <t>18/11/2000</t>
  </si>
  <si>
    <t>08/02/2024</t>
  </si>
  <si>
    <t>0124</t>
  </si>
  <si>
    <t>Aymen 124</t>
  </si>
  <si>
    <t>Sidali 124</t>
  </si>
  <si>
    <t>27/01/1980</t>
  </si>
  <si>
    <t>23/05/2024</t>
  </si>
  <si>
    <t>0125</t>
  </si>
  <si>
    <t>Aymen 125</t>
  </si>
  <si>
    <t>Sidali 125</t>
  </si>
  <si>
    <t>27/06/1970</t>
  </si>
  <si>
    <t>23/04/2017</t>
  </si>
  <si>
    <t>0126</t>
  </si>
  <si>
    <t>Aymen 126</t>
  </si>
  <si>
    <t>Sidali 126</t>
  </si>
  <si>
    <t>06/01/2006</t>
  </si>
  <si>
    <t>0127</t>
  </si>
  <si>
    <t>Aymen 127</t>
  </si>
  <si>
    <t>Sidali 127</t>
  </si>
  <si>
    <t>14/05/1998</t>
  </si>
  <si>
    <t>0128</t>
  </si>
  <si>
    <t>Aymen 128</t>
  </si>
  <si>
    <t>Sidali 128</t>
  </si>
  <si>
    <t>12/03/1973</t>
  </si>
  <si>
    <t>12/07/2008</t>
  </si>
  <si>
    <t>0129</t>
  </si>
  <si>
    <t>Aymen 129</t>
  </si>
  <si>
    <t>Sidali 129</t>
  </si>
  <si>
    <t>20/06/1997</t>
  </si>
  <si>
    <t>19/09/2023</t>
  </si>
  <si>
    <t>0130</t>
  </si>
  <si>
    <t>Aymen 130</t>
  </si>
  <si>
    <t>Sidali 130</t>
  </si>
  <si>
    <t>18/06/1978</t>
  </si>
  <si>
    <t>25/04/2024</t>
  </si>
  <si>
    <t>0131</t>
  </si>
  <si>
    <t>Aymen 131</t>
  </si>
  <si>
    <t>Sidali 131</t>
  </si>
  <si>
    <t>22/09/1992</t>
  </si>
  <si>
    <t>11/08/2022</t>
  </si>
  <si>
    <t>0132</t>
  </si>
  <si>
    <t>Aymen 132</t>
  </si>
  <si>
    <t>Sidali 132</t>
  </si>
  <si>
    <t>20/08/1970</t>
  </si>
  <si>
    <t>02/11/2021</t>
  </si>
  <si>
    <t>0133</t>
  </si>
  <si>
    <t>Aymen 133</t>
  </si>
  <si>
    <t>Sidali 133</t>
  </si>
  <si>
    <t>22/05/1971</t>
  </si>
  <si>
    <t>03/05/1993</t>
  </si>
  <si>
    <t>0134</t>
  </si>
  <si>
    <t>Aymen 134</t>
  </si>
  <si>
    <t>Sidali 134</t>
  </si>
  <si>
    <t>25/12/1978</t>
  </si>
  <si>
    <t>04/12/2022</t>
  </si>
  <si>
    <t>0135</t>
  </si>
  <si>
    <t>Aymen 135</t>
  </si>
  <si>
    <t>Sidali 135</t>
  </si>
  <si>
    <t>20/05/1976</t>
  </si>
  <si>
    <t>07/04/2016</t>
  </si>
  <si>
    <t>0136</t>
  </si>
  <si>
    <t>Aymen 136</t>
  </si>
  <si>
    <t>Sidali 136</t>
  </si>
  <si>
    <t>15/02/1976</t>
  </si>
  <si>
    <t>12/05/2024</t>
  </si>
  <si>
    <t>0137</t>
  </si>
  <si>
    <t>Aymen 137</t>
  </si>
  <si>
    <t>Sidali 137</t>
  </si>
  <si>
    <t>17/08/1981</t>
  </si>
  <si>
    <t>29/11/2008</t>
  </si>
  <si>
    <t>0138</t>
  </si>
  <si>
    <t>Aymen 138</t>
  </si>
  <si>
    <t>Sidali 138</t>
  </si>
  <si>
    <t>0139</t>
  </si>
  <si>
    <t>Aymen 139</t>
  </si>
  <si>
    <t>Sidali 139</t>
  </si>
  <si>
    <t>11/09/1980</t>
  </si>
  <si>
    <t>0140</t>
  </si>
  <si>
    <t>Aymen 140</t>
  </si>
  <si>
    <t>Sidali 140</t>
  </si>
  <si>
    <t>25/11/1975</t>
  </si>
  <si>
    <t>09/02/2017</t>
  </si>
  <si>
    <t>0141</t>
  </si>
  <si>
    <t>Aymen 141</t>
  </si>
  <si>
    <t>Sidali 141</t>
  </si>
  <si>
    <t>10/07/1990</t>
  </si>
  <si>
    <t>0142</t>
  </si>
  <si>
    <t>Aymen 142</t>
  </si>
  <si>
    <t>Sidali 142</t>
  </si>
  <si>
    <t>15/11/1990</t>
  </si>
  <si>
    <t>18/01/2024</t>
  </si>
  <si>
    <t>0143</t>
  </si>
  <si>
    <t>Aymen 143</t>
  </si>
  <si>
    <t>Sidali 143</t>
  </si>
  <si>
    <t>11/12/1996</t>
  </si>
  <si>
    <t>0144</t>
  </si>
  <si>
    <t>Aymen 144</t>
  </si>
  <si>
    <t>Sidali 144</t>
  </si>
  <si>
    <t>28/07/2000</t>
  </si>
  <si>
    <t>11/01/2024</t>
  </si>
  <si>
    <t>0145</t>
  </si>
  <si>
    <t>Aymen 145</t>
  </si>
  <si>
    <t>Sidali 145</t>
  </si>
  <si>
    <t>29/07/1999</t>
  </si>
  <si>
    <t>16/07/2023</t>
  </si>
  <si>
    <t>0146</t>
  </si>
  <si>
    <t>Aymen 146</t>
  </si>
  <si>
    <t>Sidali 146</t>
  </si>
  <si>
    <t>13/10/1998</t>
  </si>
  <si>
    <t>11/02/2024</t>
  </si>
  <si>
    <t>0147</t>
  </si>
  <si>
    <t>Aymen 147</t>
  </si>
  <si>
    <t>Sidali 147</t>
  </si>
  <si>
    <t>28/06/1997</t>
  </si>
  <si>
    <t>0148</t>
  </si>
  <si>
    <t>Aymen 148</t>
  </si>
  <si>
    <t>Sidali 148</t>
  </si>
  <si>
    <t>13/05/1982</t>
  </si>
  <si>
    <t>10/10/2016</t>
  </si>
  <si>
    <t>0149</t>
  </si>
  <si>
    <t>Aymen 149</t>
  </si>
  <si>
    <t>Sidali 149</t>
  </si>
  <si>
    <t>0150</t>
  </si>
  <si>
    <t>Aymen 150</t>
  </si>
  <si>
    <t>Sidali 150</t>
  </si>
  <si>
    <t>12/01/1990</t>
  </si>
  <si>
    <t>07/05/2024</t>
  </si>
  <si>
    <t>0151</t>
  </si>
  <si>
    <t>Aymen 151</t>
  </si>
  <si>
    <t>Sidali 151</t>
  </si>
  <si>
    <t>25/01/1968</t>
  </si>
  <si>
    <t>13/07/2002</t>
  </si>
  <si>
    <t>0152</t>
  </si>
  <si>
    <t>Aymen 152</t>
  </si>
  <si>
    <t>Sidali 152</t>
  </si>
  <si>
    <t>27/06/2000</t>
  </si>
  <si>
    <t>0153</t>
  </si>
  <si>
    <t>Aymen 153</t>
  </si>
  <si>
    <t>Sidali 153</t>
  </si>
  <si>
    <t>21/11/1971</t>
  </si>
  <si>
    <t>07/12/2016</t>
  </si>
  <si>
    <t>DATE 1</t>
  </si>
  <si>
    <t>ANNEE</t>
  </si>
  <si>
    <t>MOIS</t>
  </si>
  <si>
    <t>JOUR</t>
  </si>
  <si>
    <t>DATE 2</t>
  </si>
  <si>
    <t>JOURS RESTANTS</t>
  </si>
  <si>
    <t>AYMEN 01</t>
  </si>
  <si>
    <t>AYMEN 02</t>
  </si>
  <si>
    <t>AYMEN 03</t>
  </si>
  <si>
    <t>AYMEN 04</t>
  </si>
  <si>
    <t>AYMEN 05</t>
  </si>
  <si>
    <t>AYMEN 06</t>
  </si>
  <si>
    <t>AYMEN 07</t>
  </si>
  <si>
    <t>AYMEN 08</t>
  </si>
  <si>
    <t>AYMEN 09</t>
  </si>
  <si>
    <t>AYMEN 10</t>
  </si>
  <si>
    <t>AYMEN 11</t>
  </si>
  <si>
    <t>AYMEN 12</t>
  </si>
  <si>
    <t>CELLULE("row")=LIGNE()</t>
  </si>
  <si>
    <t>worksheet</t>
  </si>
  <si>
    <t>target.calculate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</si>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</sst>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name val="Calibri"/>
      <family val="1"/>
      <scheme val="minor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1" xfId="0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43" fontId="3" fillId="0" borderId="1" xfId="1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5" borderId="0" xfId="0" applyFill="1"/>
    <xf numFmtId="0" fontId="0" fillId="0" borderId="0" xfId="0" applyAlignment="1">
      <alignment vertical="center"/>
    </xf>
    <xf numFmtId="0" fontId="0" fillId="6" borderId="0" xfId="0" applyFill="1"/>
    <xf numFmtId="0" fontId="0" fillId="6" borderId="0" xfId="0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4" fontId="6" fillId="0" borderId="1" xfId="0" applyNumberFormat="1" applyFont="1" applyBorder="1" applyAlignment="1">
      <alignment vertical="center"/>
    </xf>
    <xf numFmtId="14" fontId="6" fillId="0" borderId="1" xfId="0" applyNumberFormat="1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4" fontId="6" fillId="0" borderId="11" xfId="0" applyNumberFormat="1" applyFont="1" applyBorder="1" applyAlignment="1">
      <alignment vertical="center"/>
    </xf>
    <xf numFmtId="0" fontId="5" fillId="8" borderId="8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4" fontId="6" fillId="0" borderId="2" xfId="0" applyNumberFormat="1" applyFont="1" applyBorder="1" applyAlignment="1">
      <alignment vertical="center"/>
    </xf>
    <xf numFmtId="4" fontId="6" fillId="0" borderId="4" xfId="0" applyNumberFormat="1" applyFont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43" fontId="9" fillId="9" borderId="12" xfId="1" applyFont="1" applyFill="1" applyBorder="1" applyAlignment="1">
      <alignment horizontal="center" vertical="center"/>
    </xf>
    <xf numFmtId="43" fontId="2" fillId="2" borderId="1" xfId="0" applyNumberFormat="1" applyFont="1" applyFill="1" applyBorder="1" applyAlignment="1">
      <alignment vertical="center"/>
    </xf>
    <xf numFmtId="0" fontId="5" fillId="2" borderId="8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43" fontId="5" fillId="2" borderId="9" xfId="1" applyFont="1" applyFill="1" applyBorder="1" applyAlignment="1">
      <alignment horizontal="center"/>
    </xf>
    <xf numFmtId="43" fontId="6" fillId="0" borderId="1" xfId="1" applyFont="1" applyBorder="1" applyAlignment="1">
      <alignment horizontal="center"/>
    </xf>
    <xf numFmtId="43" fontId="6" fillId="0" borderId="1" xfId="0" applyNumberFormat="1" applyFont="1" applyBorder="1" applyAlignment="1">
      <alignment horizontal="center"/>
    </xf>
    <xf numFmtId="43" fontId="9" fillId="10" borderId="12" xfId="1" applyFont="1" applyFill="1" applyBorder="1" applyAlignment="1">
      <alignment horizontal="center" vertical="center"/>
    </xf>
    <xf numFmtId="43" fontId="0" fillId="0" borderId="0" xfId="0" applyNumberFormat="1"/>
    <xf numFmtId="49" fontId="6" fillId="0" borderId="10" xfId="0" quotePrefix="1" applyNumberFormat="1" applyFont="1" applyBorder="1" applyAlignment="1">
      <alignment horizontal="center"/>
    </xf>
    <xf numFmtId="43" fontId="11" fillId="0" borderId="1" xfId="0" applyNumberFormat="1" applyFont="1" applyBorder="1" applyAlignment="1">
      <alignment vertical="center"/>
    </xf>
    <xf numFmtId="43" fontId="3" fillId="0" borderId="1" xfId="1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indent="2"/>
    </xf>
    <xf numFmtId="0" fontId="4" fillId="0" borderId="1" xfId="0" applyFont="1" applyBorder="1" applyAlignment="1">
      <alignment horizont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14" fontId="14" fillId="2" borderId="9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49" fontId="1" fillId="6" borderId="1" xfId="2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64" fontId="0" fillId="0" borderId="1" xfId="2" applyFont="1" applyBorder="1" applyAlignment="1">
      <alignment horizontal="center"/>
    </xf>
    <xf numFmtId="164" fontId="0" fillId="6" borderId="1" xfId="2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/>
    <xf numFmtId="0" fontId="11" fillId="12" borderId="1" xfId="0" applyFont="1" applyFill="1" applyBorder="1" applyAlignment="1">
      <alignment horizontal="center" vertical="center"/>
    </xf>
    <xf numFmtId="43" fontId="3" fillId="6" borderId="1" xfId="1" applyFont="1" applyFill="1" applyBorder="1" applyAlignment="1">
      <alignment horizontal="center" vertical="center"/>
    </xf>
    <xf numFmtId="9" fontId="4" fillId="0" borderId="1" xfId="3" applyFont="1" applyBorder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</cellXfs>
  <cellStyles count="4">
    <cellStyle name="Milliers" xfId="1" builtinId="3"/>
    <cellStyle name="Milliers 2" xfId="2" xr:uid="{FB7EF6CE-BBEB-4F65-99E3-DE24E26A632E}"/>
    <cellStyle name="Normal" xfId="0" builtinId="0"/>
    <cellStyle name="Pourcentage" xfId="3" builtinId="5"/>
  </cellStyles>
  <dxfs count="55"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b/>
        <i/>
      </font>
      <fill>
        <gradientFill degree="270">
          <stop position="0">
            <color theme="0"/>
          </stop>
          <stop position="1">
            <color rgb="FFFF9999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</font>
      <fill>
        <gradientFill degree="270">
          <stop position="0">
            <color theme="7" tint="0.80001220740379042"/>
          </stop>
          <stop position="1">
            <color rgb="FFFFC000"/>
          </stop>
        </gradient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strike/>
      </font>
      <fill>
        <patternFill>
          <bgColor theme="0" tint="-0.14996795556505021"/>
        </patternFill>
      </fill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1"/>
        <scheme val="minor"/>
      </font>
      <numFmt numFmtId="19" formatCode="dd/mm/yyyy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-* #,##0.00_-;\-* #,##0.00_-;_-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-* #,##0.00_-;\-* #,##0.00_-;_-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-* #,##0.00_-;\-* #,##0.00_-;_-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Desktop\FORMATION%20EN%20LIGNE\s&#233;ance%2004%20en%20ligne.xlsx" TargetMode="External"/><Relationship Id="rId1" Type="http://schemas.openxmlformats.org/officeDocument/2006/relationships/externalLinkPath" Target="/Users/Dell/Desktop/FORMATION%20EN%20LIGNE/s&#233;ance%2004%20en%20lign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Desktop\sidali%20excel\FORMATION\FORMATION%20COMPTABILITE%20SUR%20EXCEL\Les%20s&#233;ances\S&#233;ance%20N&#176;2\s&#233;ance%20N&#176;%202.xlsx" TargetMode="External"/><Relationship Id="rId1" Type="http://schemas.openxmlformats.org/officeDocument/2006/relationships/externalLinkPath" Target="/Users/Dell/Desktop/sidali%20excel/FORMATION/FORMATION%20COMPTABILITE%20SUR%20EXCEL/Les%20s&#233;ances/S&#233;ance%20N&#176;2/s&#233;ance%20N&#176;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alidation des données (2)"/>
      <sheetName val="BDD"/>
      <sheetName val="mise en forme conditionnelle"/>
      <sheetName val="RECHERCH V"/>
    </sheetNames>
    <sheetDataSet>
      <sheetData sheetId="0" refreshError="1">
        <row r="6">
          <cell r="L6" t="str">
            <v>BUREAU</v>
          </cell>
        </row>
        <row r="7">
          <cell r="L7" t="str">
            <v>Imprimante</v>
          </cell>
        </row>
        <row r="8">
          <cell r="L8" t="str">
            <v>PC</v>
          </cell>
        </row>
        <row r="9">
          <cell r="L9" t="str">
            <v>photocopieuse</v>
          </cell>
        </row>
        <row r="10">
          <cell r="L10" t="str">
            <v>chaise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iger+liste deroulante"/>
      <sheetName val="mise en forme conditionnelle"/>
      <sheetName val="RECHERCH V"/>
      <sheetName val="SI-OU-ET"/>
      <sheetName val="SOMME,SI"/>
      <sheetName val="SOMME,SI,ENS"/>
      <sheetName val="Feuil1"/>
    </sheetNames>
    <sheetDataSet>
      <sheetData sheetId="0">
        <row r="4">
          <cell r="B4" t="str">
            <v>DATE</v>
          </cell>
          <cell r="C4" t="str">
            <v>NOM</v>
          </cell>
          <cell r="D4" t="str">
            <v>AGE</v>
          </cell>
          <cell r="F4" t="str">
            <v>type de contrat</v>
          </cell>
          <cell r="G4" t="str">
            <v>Situation familiale</v>
          </cell>
          <cell r="H4" t="str">
            <v>DEPARTEMENT</v>
          </cell>
        </row>
      </sheetData>
      <sheetData sheetId="1">
        <row r="5">
          <cell r="E5">
            <v>1806000</v>
          </cell>
        </row>
        <row r="6">
          <cell r="E6">
            <v>336000</v>
          </cell>
        </row>
        <row r="7">
          <cell r="E7">
            <v>1680000</v>
          </cell>
        </row>
        <row r="8">
          <cell r="E8">
            <v>200000</v>
          </cell>
        </row>
        <row r="9">
          <cell r="E9">
            <v>735000</v>
          </cell>
        </row>
        <row r="10">
          <cell r="E10">
            <v>241500</v>
          </cell>
        </row>
        <row r="11">
          <cell r="E11">
            <v>3150000</v>
          </cell>
        </row>
        <row r="12">
          <cell r="E12">
            <v>462000</v>
          </cell>
        </row>
        <row r="13">
          <cell r="E13">
            <v>1890000</v>
          </cell>
        </row>
        <row r="14">
          <cell r="E14">
            <v>4494000</v>
          </cell>
        </row>
        <row r="15">
          <cell r="E15">
            <v>105000</v>
          </cell>
        </row>
      </sheetData>
      <sheetData sheetId="2"/>
      <sheetData sheetId="3" refreshError="1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6523A9-8D14-45C6-8E2D-8647055CEAA2}" name="Tableau3" displayName="Tableau3" ref="B2:I8" totalsRowShown="0" headerRowDxfId="54" dataDxfId="52" headerRowBorderDxfId="53" tableBorderDxfId="51" totalsRowBorderDxfId="50">
  <autoFilter ref="B2:I8" xr:uid="{4D6523A9-8D14-45C6-8E2D-8647055CEAA2}"/>
  <tableColumns count="8">
    <tableColumn id="1" xr3:uid="{D8D76633-6300-4EB7-AECA-FBFD4088F99D}" name="FN°" dataDxfId="49"/>
    <tableColumn id="2" xr3:uid="{70EAEA49-C1AC-41C1-8D41-42B2F9AEC8A4}" name="Date" dataDxfId="48"/>
    <tableColumn id="3" xr3:uid="{823CF76F-9E00-43ED-8885-9631EFCA15A9}" name="PRODUIT" dataDxfId="47"/>
    <tableColumn id="4" xr3:uid="{3A7C905E-0447-486D-B0F5-CE1F51A29E53}" name="pu" dataDxfId="46" dataCellStyle="Milliers">
      <calculatedColumnFormula>IFERROR(VLOOKUP(Tableau3[[#This Row],[PRODUIT]],#REF!,2,0),"")</calculatedColumnFormula>
    </tableColumn>
    <tableColumn id="5" xr3:uid="{F692A3B3-A788-427C-A622-C0F519451117}" name="Q" dataDxfId="45"/>
    <tableColumn id="6" xr3:uid="{4669158C-CDF4-45EC-ABFA-454BC2E83F10}" name="Montant" dataDxfId="44">
      <calculatedColumnFormula>IFERROR(Tableau3[[#This Row],[pu]]*Tableau3[[#This Row],[Q]],"")</calculatedColumnFormula>
    </tableColumn>
    <tableColumn id="8" xr3:uid="{C6379533-44D1-4EE3-852A-BF6D473DF623}" name="ETAT DE PAIEMENT" dataDxfId="43"/>
    <tableColumn id="7" xr3:uid="{D9F7921F-C3EA-44AC-9FE2-7C84FDDF8506}" name="type de règlement" dataDxfId="4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8EF4B3-E7AB-4248-9C26-B871D48E0746}" name="Tableau2" displayName="Tableau2" ref="A4:E15" totalsRowShown="0" headerRowDxfId="41" headerRowBorderDxfId="40" tableBorderDxfId="39" totalsRowBorderDxfId="38">
  <autoFilter ref="A4:E15" xr:uid="{518EF4B3-E7AB-4248-9C26-B871D48E0746}"/>
  <tableColumns count="5">
    <tableColumn id="1" xr3:uid="{35CC02B1-2ED1-4F2B-9601-F01DE3764967}" name="Région" dataDxfId="37"/>
    <tableColumn id="2" xr3:uid="{17EE91F0-5CA0-4A86-BED0-15E4DBDB0C98}" name="CLIENT" dataDxfId="36"/>
    <tableColumn id="3" xr3:uid="{33F99280-1624-4E7C-B44A-3531AD3A7557}" name="2021" dataDxfId="35"/>
    <tableColumn id="4" xr3:uid="{84EC5C08-4043-4593-9D60-99F17DA34E9A}" name="2022" dataDxfId="34"/>
    <tableColumn id="5" xr3:uid="{C212CA6C-42A2-4CBF-8401-2A1124E8723C}" name="TOTAL" dataDxfId="33">
      <calculatedColumnFormula>+C5+D5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DD3092-2EC2-421B-8DAF-EACB88851F9F}" name="Tableau6" displayName="Tableau6" ref="C5:H18" totalsRowShown="0" headerRowDxfId="32">
  <autoFilter ref="C5:H18" xr:uid="{46B88E00-54EF-453D-9F88-3E43741B4FA8}"/>
  <tableColumns count="6">
    <tableColumn id="1" xr3:uid="{25EC68BB-ACB7-48D3-AF6A-43749CE112DF}" name="DATE 1" dataDxfId="31"/>
    <tableColumn id="2" xr3:uid="{86D9E013-BBC3-45C7-A0EE-E712E6F40DAA}" name="ANNEE"/>
    <tableColumn id="3" xr3:uid="{0A01CFEE-E995-4CBE-8708-56194B4A9BE8}" name="MOIS"/>
    <tableColumn id="4" xr3:uid="{44B9C8DC-7C2F-4EDE-BF95-E2397919E928}" name="JOUR"/>
    <tableColumn id="5" xr3:uid="{D91EE991-D7CD-43F5-B6EE-49BA37558646}" name="DATE 2" dataDxfId="30">
      <calculatedColumnFormula>IF(Tableau6[[#This Row],[DATE 1]]="","",DATE(YEAR(Tableau6[[#This Row],[DATE 1]])+Tableau6[[#This Row],[ANNEE]],MONTH(Tableau6[[#This Row],[DATE 1]])+Tableau6[[#This Row],[MOIS]],DAY(Tableau6[[#This Row],[DATE 1]])+Tableau6[[#This Row],[JOUR]]))</calculatedColumnFormula>
    </tableColumn>
    <tableColumn id="6" xr3:uid="{6E05F27B-88D3-4C0B-9BDC-F2000D1BC727}" name="JOURS RESTANTS" dataDxfId="29">
      <calculatedColumnFormula>IF(Tableau6[[#This Row],[DATE 1]]="","",IFERROR(DATEDIF(TODAY(),Tableau6[[#This Row],[DATE 2]],"d"),"Fin de contrat"))</calculatedColumnFormula>
    </tableColumn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0E16F6-16F4-4483-9D37-526203B52D5F}" name="Tableau1" displayName="Tableau1" ref="A1:J154" totalsRowShown="0" headerRowDxfId="28" dataDxfId="26" headerRowBorderDxfId="27" tableBorderDxfId="25" totalsRowBorderDxfId="24">
  <sortState xmlns:xlrd2="http://schemas.microsoft.com/office/spreadsheetml/2017/richdata2" ref="A2:J154">
    <sortCondition ref="A1:A154"/>
  </sortState>
  <tableColumns count="10">
    <tableColumn id="1" xr3:uid="{20EB13B7-0F52-49E5-B008-32F488480683}" name="Matricule " dataDxfId="23"/>
    <tableColumn id="2" xr3:uid="{709F6ADC-2727-4229-BD3F-32E97A8A0655}" name="Nom" dataDxfId="22"/>
    <tableColumn id="3" xr3:uid="{4B680C97-F8CF-4664-B6DC-3DE6B5A1AA1B}" name="Prénom" dataDxfId="21"/>
    <tableColumn id="4" xr3:uid="{A68A6F9B-696D-4DC0-B0B5-3A80E7507E07}" name="Naissance" dataDxfId="20"/>
    <tableColumn id="7" xr3:uid="{40E8596E-23C4-4529-994A-8207007002A8}" name="age" dataDxfId="19">
      <calculatedColumnFormula>IF(Tableau1[[#This Row],[Naissance]]="",0,DATEDIF(Tableau1[[#This Row],[Naissance]],TODAY(),"y"))</calculatedColumnFormula>
    </tableColumn>
    <tableColumn id="8" xr3:uid="{BE4AAEFA-E12A-4835-98C1-9E154D4756E3}" name="SEXE" dataDxfId="18"/>
    <tableColumn id="15" xr3:uid="{E68C5D94-3562-4EC7-B8D6-2C17520E439E}" name="date recrutement" dataDxfId="17"/>
    <tableColumn id="18" xr3:uid="{9D1CC0C8-5176-4BEF-8945-C29E7100D2B5}" name="Expérience" dataDxfId="16">
      <calculatedColumnFormula>DATEDIF(Tableau1[[#This Row],[date recrutement]],TODAY(),"y")</calculatedColumnFormula>
    </tableColumn>
    <tableColumn id="19" xr3:uid="{12E34A0E-47CC-4F6D-A585-91C23B6233E1}" name="contrat" dataDxfId="15"/>
    <tableColumn id="5" xr3:uid="{D961308D-DB0A-4DA4-97C0-4A2BB58E12B5}" name="Salaire" dataDxfId="14"/>
  </tableColumns>
  <tableStyleInfo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rgb="FF92D050"/>
    <pageSetUpPr fitToPage="1"/>
  </sheetPr>
  <dimension ref="A1:R15"/>
  <sheetViews>
    <sheetView showGridLines="0" zoomScale="137" zoomScaleNormal="137" workbookViewId="0">
      <selection activeCell="I8" sqref="I8"/>
    </sheetView>
  </sheetViews>
  <sheetFormatPr baseColWidth="10" defaultColWidth="9.140625" defaultRowHeight="15" x14ac:dyDescent="0.25"/>
  <cols>
    <col min="1" max="1" width="1" style="8" customWidth="1"/>
    <col min="2" max="2" width="10.140625" bestFit="1" customWidth="1"/>
    <col min="3" max="3" width="12.85546875" bestFit="1" customWidth="1"/>
    <col min="4" max="4" width="16" bestFit="1" customWidth="1"/>
    <col min="5" max="5" width="16" customWidth="1"/>
    <col min="6" max="7" width="16" bestFit="1" customWidth="1"/>
    <col min="8" max="9" width="16" customWidth="1"/>
    <col min="15" max="15" width="15" bestFit="1" customWidth="1"/>
    <col min="18" max="18" width="9.140625" hidden="1" customWidth="1"/>
  </cols>
  <sheetData>
    <row r="1" spans="2:18" ht="24.75" customHeight="1" thickBot="1" x14ac:dyDescent="0.3">
      <c r="B1" s="62" t="s">
        <v>0</v>
      </c>
      <c r="C1" s="62"/>
      <c r="D1" s="62"/>
      <c r="E1" s="9"/>
      <c r="F1" s="9"/>
      <c r="G1" s="9"/>
      <c r="O1" s="9"/>
      <c r="R1" s="12" t="s">
        <v>23</v>
      </c>
    </row>
    <row r="2" spans="2:18" s="10" customFormat="1" ht="26.25" customHeight="1" thickBot="1" x14ac:dyDescent="0.3">
      <c r="B2" s="63"/>
      <c r="C2" s="63"/>
      <c r="D2" s="63"/>
      <c r="E2" s="11"/>
      <c r="F2" s="26">
        <v>80000</v>
      </c>
      <c r="G2" s="34">
        <v>60000</v>
      </c>
      <c r="H2"/>
      <c r="I2"/>
      <c r="O2" s="11"/>
      <c r="R2" s="12" t="s">
        <v>25</v>
      </c>
    </row>
    <row r="3" spans="2:18" s="10" customFormat="1" ht="18.75" x14ac:dyDescent="0.25">
      <c r="B3" s="7"/>
      <c r="C3" s="7"/>
      <c r="D3" s="7"/>
      <c r="E3" s="11"/>
      <c r="F3" s="11"/>
      <c r="G3" s="11"/>
      <c r="H3"/>
      <c r="I3"/>
      <c r="O3" s="11"/>
      <c r="R3" s="12" t="s">
        <v>28</v>
      </c>
    </row>
    <row r="4" spans="2:18" ht="18.75" x14ac:dyDescent="0.25">
      <c r="B4" s="24" t="s">
        <v>7</v>
      </c>
      <c r="C4" s="56" t="s">
        <v>62</v>
      </c>
      <c r="D4" s="56" t="s">
        <v>63</v>
      </c>
      <c r="E4" s="56" t="s">
        <v>64</v>
      </c>
      <c r="F4" s="56" t="s">
        <v>65</v>
      </c>
      <c r="G4" s="25" t="s">
        <v>19</v>
      </c>
      <c r="R4" s="12" t="s">
        <v>30</v>
      </c>
    </row>
    <row r="5" spans="2:18" ht="15.75" customHeight="1" x14ac:dyDescent="0.25">
      <c r="B5" s="5" t="s">
        <v>9</v>
      </c>
      <c r="C5" s="6">
        <v>76473</v>
      </c>
      <c r="D5" s="57">
        <v>97509</v>
      </c>
      <c r="E5" s="57">
        <v>94868</v>
      </c>
      <c r="F5" s="57">
        <v>45000</v>
      </c>
      <c r="G5" s="37">
        <f t="shared" ref="G5:G14" si="0">+SUM(C5:F5)</f>
        <v>313850</v>
      </c>
      <c r="H5" s="35">
        <f>G5</f>
        <v>313850</v>
      </c>
    </row>
    <row r="6" spans="2:18" x14ac:dyDescent="0.25">
      <c r="B6" s="5" t="s">
        <v>10</v>
      </c>
      <c r="C6" s="6">
        <v>56120</v>
      </c>
      <c r="D6" s="57">
        <v>82416</v>
      </c>
      <c r="E6" s="57">
        <v>78120</v>
      </c>
      <c r="F6" s="57">
        <v>64434</v>
      </c>
      <c r="G6" s="37">
        <f t="shared" si="0"/>
        <v>281090</v>
      </c>
      <c r="H6" s="35">
        <f t="shared" ref="H6:H14" si="1">G6</f>
        <v>281090</v>
      </c>
    </row>
    <row r="7" spans="2:18" x14ac:dyDescent="0.25">
      <c r="B7" s="5" t="s">
        <v>11</v>
      </c>
      <c r="C7" s="6">
        <v>55314</v>
      </c>
      <c r="D7" s="57">
        <v>90875</v>
      </c>
      <c r="E7" s="57">
        <v>64065</v>
      </c>
      <c r="F7" s="57">
        <v>72852</v>
      </c>
      <c r="G7" s="37">
        <f t="shared" si="0"/>
        <v>283106</v>
      </c>
      <c r="H7" s="35">
        <f t="shared" si="1"/>
        <v>283106</v>
      </c>
    </row>
    <row r="8" spans="2:18" x14ac:dyDescent="0.25">
      <c r="B8" s="5" t="s">
        <v>12</v>
      </c>
      <c r="C8" s="6">
        <v>75609</v>
      </c>
      <c r="D8" s="57">
        <v>50601</v>
      </c>
      <c r="E8" s="57">
        <v>76542</v>
      </c>
      <c r="F8" s="57">
        <v>60514</v>
      </c>
      <c r="G8" s="37">
        <f t="shared" si="0"/>
        <v>263266</v>
      </c>
      <c r="H8" s="35">
        <f t="shared" si="1"/>
        <v>263266</v>
      </c>
    </row>
    <row r="9" spans="2:18" x14ac:dyDescent="0.25">
      <c r="B9" s="5" t="s">
        <v>13</v>
      </c>
      <c r="C9" s="6">
        <v>74195</v>
      </c>
      <c r="D9" s="57">
        <v>69303</v>
      </c>
      <c r="E9" s="57">
        <v>61743</v>
      </c>
      <c r="F9" s="57">
        <v>70958</v>
      </c>
      <c r="G9" s="37">
        <f t="shared" si="0"/>
        <v>276199</v>
      </c>
      <c r="H9" s="35">
        <f t="shared" si="1"/>
        <v>276199</v>
      </c>
    </row>
    <row r="10" spans="2:18" x14ac:dyDescent="0.25">
      <c r="B10" s="5" t="s">
        <v>14</v>
      </c>
      <c r="C10" s="6">
        <v>73025</v>
      </c>
      <c r="D10" s="57">
        <v>92697</v>
      </c>
      <c r="E10" s="57">
        <v>59393</v>
      </c>
      <c r="F10" s="57">
        <v>65854</v>
      </c>
      <c r="G10" s="37">
        <f t="shared" si="0"/>
        <v>290969</v>
      </c>
      <c r="H10" s="35">
        <f t="shared" si="1"/>
        <v>290969</v>
      </c>
    </row>
    <row r="11" spans="2:18" x14ac:dyDescent="0.25">
      <c r="B11" s="5" t="s">
        <v>15</v>
      </c>
      <c r="C11" s="6">
        <v>23527</v>
      </c>
      <c r="D11" s="57">
        <v>78643</v>
      </c>
      <c r="E11" s="57">
        <v>65748</v>
      </c>
      <c r="F11" s="57">
        <v>64326</v>
      </c>
      <c r="G11" s="37">
        <f t="shared" si="0"/>
        <v>232244</v>
      </c>
      <c r="H11" s="35">
        <f t="shared" si="1"/>
        <v>232244</v>
      </c>
    </row>
    <row r="12" spans="2:18" x14ac:dyDescent="0.25">
      <c r="B12" s="5" t="s">
        <v>16</v>
      </c>
      <c r="C12" s="6">
        <v>68409</v>
      </c>
      <c r="D12" s="57">
        <v>81439</v>
      </c>
      <c r="E12" s="57">
        <v>96158</v>
      </c>
      <c r="F12" s="57">
        <v>78618</v>
      </c>
      <c r="G12" s="37">
        <f t="shared" si="0"/>
        <v>324624</v>
      </c>
      <c r="H12" s="35">
        <f t="shared" si="1"/>
        <v>324624</v>
      </c>
    </row>
    <row r="13" spans="2:18" x14ac:dyDescent="0.25">
      <c r="B13" s="5" t="s">
        <v>17</v>
      </c>
      <c r="C13" s="6">
        <v>54657</v>
      </c>
      <c r="D13" s="57">
        <v>72764</v>
      </c>
      <c r="E13" s="57">
        <v>64724</v>
      </c>
      <c r="F13" s="57">
        <v>99610</v>
      </c>
      <c r="G13" s="37">
        <f t="shared" si="0"/>
        <v>291755</v>
      </c>
      <c r="H13" s="35">
        <f t="shared" si="1"/>
        <v>291755</v>
      </c>
    </row>
    <row r="14" spans="2:18" x14ac:dyDescent="0.25">
      <c r="B14" s="5" t="s">
        <v>18</v>
      </c>
      <c r="C14" s="6">
        <v>78111</v>
      </c>
      <c r="D14" s="38">
        <v>89547</v>
      </c>
      <c r="E14" s="38">
        <v>59406</v>
      </c>
      <c r="F14" s="38">
        <v>62123</v>
      </c>
      <c r="G14" s="37">
        <f t="shared" si="0"/>
        <v>289187</v>
      </c>
      <c r="H14" s="35">
        <f t="shared" si="1"/>
        <v>289187</v>
      </c>
    </row>
    <row r="15" spans="2:18" x14ac:dyDescent="0.25">
      <c r="B15" s="59" t="s">
        <v>19</v>
      </c>
      <c r="C15" s="27">
        <f>SUM(C5:C14)</f>
        <v>635440</v>
      </c>
      <c r="D15" s="27">
        <f>SUM(D5:D14)</f>
        <v>805794</v>
      </c>
      <c r="E15" s="27">
        <f>SUM(E5:E14)</f>
        <v>720767</v>
      </c>
      <c r="F15" s="27">
        <f>SUM(F5:F14)</f>
        <v>684289</v>
      </c>
      <c r="G15" s="27">
        <f>SUM(G5:G14)</f>
        <v>2846290</v>
      </c>
    </row>
  </sheetData>
  <autoFilter ref="B4:G15" xr:uid="{00000000-0001-0000-0000-000000000000}">
    <sortState xmlns:xlrd2="http://schemas.microsoft.com/office/spreadsheetml/2017/richdata2" ref="B5:G15">
      <sortCondition ref="B4:B14"/>
    </sortState>
  </autoFilter>
  <mergeCells count="1">
    <mergeCell ref="B1:D2"/>
  </mergeCells>
  <phoneticPr fontId="7" type="noConversion"/>
  <conditionalFormatting sqref="C5:F14">
    <cfRule type="cellIs" dxfId="13" priority="4" operator="between">
      <formula>$G$2</formula>
      <formula>$F$2</formula>
    </cfRule>
    <cfRule type="cellIs" dxfId="12" priority="5" operator="lessThan">
      <formula>$G$2</formula>
    </cfRule>
    <cfRule type="cellIs" dxfId="11" priority="6" operator="greaterThan">
      <formula>$F$2</formula>
    </cfRule>
  </conditionalFormatting>
  <conditionalFormatting sqref="H5:H14">
    <cfRule type="dataBar" priority="2">
      <dataBar showValue="0">
        <cfvo type="min"/>
        <cfvo type="max"/>
        <color rgb="FFFF555A"/>
      </dataBar>
      <extLst>
        <ext xmlns:x14="http://schemas.microsoft.com/office/spreadsheetml/2009/9/main" uri="{B025F937-C7B1-47D3-B67F-A62EFF666E3E}">
          <x14:id>{0D1B38D7-1D1F-483B-A9C8-C6980640F42E}</x14:id>
        </ext>
      </extLst>
    </cfRule>
  </conditionalFormatting>
  <conditionalFormatting sqref="G5:G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7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1B38D7-1D1F-483B-A9C8-C6980640F42E}">
            <x14:dataBar minLength="0" maxLength="100" border="1" negativeBarBorderColorSameAsPositive="0">
              <x14:cfvo type="autoMin"/>
              <x14:cfvo type="autoMax"/>
              <x14:borderColor theme="0" tint="-0.14999847407452621"/>
              <x14:negativeFillColor rgb="FFFF0000"/>
              <x14:negativeBorderColor rgb="FFFF0000"/>
              <x14:axisColor rgb="FF000000"/>
            </x14:dataBar>
          </x14:cfRule>
          <xm:sqref>H5:H14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0AA08-5A48-4885-B5E9-F78EAAF17BB1}">
  <sheetPr codeName="Feuil1">
    <tabColor rgb="FFFFC000"/>
  </sheetPr>
  <dimension ref="B2:N8"/>
  <sheetViews>
    <sheetView showGridLines="0" zoomScale="110" zoomScaleNormal="110" workbookViewId="0">
      <selection activeCell="I5" sqref="I5"/>
    </sheetView>
  </sheetViews>
  <sheetFormatPr baseColWidth="10" defaultRowHeight="15" x14ac:dyDescent="0.25"/>
  <cols>
    <col min="1" max="1" width="6.42578125" customWidth="1"/>
    <col min="2" max="2" width="18.140625" customWidth="1"/>
    <col min="3" max="3" width="16.140625" bestFit="1" customWidth="1"/>
    <col min="4" max="4" width="17.7109375" bestFit="1" customWidth="1"/>
    <col min="5" max="5" width="14.28515625" bestFit="1" customWidth="1"/>
    <col min="6" max="6" width="15.28515625" customWidth="1"/>
    <col min="7" max="7" width="22.5703125" customWidth="1"/>
    <col min="8" max="8" width="27.85546875" bestFit="1" customWidth="1"/>
    <col min="9" max="9" width="27.140625" bestFit="1" customWidth="1"/>
    <col min="10" max="10" width="12.5703125" bestFit="1" customWidth="1"/>
    <col min="11" max="12" width="12.5703125" customWidth="1"/>
    <col min="13" max="13" width="7.28515625" customWidth="1"/>
    <col min="14" max="14" width="34.7109375" bestFit="1" customWidth="1"/>
    <col min="15" max="17" width="15" bestFit="1" customWidth="1"/>
  </cols>
  <sheetData>
    <row r="2" spans="2:14" ht="18.75" x14ac:dyDescent="0.3">
      <c r="B2" s="28" t="s">
        <v>66</v>
      </c>
      <c r="C2" s="29" t="s">
        <v>2</v>
      </c>
      <c r="D2" s="29" t="s">
        <v>57</v>
      </c>
      <c r="E2" s="31" t="s">
        <v>61</v>
      </c>
      <c r="F2" s="29" t="s">
        <v>38</v>
      </c>
      <c r="G2" s="29" t="s">
        <v>8</v>
      </c>
      <c r="H2" s="30" t="s">
        <v>67</v>
      </c>
      <c r="I2" s="30" t="s">
        <v>6</v>
      </c>
      <c r="N2" s="2" t="s">
        <v>3</v>
      </c>
    </row>
    <row r="3" spans="2:14" ht="18.75" x14ac:dyDescent="0.3">
      <c r="B3" s="36" t="s">
        <v>72</v>
      </c>
      <c r="C3" s="14">
        <v>45415</v>
      </c>
      <c r="D3" s="3" t="s">
        <v>60</v>
      </c>
      <c r="E3" s="32">
        <v>30000</v>
      </c>
      <c r="F3" s="3">
        <v>2</v>
      </c>
      <c r="G3" s="33">
        <f>IFERROR(Tableau3[[#This Row],[pu]]*Tableau3[[#This Row],[Q]],"")</f>
        <v>60000</v>
      </c>
      <c r="H3" s="33" t="s">
        <v>68</v>
      </c>
      <c r="I3" s="3" t="s">
        <v>4</v>
      </c>
      <c r="N3" s="1" t="s">
        <v>4</v>
      </c>
    </row>
    <row r="4" spans="2:14" ht="18.75" x14ac:dyDescent="0.3">
      <c r="B4" s="36" t="s">
        <v>70</v>
      </c>
      <c r="C4" s="14">
        <v>45413</v>
      </c>
      <c r="D4" s="3" t="s">
        <v>58</v>
      </c>
      <c r="E4" s="32">
        <v>20000</v>
      </c>
      <c r="F4" s="3">
        <v>5</v>
      </c>
      <c r="G4" s="33">
        <f>IFERROR(Tableau3[[#This Row],[pu]]*Tableau3[[#This Row],[Q]],"")</f>
        <v>100000</v>
      </c>
      <c r="H4" s="33" t="s">
        <v>68</v>
      </c>
      <c r="I4" s="3" t="s">
        <v>4</v>
      </c>
      <c r="N4" s="1" t="s">
        <v>5</v>
      </c>
    </row>
    <row r="5" spans="2:14" ht="18.75" x14ac:dyDescent="0.3">
      <c r="B5" s="36" t="s">
        <v>71</v>
      </c>
      <c r="C5" s="14">
        <v>45414</v>
      </c>
      <c r="D5" s="3" t="s">
        <v>59</v>
      </c>
      <c r="E5" s="32">
        <v>50000</v>
      </c>
      <c r="F5" s="3">
        <v>3</v>
      </c>
      <c r="G5" s="33">
        <f>IFERROR(Tableau3[[#This Row],[pu]]*Tableau3[[#This Row],[Q]],"")</f>
        <v>150000</v>
      </c>
      <c r="H5" s="33" t="s">
        <v>69</v>
      </c>
      <c r="I5" s="3" t="s">
        <v>5</v>
      </c>
    </row>
    <row r="6" spans="2:14" ht="18.75" x14ac:dyDescent="0.3">
      <c r="B6" s="36"/>
      <c r="C6" s="14">
        <v>45415</v>
      </c>
      <c r="D6" s="3" t="s">
        <v>59</v>
      </c>
      <c r="E6" s="32">
        <v>50000</v>
      </c>
      <c r="F6" s="3">
        <v>2</v>
      </c>
      <c r="G6" s="33">
        <f>IFERROR(Tableau3[[#This Row],[pu]]*Tableau3[[#This Row],[Q]],"")</f>
        <v>100000</v>
      </c>
      <c r="H6" s="33" t="s">
        <v>69</v>
      </c>
      <c r="I6" s="3" t="s">
        <v>5</v>
      </c>
    </row>
    <row r="7" spans="2:14" ht="18.75" x14ac:dyDescent="0.3">
      <c r="B7" s="36"/>
      <c r="C7" s="14"/>
      <c r="D7" s="3"/>
      <c r="E7" s="32"/>
      <c r="F7" s="3"/>
      <c r="G7" s="33">
        <f>IFERROR(Tableau3[[#This Row],[pu]]*Tableau3[[#This Row],[Q]],"")</f>
        <v>0</v>
      </c>
      <c r="H7" s="33" t="s">
        <v>68</v>
      </c>
      <c r="I7" s="3"/>
    </row>
    <row r="8" spans="2:14" ht="18.75" x14ac:dyDescent="0.3">
      <c r="B8" s="36"/>
      <c r="C8" s="14"/>
      <c r="D8" s="3"/>
      <c r="E8" s="32"/>
      <c r="F8" s="3"/>
      <c r="G8" s="33">
        <f>IFERROR(Tableau3[[#This Row],[pu]]*Tableau3[[#This Row],[Q]],"")</f>
        <v>0</v>
      </c>
      <c r="H8" s="33" t="s">
        <v>69</v>
      </c>
      <c r="I8" s="3"/>
    </row>
  </sheetData>
  <phoneticPr fontId="7" type="noConversion"/>
  <conditionalFormatting sqref="H3:H8">
    <cfRule type="cellIs" dxfId="10" priority="2" operator="equal">
      <formula>"impayée"</formula>
    </cfRule>
    <cfRule type="cellIs" dxfId="9" priority="3" operator="equal">
      <formula>"payée"</formula>
    </cfRule>
  </conditionalFormatting>
  <conditionalFormatting sqref="B3:B8">
    <cfRule type="duplicateValues" dxfId="0" priority="9"/>
  </conditionalFormatting>
  <dataValidations count="4">
    <dataValidation type="list" allowBlank="1" showInputMessage="1" showErrorMessage="1" sqref="H3:H8" xr:uid="{48BB3CAA-A5AA-47E1-916C-5F8752999765}">
      <formula1>"Payée,impayée"</formula1>
    </dataValidation>
    <dataValidation type="list" allowBlank="1" showInputMessage="1" showErrorMessage="1" sqref="I3:I8" xr:uid="{50F47FF6-CE77-44C8-80E0-D63277D1A413}">
      <formula1>$N$3:$N$4</formula1>
    </dataValidation>
    <dataValidation type="textLength" operator="equal" allowBlank="1" showInputMessage="1" showErrorMessage="1" errorTitle="attention " error="uniquement 6 caractére_x000a_" sqref="B3:B8" xr:uid="{E5BF3AF4-CFF3-4BAB-947D-BF7A0D3D1F97}">
      <formula1>8</formula1>
    </dataValidation>
    <dataValidation type="date" allowBlank="1" showInputMessage="1" showErrorMessage="1" sqref="C3:C8" xr:uid="{9018D615-3DA1-47E8-B093-F87A9546CA01}">
      <formula1>45413</formula1>
      <formula2>45443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0356-5C1A-424F-B3F9-EE76AEC17B9C}">
  <sheetPr codeName="Feuil4">
    <tabColor rgb="FFFFFF00"/>
    <pageSetUpPr fitToPage="1"/>
  </sheetPr>
  <dimension ref="C1:F13"/>
  <sheetViews>
    <sheetView showGridLines="0" topLeftCell="A3" zoomScale="130" zoomScaleNormal="130" workbookViewId="0">
      <selection activeCell="F12" sqref="F12"/>
    </sheetView>
  </sheetViews>
  <sheetFormatPr baseColWidth="10" defaultColWidth="9.140625" defaultRowHeight="15" x14ac:dyDescent="0.25"/>
  <cols>
    <col min="2" max="2" width="2.140625" customWidth="1"/>
    <col min="3" max="3" width="65" bestFit="1" customWidth="1"/>
    <col min="4" max="4" width="12.140625" customWidth="1"/>
    <col min="5" max="5" width="10.42578125" customWidth="1"/>
    <col min="6" max="6" width="26.5703125" customWidth="1"/>
  </cols>
  <sheetData>
    <row r="1" spans="3:6" ht="24.75" customHeight="1" x14ac:dyDescent="0.25"/>
    <row r="2" spans="3:6" s="10" customFormat="1" ht="26.25" customHeight="1" x14ac:dyDescent="0.25"/>
    <row r="3" spans="3:6" s="10" customFormat="1" x14ac:dyDescent="0.25">
      <c r="F3" s="41" t="s">
        <v>73</v>
      </c>
    </row>
    <row r="4" spans="3:6" ht="26.25" x14ac:dyDescent="0.25">
      <c r="C4" s="42" t="s">
        <v>74</v>
      </c>
      <c r="D4" s="42">
        <v>2021</v>
      </c>
      <c r="E4" s="42">
        <v>2022</v>
      </c>
      <c r="F4" s="42" t="s">
        <v>75</v>
      </c>
    </row>
    <row r="5" spans="3:6" ht="21" customHeight="1" x14ac:dyDescent="0.25">
      <c r="C5" s="43" t="s">
        <v>76</v>
      </c>
      <c r="D5" s="44">
        <v>1500</v>
      </c>
      <c r="E5" s="44">
        <v>2000</v>
      </c>
      <c r="F5" s="58">
        <f>(E5-D5)/D5</f>
        <v>0.33333333333333331</v>
      </c>
    </row>
    <row r="6" spans="3:6" ht="21" customHeight="1" x14ac:dyDescent="0.25">
      <c r="C6" s="43" t="s">
        <v>77</v>
      </c>
      <c r="D6" s="44">
        <v>100</v>
      </c>
      <c r="E6" s="44">
        <v>96</v>
      </c>
      <c r="F6" s="58">
        <f t="shared" ref="F6:F13" si="0">(E6-D6)/D6</f>
        <v>-0.04</v>
      </c>
    </row>
    <row r="7" spans="3:6" ht="21" customHeight="1" x14ac:dyDescent="0.25">
      <c r="C7" s="43" t="s">
        <v>78</v>
      </c>
      <c r="D7" s="44">
        <v>450</v>
      </c>
      <c r="E7" s="44">
        <v>500</v>
      </c>
      <c r="F7" s="58">
        <f t="shared" si="0"/>
        <v>0.1111111111111111</v>
      </c>
    </row>
    <row r="8" spans="3:6" ht="21" customHeight="1" x14ac:dyDescent="0.25">
      <c r="C8" s="43" t="s">
        <v>79</v>
      </c>
      <c r="D8" s="44">
        <v>360</v>
      </c>
      <c r="E8" s="44">
        <v>400</v>
      </c>
      <c r="F8" s="58">
        <f t="shared" si="0"/>
        <v>0.1111111111111111</v>
      </c>
    </row>
    <row r="9" spans="3:6" ht="21" customHeight="1" x14ac:dyDescent="0.25">
      <c r="C9" s="43" t="s">
        <v>80</v>
      </c>
      <c r="D9" s="44">
        <v>200</v>
      </c>
      <c r="E9" s="44">
        <v>230</v>
      </c>
      <c r="F9" s="58">
        <f t="shared" si="0"/>
        <v>0.15</v>
      </c>
    </row>
    <row r="10" spans="3:6" ht="21" customHeight="1" x14ac:dyDescent="0.25">
      <c r="C10" s="43" t="s">
        <v>81</v>
      </c>
      <c r="D10" s="44">
        <v>320</v>
      </c>
      <c r="E10" s="44">
        <v>300</v>
      </c>
      <c r="F10" s="58">
        <f t="shared" si="0"/>
        <v>-6.25E-2</v>
      </c>
    </row>
    <row r="11" spans="3:6" ht="21" customHeight="1" x14ac:dyDescent="0.25">
      <c r="C11" s="43" t="s">
        <v>82</v>
      </c>
      <c r="D11" s="44">
        <v>150</v>
      </c>
      <c r="E11" s="44">
        <v>100</v>
      </c>
      <c r="F11" s="58">
        <f t="shared" si="0"/>
        <v>-0.33333333333333331</v>
      </c>
    </row>
    <row r="12" spans="3:6" ht="21" customHeight="1" x14ac:dyDescent="0.25">
      <c r="C12" s="43" t="s">
        <v>83</v>
      </c>
      <c r="D12" s="44">
        <v>160</v>
      </c>
      <c r="E12" s="44">
        <v>150</v>
      </c>
      <c r="F12" s="58">
        <f t="shared" si="0"/>
        <v>-6.25E-2</v>
      </c>
    </row>
    <row r="13" spans="3:6" ht="21" customHeight="1" x14ac:dyDescent="0.25">
      <c r="C13" s="43" t="s">
        <v>84</v>
      </c>
      <c r="D13" s="44">
        <v>200</v>
      </c>
      <c r="E13" s="44">
        <v>230</v>
      </c>
      <c r="F13" s="58">
        <f t="shared" si="0"/>
        <v>0.15</v>
      </c>
    </row>
  </sheetData>
  <conditionalFormatting sqref="F5:F13">
    <cfRule type="iconSet" priority="1">
      <iconSet iconSet="3Arrows">
        <cfvo type="percent" val="0"/>
        <cfvo type="num" val="0"/>
        <cfvo type="num" val="0" gte="0"/>
      </iconSet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2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BD14-0CA8-46DA-B422-68B74BF96561}">
  <sheetPr codeName="Feuil3">
    <tabColor rgb="FF00B0F0"/>
  </sheetPr>
  <dimension ref="A1:J15"/>
  <sheetViews>
    <sheetView showGridLines="0" zoomScale="130" zoomScaleNormal="130" workbookViewId="0">
      <selection activeCell="H9" sqref="H9"/>
    </sheetView>
  </sheetViews>
  <sheetFormatPr baseColWidth="10" defaultRowHeight="15" x14ac:dyDescent="0.25"/>
  <cols>
    <col min="1" max="5" width="16" bestFit="1" customWidth="1"/>
    <col min="10" max="10" width="11.42578125" hidden="1" customWidth="1"/>
  </cols>
  <sheetData>
    <row r="1" spans="1:10" ht="18.75" x14ac:dyDescent="0.25">
      <c r="A1" s="39" t="s">
        <v>28</v>
      </c>
      <c r="B1" s="9"/>
      <c r="C1" s="64" t="s">
        <v>20</v>
      </c>
      <c r="D1" s="65"/>
      <c r="E1" s="66"/>
      <c r="J1" s="12" t="s">
        <v>23</v>
      </c>
    </row>
    <row r="2" spans="1:10" ht="18.75" x14ac:dyDescent="0.25">
      <c r="A2" s="11"/>
      <c r="B2" s="11"/>
      <c r="C2" s="67"/>
      <c r="D2" s="68"/>
      <c r="E2" s="69"/>
      <c r="J2" s="12" t="s">
        <v>25</v>
      </c>
    </row>
    <row r="3" spans="1:10" ht="18.75" x14ac:dyDescent="0.25">
      <c r="A3" s="11"/>
      <c r="B3" s="11"/>
      <c r="C3" s="11"/>
      <c r="D3" s="11"/>
      <c r="E3" s="11"/>
      <c r="J3" s="12" t="s">
        <v>28</v>
      </c>
    </row>
    <row r="4" spans="1:10" ht="18.75" x14ac:dyDescent="0.25">
      <c r="A4" s="17" t="s">
        <v>21</v>
      </c>
      <c r="B4" s="18" t="s">
        <v>22</v>
      </c>
      <c r="C4" s="18" t="s">
        <v>39</v>
      </c>
      <c r="D4" s="18" t="s">
        <v>40</v>
      </c>
      <c r="E4" s="19" t="s">
        <v>19</v>
      </c>
      <c r="J4" s="12" t="s">
        <v>30</v>
      </c>
    </row>
    <row r="5" spans="1:10" ht="18.75" x14ac:dyDescent="0.25">
      <c r="A5" s="15" t="s">
        <v>23</v>
      </c>
      <c r="B5" s="4" t="s">
        <v>24</v>
      </c>
      <c r="C5" s="13">
        <v>860000</v>
      </c>
      <c r="D5" s="13">
        <v>946000.00000000012</v>
      </c>
      <c r="E5" s="16">
        <f t="shared" ref="E5:E15" si="0">+C5+D5</f>
        <v>1806000</v>
      </c>
    </row>
    <row r="6" spans="1:10" ht="18.75" x14ac:dyDescent="0.25">
      <c r="A6" s="15" t="s">
        <v>25</v>
      </c>
      <c r="B6" s="4" t="s">
        <v>26</v>
      </c>
      <c r="C6" s="13">
        <v>160000</v>
      </c>
      <c r="D6" s="13">
        <v>176000</v>
      </c>
      <c r="E6" s="16">
        <f t="shared" si="0"/>
        <v>336000</v>
      </c>
    </row>
    <row r="7" spans="1:10" ht="18.75" x14ac:dyDescent="0.25">
      <c r="A7" s="15" t="s">
        <v>23</v>
      </c>
      <c r="B7" s="4" t="s">
        <v>27</v>
      </c>
      <c r="C7" s="13">
        <v>800000</v>
      </c>
      <c r="D7" s="13">
        <v>880000.00000000012</v>
      </c>
      <c r="E7" s="16">
        <f t="shared" si="0"/>
        <v>1680000</v>
      </c>
    </row>
    <row r="8" spans="1:10" ht="18.75" x14ac:dyDescent="0.25">
      <c r="A8" s="15" t="s">
        <v>28</v>
      </c>
      <c r="B8" s="4" t="s">
        <v>29</v>
      </c>
      <c r="C8" s="13">
        <v>100000</v>
      </c>
      <c r="D8" s="13">
        <v>100000</v>
      </c>
      <c r="E8" s="16">
        <f t="shared" si="0"/>
        <v>200000</v>
      </c>
    </row>
    <row r="9" spans="1:10" ht="18.75" x14ac:dyDescent="0.25">
      <c r="A9" s="15" t="s">
        <v>30</v>
      </c>
      <c r="B9" s="4" t="s">
        <v>31</v>
      </c>
      <c r="C9" s="13">
        <v>350000</v>
      </c>
      <c r="D9" s="13">
        <v>385000.00000000006</v>
      </c>
      <c r="E9" s="16">
        <f t="shared" si="0"/>
        <v>735000</v>
      </c>
    </row>
    <row r="10" spans="1:10" ht="18.75" x14ac:dyDescent="0.25">
      <c r="A10" s="15" t="s">
        <v>30</v>
      </c>
      <c r="B10" s="4" t="s">
        <v>32</v>
      </c>
      <c r="C10" s="13">
        <v>115000</v>
      </c>
      <c r="D10" s="13">
        <v>126500.00000000001</v>
      </c>
      <c r="E10" s="16">
        <f t="shared" si="0"/>
        <v>241500</v>
      </c>
    </row>
    <row r="11" spans="1:10" ht="18.75" x14ac:dyDescent="0.25">
      <c r="A11" s="15" t="s">
        <v>28</v>
      </c>
      <c r="B11" s="4" t="s">
        <v>33</v>
      </c>
      <c r="C11" s="13">
        <v>1500000</v>
      </c>
      <c r="D11" s="13">
        <v>1650000.0000000002</v>
      </c>
      <c r="E11" s="16">
        <f t="shared" si="0"/>
        <v>3150000</v>
      </c>
    </row>
    <row r="12" spans="1:10" ht="18.75" x14ac:dyDescent="0.25">
      <c r="A12" s="15" t="s">
        <v>28</v>
      </c>
      <c r="B12" s="4" t="s">
        <v>34</v>
      </c>
      <c r="C12" s="13">
        <v>220000</v>
      </c>
      <c r="D12" s="13">
        <v>242000.00000000003</v>
      </c>
      <c r="E12" s="16">
        <f t="shared" si="0"/>
        <v>462000</v>
      </c>
    </row>
    <row r="13" spans="1:10" ht="18.75" x14ac:dyDescent="0.25">
      <c r="A13" s="15" t="s">
        <v>23</v>
      </c>
      <c r="B13" s="4" t="s">
        <v>35</v>
      </c>
      <c r="C13" s="13">
        <v>900000</v>
      </c>
      <c r="D13" s="13">
        <v>990000.00000000012</v>
      </c>
      <c r="E13" s="16">
        <f t="shared" si="0"/>
        <v>1890000</v>
      </c>
    </row>
    <row r="14" spans="1:10" ht="18.75" x14ac:dyDescent="0.25">
      <c r="A14" s="15" t="s">
        <v>28</v>
      </c>
      <c r="B14" s="4" t="s">
        <v>36</v>
      </c>
      <c r="C14" s="13">
        <v>2140000</v>
      </c>
      <c r="D14" s="13">
        <v>2354000</v>
      </c>
      <c r="E14" s="16">
        <f t="shared" si="0"/>
        <v>4494000</v>
      </c>
    </row>
    <row r="15" spans="1:10" ht="18.75" x14ac:dyDescent="0.25">
      <c r="A15" s="20" t="s">
        <v>25</v>
      </c>
      <c r="B15" s="21" t="s">
        <v>37</v>
      </c>
      <c r="C15" s="22">
        <v>50000</v>
      </c>
      <c r="D15" s="22">
        <v>55000</v>
      </c>
      <c r="E15" s="23">
        <f t="shared" si="0"/>
        <v>105000</v>
      </c>
    </row>
  </sheetData>
  <mergeCells count="1">
    <mergeCell ref="C1:E2"/>
  </mergeCells>
  <conditionalFormatting sqref="A5:E15">
    <cfRule type="expression" dxfId="8" priority="1">
      <formula>$A5=$A$1</formula>
    </cfRule>
  </conditionalFormatting>
  <dataValidations count="1">
    <dataValidation type="list" allowBlank="1" showInputMessage="1" showErrorMessage="1" sqref="A1" xr:uid="{3CDAB209-7558-4498-8CBA-5BCF21F9889F}">
      <formula1>$J$1:$J$4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F7E1-DEAE-4F37-93DE-47505A79DD73}">
  <sheetPr codeName="Feuil6">
    <tabColor rgb="FF00B0F0"/>
  </sheetPr>
  <dimension ref="B4:I18"/>
  <sheetViews>
    <sheetView showGridLines="0" topLeftCell="B4" zoomScale="150" zoomScaleNormal="150" workbookViewId="0">
      <selection activeCell="H7" sqref="H7"/>
    </sheetView>
  </sheetViews>
  <sheetFormatPr baseColWidth="10" defaultRowHeight="15" x14ac:dyDescent="0.25"/>
  <cols>
    <col min="3" max="3" width="22.42578125" customWidth="1"/>
    <col min="4" max="4" width="11.7109375" bestFit="1" customWidth="1"/>
    <col min="5" max="5" width="10.42578125" bestFit="1" customWidth="1"/>
    <col min="6" max="6" width="10.28515625" bestFit="1" customWidth="1"/>
    <col min="7" max="7" width="11.5703125" bestFit="1" customWidth="1"/>
    <col min="8" max="8" width="27.28515625" customWidth="1"/>
  </cols>
  <sheetData>
    <row r="4" spans="2:9" x14ac:dyDescent="0.25">
      <c r="I4" s="55">
        <f ca="1">TODAY()</f>
        <v>45457</v>
      </c>
    </row>
    <row r="5" spans="2:9" x14ac:dyDescent="0.25">
      <c r="B5" s="60" t="s">
        <v>41</v>
      </c>
      <c r="C5" s="50" t="s">
        <v>815</v>
      </c>
      <c r="D5" s="40" t="s">
        <v>816</v>
      </c>
      <c r="E5" s="40" t="s">
        <v>817</v>
      </c>
      <c r="F5" s="40" t="s">
        <v>818</v>
      </c>
      <c r="G5" s="40" t="s">
        <v>819</v>
      </c>
      <c r="H5" s="40" t="s">
        <v>820</v>
      </c>
    </row>
    <row r="6" spans="2:9" x14ac:dyDescent="0.25">
      <c r="B6" s="50" t="s">
        <v>821</v>
      </c>
      <c r="C6" s="54">
        <v>45293</v>
      </c>
      <c r="E6">
        <v>6</v>
      </c>
      <c r="G6" s="55">
        <f>IF(Tableau6[[#This Row],[DATE 1]]="","",DATE(YEAR(Tableau6[[#This Row],[DATE 1]])+Tableau6[[#This Row],[ANNEE]],MONTH(Tableau6[[#This Row],[DATE 1]])+Tableau6[[#This Row],[MOIS]],DAY(Tableau6[[#This Row],[DATE 1]])+Tableau6[[#This Row],[JOUR]]))</f>
        <v>45475</v>
      </c>
      <c r="H6" s="40">
        <f ca="1">IF(Tableau6[[#This Row],[DATE 1]]="","",IFERROR(DATEDIF(TODAY(),Tableau6[[#This Row],[DATE 2]],"d"),"Fin de contrat"))</f>
        <v>18</v>
      </c>
    </row>
    <row r="7" spans="2:9" x14ac:dyDescent="0.25">
      <c r="B7" s="50" t="s">
        <v>822</v>
      </c>
      <c r="C7" s="54">
        <v>45448</v>
      </c>
      <c r="F7">
        <v>25</v>
      </c>
      <c r="G7" s="55">
        <f>IF(Tableau6[[#This Row],[DATE 1]]="","",DATE(YEAR(Tableau6[[#This Row],[DATE 1]])+Tableau6[[#This Row],[ANNEE]],MONTH(Tableau6[[#This Row],[DATE 1]])+Tableau6[[#This Row],[MOIS]],DAY(Tableau6[[#This Row],[DATE 1]])+Tableau6[[#This Row],[JOUR]]))</f>
        <v>45473</v>
      </c>
      <c r="H7" s="40">
        <f ca="1">IF(Tableau6[[#This Row],[DATE 1]]="","",IFERROR(DATEDIF(TODAY(),Tableau6[[#This Row],[DATE 2]],"d"),"Fin de contrat"))</f>
        <v>16</v>
      </c>
    </row>
    <row r="8" spans="2:9" x14ac:dyDescent="0.25">
      <c r="B8" s="50" t="s">
        <v>823</v>
      </c>
      <c r="C8" s="54">
        <v>44291</v>
      </c>
      <c r="D8">
        <v>3</v>
      </c>
      <c r="E8">
        <v>2</v>
      </c>
      <c r="F8">
        <v>1</v>
      </c>
      <c r="G8" s="55">
        <f>IF(Tableau6[[#This Row],[DATE 1]]="","",DATE(YEAR(Tableau6[[#This Row],[DATE 1]])+Tableau6[[#This Row],[ANNEE]],MONTH(Tableau6[[#This Row],[DATE 1]])+Tableau6[[#This Row],[MOIS]],DAY(Tableau6[[#This Row],[DATE 1]])+Tableau6[[#This Row],[JOUR]]))</f>
        <v>45449</v>
      </c>
      <c r="H8" s="40" t="str">
        <f ca="1">IF(Tableau6[[#This Row],[DATE 1]]="","",IFERROR(DATEDIF(TODAY(),Tableau6[[#This Row],[DATE 2]],"d"),"Fin de contrat"))</f>
        <v>Fin de contrat</v>
      </c>
    </row>
    <row r="9" spans="2:9" x14ac:dyDescent="0.25">
      <c r="B9" s="50" t="s">
        <v>824</v>
      </c>
      <c r="C9" s="54">
        <v>45430</v>
      </c>
      <c r="F9">
        <v>20</v>
      </c>
      <c r="G9" s="55">
        <f>IF(Tableau6[[#This Row],[DATE 1]]="","",DATE(YEAR(Tableau6[[#This Row],[DATE 1]])+Tableau6[[#This Row],[ANNEE]],MONTH(Tableau6[[#This Row],[DATE 1]])+Tableau6[[#This Row],[MOIS]],DAY(Tableau6[[#This Row],[DATE 1]])+Tableau6[[#This Row],[JOUR]]))</f>
        <v>45450</v>
      </c>
      <c r="H9" s="40" t="str">
        <f ca="1">IF(Tableau6[[#This Row],[DATE 1]]="","",IFERROR(DATEDIF(TODAY(),Tableau6[[#This Row],[DATE 2]],"d"),"Fin de contrat"))</f>
        <v>Fin de contrat</v>
      </c>
    </row>
    <row r="10" spans="2:9" x14ac:dyDescent="0.25">
      <c r="B10" s="50" t="s">
        <v>825</v>
      </c>
      <c r="C10" s="54">
        <v>45444</v>
      </c>
      <c r="F10">
        <v>6</v>
      </c>
      <c r="G10" s="55">
        <f>IF(Tableau6[[#This Row],[DATE 1]]="","",DATE(YEAR(Tableau6[[#This Row],[DATE 1]])+Tableau6[[#This Row],[ANNEE]],MONTH(Tableau6[[#This Row],[DATE 1]])+Tableau6[[#This Row],[MOIS]],DAY(Tableau6[[#This Row],[DATE 1]])+Tableau6[[#This Row],[JOUR]]))</f>
        <v>45450</v>
      </c>
      <c r="H10" s="40" t="str">
        <f ca="1">IF(Tableau6[[#This Row],[DATE 1]]="","",IFERROR(DATEDIF(TODAY(),Tableau6[[#This Row],[DATE 2]],"d"),"Fin de contrat"))</f>
        <v>Fin de contrat</v>
      </c>
    </row>
    <row r="11" spans="2:9" x14ac:dyDescent="0.25">
      <c r="B11" s="50" t="s">
        <v>826</v>
      </c>
      <c r="C11" s="54">
        <v>45455</v>
      </c>
      <c r="E11">
        <v>3</v>
      </c>
      <c r="G11" s="55">
        <f>IF(Tableau6[[#This Row],[DATE 1]]="","",DATE(YEAR(Tableau6[[#This Row],[DATE 1]])+Tableau6[[#This Row],[ANNEE]],MONTH(Tableau6[[#This Row],[DATE 1]])+Tableau6[[#This Row],[MOIS]],DAY(Tableau6[[#This Row],[DATE 1]])+Tableau6[[#This Row],[JOUR]]))</f>
        <v>45547</v>
      </c>
      <c r="H11" s="40">
        <f ca="1">IF(Tableau6[[#This Row],[DATE 1]]="","",IFERROR(DATEDIF(TODAY(),Tableau6[[#This Row],[DATE 2]],"d"),"Fin de contrat"))</f>
        <v>90</v>
      </c>
    </row>
    <row r="12" spans="2:9" x14ac:dyDescent="0.25">
      <c r="B12" s="50" t="s">
        <v>827</v>
      </c>
      <c r="C12" s="50"/>
      <c r="G12" s="55" t="str">
        <f>IF(Tableau6[[#This Row],[DATE 1]]="","",DATE(YEAR(Tableau6[[#This Row],[DATE 1]])+Tableau6[[#This Row],[ANNEE]],MONTH(Tableau6[[#This Row],[DATE 1]])+Tableau6[[#This Row],[MOIS]],DAY(Tableau6[[#This Row],[DATE 1]])+Tableau6[[#This Row],[JOUR]]))</f>
        <v/>
      </c>
      <c r="H12" s="40" t="str">
        <f ca="1">IF(Tableau6[[#This Row],[DATE 1]]="","",IFERROR(DATEDIF(TODAY(),Tableau6[[#This Row],[DATE 2]],"d"),"Fin de contrat"))</f>
        <v/>
      </c>
    </row>
    <row r="13" spans="2:9" x14ac:dyDescent="0.25">
      <c r="B13" s="50" t="s">
        <v>828</v>
      </c>
      <c r="C13" s="50"/>
      <c r="G13" s="55" t="str">
        <f>IF(Tableau6[[#This Row],[DATE 1]]="","",DATE(YEAR(Tableau6[[#This Row],[DATE 1]])+Tableau6[[#This Row],[ANNEE]],MONTH(Tableau6[[#This Row],[DATE 1]])+Tableau6[[#This Row],[MOIS]],DAY(Tableau6[[#This Row],[DATE 1]])+Tableau6[[#This Row],[JOUR]]))</f>
        <v/>
      </c>
      <c r="H13" s="40" t="str">
        <f ca="1">IF(Tableau6[[#This Row],[DATE 1]]="","",IFERROR(DATEDIF(TODAY(),Tableau6[[#This Row],[DATE 2]],"d"),"Fin de contrat"))</f>
        <v/>
      </c>
    </row>
    <row r="14" spans="2:9" x14ac:dyDescent="0.25">
      <c r="B14" s="50" t="s">
        <v>829</v>
      </c>
      <c r="C14" s="50"/>
      <c r="G14" s="55" t="str">
        <f>IF(Tableau6[[#This Row],[DATE 1]]="","",DATE(YEAR(Tableau6[[#This Row],[DATE 1]])+Tableau6[[#This Row],[ANNEE]],MONTH(Tableau6[[#This Row],[DATE 1]])+Tableau6[[#This Row],[MOIS]],DAY(Tableau6[[#This Row],[DATE 1]])+Tableau6[[#This Row],[JOUR]]))</f>
        <v/>
      </c>
      <c r="H14" s="40" t="str">
        <f ca="1">IF(Tableau6[[#This Row],[DATE 1]]="","",IFERROR(DATEDIF(TODAY(),Tableau6[[#This Row],[DATE 2]],"d"),"Fin de contrat"))</f>
        <v/>
      </c>
    </row>
    <row r="15" spans="2:9" x14ac:dyDescent="0.25">
      <c r="B15" s="50" t="s">
        <v>830</v>
      </c>
      <c r="C15" s="50"/>
      <c r="G15" s="55" t="str">
        <f>IF(Tableau6[[#This Row],[DATE 1]]="","",DATE(YEAR(Tableau6[[#This Row],[DATE 1]])+Tableau6[[#This Row],[ANNEE]],MONTH(Tableau6[[#This Row],[DATE 1]])+Tableau6[[#This Row],[MOIS]],DAY(Tableau6[[#This Row],[DATE 1]])+Tableau6[[#This Row],[JOUR]]))</f>
        <v/>
      </c>
      <c r="H15" s="40" t="str">
        <f ca="1">IF(Tableau6[[#This Row],[DATE 1]]="","",IFERROR(DATEDIF(TODAY(),Tableau6[[#This Row],[DATE 2]],"d"),"Fin de contrat"))</f>
        <v/>
      </c>
    </row>
    <row r="16" spans="2:9" x14ac:dyDescent="0.25">
      <c r="B16" s="50" t="s">
        <v>831</v>
      </c>
      <c r="C16" s="50"/>
      <c r="G16" s="55" t="str">
        <f>IF(Tableau6[[#This Row],[DATE 1]]="","",DATE(YEAR(Tableau6[[#This Row],[DATE 1]])+Tableau6[[#This Row],[ANNEE]],MONTH(Tableau6[[#This Row],[DATE 1]])+Tableau6[[#This Row],[MOIS]],DAY(Tableau6[[#This Row],[DATE 1]])+Tableau6[[#This Row],[JOUR]]))</f>
        <v/>
      </c>
      <c r="H16" s="40" t="str">
        <f ca="1">IF(Tableau6[[#This Row],[DATE 1]]="","",IFERROR(DATEDIF(TODAY(),Tableau6[[#This Row],[DATE 2]],"d"),"Fin de contrat"))</f>
        <v/>
      </c>
    </row>
    <row r="17" spans="2:8" x14ac:dyDescent="0.25">
      <c r="B17" s="50" t="s">
        <v>832</v>
      </c>
      <c r="C17" s="50"/>
      <c r="G17" s="55" t="str">
        <f>IF(Tableau6[[#This Row],[DATE 1]]="","",DATE(YEAR(Tableau6[[#This Row],[DATE 1]])+Tableau6[[#This Row],[ANNEE]],MONTH(Tableau6[[#This Row],[DATE 1]])+Tableau6[[#This Row],[MOIS]],DAY(Tableau6[[#This Row],[DATE 1]])+Tableau6[[#This Row],[JOUR]]))</f>
        <v/>
      </c>
      <c r="H17" s="40" t="str">
        <f ca="1">IF(Tableau6[[#This Row],[DATE 1]]="","",IFERROR(DATEDIF(TODAY(),Tableau6[[#This Row],[DATE 2]],"d"),"Fin de contrat"))</f>
        <v/>
      </c>
    </row>
    <row r="18" spans="2:8" x14ac:dyDescent="0.25">
      <c r="B18" s="50"/>
      <c r="C18" s="50"/>
      <c r="G18" s="55" t="str">
        <f>IF(Tableau6[[#This Row],[DATE 1]]="","",DATE(YEAR(Tableau6[[#This Row],[DATE 1]])+Tableau6[[#This Row],[ANNEE]],MONTH(Tableau6[[#This Row],[DATE 1]])+Tableau6[[#This Row],[MOIS]],DAY(Tableau6[[#This Row],[DATE 1]])+Tableau6[[#This Row],[JOUR]]))</f>
        <v/>
      </c>
      <c r="H18" s="40" t="str">
        <f ca="1">IF(Tableau6[[#This Row],[DATE 1]]="","",IFERROR(DATEDIF(TODAY(),Tableau6[[#This Row],[DATE 2]],"d"),"Fin de contrat"))</f>
        <v/>
      </c>
    </row>
  </sheetData>
  <conditionalFormatting sqref="B6:H18">
    <cfRule type="expression" dxfId="7" priority="1">
      <formula>$H6&lt;20</formula>
    </cfRule>
    <cfRule type="expression" dxfId="6" priority="2">
      <formula>$H6="Fin de contrat"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EA39D-EE6C-4BA5-AFD3-CE09A9241BD3}">
  <sheetPr codeName="Feuil5">
    <tabColor rgb="FF00B0F0"/>
  </sheetPr>
  <dimension ref="A1:L857"/>
  <sheetViews>
    <sheetView showGridLines="0" zoomScale="130" zoomScaleNormal="130" zoomScaleSheetLayoutView="32" workbookViewId="0">
      <selection activeCell="B7" sqref="B7"/>
    </sheetView>
  </sheetViews>
  <sheetFormatPr baseColWidth="10" defaultColWidth="10.42578125" defaultRowHeight="15" x14ac:dyDescent="0.25"/>
  <cols>
    <col min="1" max="1" width="12.7109375" bestFit="1" customWidth="1"/>
    <col min="2" max="2" width="25.140625" bestFit="1" customWidth="1"/>
    <col min="3" max="3" width="23.42578125" bestFit="1" customWidth="1"/>
    <col min="4" max="4" width="12.42578125" bestFit="1" customWidth="1"/>
    <col min="5" max="5" width="6.42578125" bestFit="1" customWidth="1"/>
    <col min="6" max="6" width="10" customWidth="1"/>
    <col min="7" max="7" width="18.7109375" bestFit="1" customWidth="1"/>
    <col min="8" max="8" width="13.42578125" bestFit="1" customWidth="1"/>
    <col min="9" max="9" width="9.7109375" bestFit="1" customWidth="1"/>
    <col min="10" max="10" width="14.140625" bestFit="1" customWidth="1"/>
  </cols>
  <sheetData>
    <row r="1" spans="1:12" x14ac:dyDescent="0.25">
      <c r="A1" s="45" t="s">
        <v>85</v>
      </c>
      <c r="B1" s="46" t="s">
        <v>1</v>
      </c>
      <c r="C1" s="46" t="s">
        <v>86</v>
      </c>
      <c r="D1" s="47" t="s">
        <v>87</v>
      </c>
      <c r="E1" s="46" t="s">
        <v>88</v>
      </c>
      <c r="F1" s="46" t="s">
        <v>89</v>
      </c>
      <c r="G1" s="47" t="s">
        <v>90</v>
      </c>
      <c r="H1" s="47" t="s">
        <v>91</v>
      </c>
      <c r="I1" s="48" t="s">
        <v>92</v>
      </c>
      <c r="J1" s="47" t="s">
        <v>93</v>
      </c>
    </row>
    <row r="2" spans="1:12" x14ac:dyDescent="0.25">
      <c r="A2" s="49" t="s">
        <v>94</v>
      </c>
      <c r="B2" s="50" t="s">
        <v>44</v>
      </c>
      <c r="C2" s="50" t="s">
        <v>95</v>
      </c>
      <c r="D2" s="50" t="s">
        <v>96</v>
      </c>
      <c r="E2" s="51">
        <f ca="1">IF(Tableau1[[#This Row],[Naissance]]="",0,DATEDIF(Tableau1[[#This Row],[Naissance]],TODAY(),"y"))</f>
        <v>18</v>
      </c>
      <c r="F2" s="50" t="s">
        <v>97</v>
      </c>
      <c r="G2" s="50" t="s">
        <v>98</v>
      </c>
      <c r="H2" s="51">
        <f ca="1">DATEDIF(Tableau1[[#This Row],[date recrutement]],TODAY(),"y")</f>
        <v>0</v>
      </c>
      <c r="I2" s="50" t="s">
        <v>42</v>
      </c>
      <c r="J2" s="52">
        <v>77000</v>
      </c>
    </row>
    <row r="3" spans="1:12" x14ac:dyDescent="0.25">
      <c r="A3" s="49" t="s">
        <v>99</v>
      </c>
      <c r="B3" s="50" t="s">
        <v>45</v>
      </c>
      <c r="C3" s="50" t="s">
        <v>100</v>
      </c>
      <c r="D3" s="50" t="s">
        <v>101</v>
      </c>
      <c r="E3" s="51">
        <f ca="1">IF(Tableau1[[#This Row],[Naissance]]="",0,DATEDIF(Tableau1[[#This Row],[Naissance]],TODAY(),"y"))</f>
        <v>27</v>
      </c>
      <c r="F3" s="50" t="s">
        <v>97</v>
      </c>
      <c r="G3" s="50" t="s">
        <v>102</v>
      </c>
      <c r="H3" s="51">
        <f ca="1">DATEDIF(Tableau1[[#This Row],[date recrutement]],TODAY(),"y")</f>
        <v>0</v>
      </c>
      <c r="I3" s="50" t="s">
        <v>42</v>
      </c>
      <c r="J3" s="52">
        <v>114000</v>
      </c>
    </row>
    <row r="4" spans="1:12" x14ac:dyDescent="0.25">
      <c r="A4" s="49" t="s">
        <v>103</v>
      </c>
      <c r="B4" s="50" t="s">
        <v>46</v>
      </c>
      <c r="C4" s="50" t="s">
        <v>104</v>
      </c>
      <c r="D4" s="50" t="s">
        <v>105</v>
      </c>
      <c r="E4" s="51">
        <f ca="1">IF(Tableau1[[#This Row],[Naissance]]="",0,DATEDIF(Tableau1[[#This Row],[Naissance]],TODAY(),"y"))</f>
        <v>61</v>
      </c>
      <c r="F4" s="50" t="s">
        <v>97</v>
      </c>
      <c r="G4" s="50" t="s">
        <v>106</v>
      </c>
      <c r="H4" s="51">
        <f ca="1">DATEDIF(Tableau1[[#This Row],[date recrutement]],TODAY(),"y")</f>
        <v>0</v>
      </c>
      <c r="I4" s="50" t="s">
        <v>42</v>
      </c>
      <c r="J4" s="52">
        <v>127000</v>
      </c>
    </row>
    <row r="5" spans="1:12" x14ac:dyDescent="0.25">
      <c r="A5" s="49" t="s">
        <v>107</v>
      </c>
      <c r="B5" s="50" t="s">
        <v>47</v>
      </c>
      <c r="C5" s="50" t="s">
        <v>108</v>
      </c>
      <c r="D5" s="50" t="s">
        <v>109</v>
      </c>
      <c r="E5" s="51">
        <f ca="1">IF(Tableau1[[#This Row],[Naissance]]="",0,DATEDIF(Tableau1[[#This Row],[Naissance]],TODAY(),"y"))</f>
        <v>40</v>
      </c>
      <c r="F5" s="50" t="s">
        <v>97</v>
      </c>
      <c r="G5" s="50" t="s">
        <v>110</v>
      </c>
      <c r="H5" s="51">
        <f ca="1">DATEDIF(Tableau1[[#This Row],[date recrutement]],TODAY(),"y")</f>
        <v>8</v>
      </c>
      <c r="I5" s="50" t="s">
        <v>42</v>
      </c>
      <c r="J5" s="52">
        <v>88000</v>
      </c>
    </row>
    <row r="6" spans="1:12" x14ac:dyDescent="0.25">
      <c r="A6" s="49" t="s">
        <v>111</v>
      </c>
      <c r="B6" s="50" t="s">
        <v>48</v>
      </c>
      <c r="C6" s="50" t="s">
        <v>112</v>
      </c>
      <c r="D6" s="50" t="s">
        <v>113</v>
      </c>
      <c r="E6" s="51">
        <f ca="1">IF(Tableau1[[#This Row],[Naissance]]="",0,DATEDIF(Tableau1[[#This Row],[Naissance]],TODAY(),"y"))</f>
        <v>56</v>
      </c>
      <c r="F6" s="50" t="s">
        <v>97</v>
      </c>
      <c r="G6" s="50" t="s">
        <v>114</v>
      </c>
      <c r="H6" s="51">
        <f ca="1">DATEDIF(Tableau1[[#This Row],[date recrutement]],TODAY(),"y")</f>
        <v>0</v>
      </c>
      <c r="I6" s="50" t="s">
        <v>42</v>
      </c>
      <c r="J6" s="53">
        <v>171000</v>
      </c>
    </row>
    <row r="7" spans="1:12" x14ac:dyDescent="0.25">
      <c r="A7" s="49" t="s">
        <v>115</v>
      </c>
      <c r="B7" s="50" t="s">
        <v>49</v>
      </c>
      <c r="C7" s="50" t="s">
        <v>116</v>
      </c>
      <c r="D7" s="50" t="s">
        <v>117</v>
      </c>
      <c r="E7" s="51">
        <f ca="1">IF(Tableau1[[#This Row],[Naissance]]="",0,DATEDIF(Tableau1[[#This Row],[Naissance]],TODAY(),"y"))</f>
        <v>49</v>
      </c>
      <c r="F7" s="50" t="s">
        <v>118</v>
      </c>
      <c r="G7" s="50" t="s">
        <v>119</v>
      </c>
      <c r="H7" s="51">
        <f ca="1">DATEDIF(Tableau1[[#This Row],[date recrutement]],TODAY(),"y")</f>
        <v>26</v>
      </c>
      <c r="I7" s="50" t="s">
        <v>43</v>
      </c>
      <c r="J7" s="53">
        <v>92000</v>
      </c>
    </row>
    <row r="8" spans="1:12" x14ac:dyDescent="0.25">
      <c r="A8" s="49" t="s">
        <v>120</v>
      </c>
      <c r="B8" s="50" t="s">
        <v>50</v>
      </c>
      <c r="C8" s="50" t="s">
        <v>121</v>
      </c>
      <c r="D8" s="50" t="s">
        <v>122</v>
      </c>
      <c r="E8" s="51">
        <f ca="1">IF(Tableau1[[#This Row],[Naissance]]="",0,DATEDIF(Tableau1[[#This Row],[Naissance]],TODAY(),"y"))</f>
        <v>39</v>
      </c>
      <c r="F8" s="50" t="s">
        <v>97</v>
      </c>
      <c r="G8" s="50" t="s">
        <v>123</v>
      </c>
      <c r="H8" s="51">
        <f ca="1">DATEDIF(Tableau1[[#This Row],[date recrutement]],TODAY(),"y")</f>
        <v>2</v>
      </c>
      <c r="I8" s="50" t="s">
        <v>43</v>
      </c>
      <c r="J8" s="53">
        <v>81000</v>
      </c>
      <c r="L8" t="s">
        <v>833</v>
      </c>
    </row>
    <row r="9" spans="1:12" x14ac:dyDescent="0.25">
      <c r="A9" s="49" t="s">
        <v>124</v>
      </c>
      <c r="B9" s="50" t="s">
        <v>51</v>
      </c>
      <c r="C9" s="50" t="s">
        <v>125</v>
      </c>
      <c r="D9" s="54">
        <v>37300</v>
      </c>
      <c r="E9" s="51">
        <f ca="1">IF(Tableau1[[#This Row],[Naissance]]="",0,DATEDIF(Tableau1[[#This Row],[Naissance]],TODAY(),"y"))</f>
        <v>22</v>
      </c>
      <c r="F9" s="50" t="s">
        <v>97</v>
      </c>
      <c r="G9" s="50" t="s">
        <v>126</v>
      </c>
      <c r="H9" s="51">
        <f ca="1">DATEDIF(Tableau1[[#This Row],[date recrutement]],TODAY(),"y")</f>
        <v>0</v>
      </c>
      <c r="I9" s="50" t="s">
        <v>42</v>
      </c>
      <c r="J9" s="53">
        <v>112000</v>
      </c>
    </row>
    <row r="10" spans="1:12" x14ac:dyDescent="0.25">
      <c r="A10" s="49" t="s">
        <v>127</v>
      </c>
      <c r="B10" s="50" t="s">
        <v>52</v>
      </c>
      <c r="C10" s="50" t="s">
        <v>128</v>
      </c>
      <c r="D10" s="50" t="s">
        <v>129</v>
      </c>
      <c r="E10" s="51">
        <f ca="1">IF(Tableau1[[#This Row],[Naissance]]="",0,DATEDIF(Tableau1[[#This Row],[Naissance]],TODAY(),"y"))</f>
        <v>33</v>
      </c>
      <c r="F10" s="50" t="s">
        <v>118</v>
      </c>
      <c r="G10" s="50" t="s">
        <v>130</v>
      </c>
      <c r="H10" s="51">
        <f ca="1">DATEDIF(Tableau1[[#This Row],[date recrutement]],TODAY(),"y")</f>
        <v>2</v>
      </c>
      <c r="I10" s="50" t="s">
        <v>43</v>
      </c>
      <c r="J10" s="53">
        <v>99000</v>
      </c>
    </row>
    <row r="11" spans="1:12" x14ac:dyDescent="0.25">
      <c r="A11" s="49" t="s">
        <v>131</v>
      </c>
      <c r="B11" s="50" t="s">
        <v>53</v>
      </c>
      <c r="C11" s="50" t="s">
        <v>132</v>
      </c>
      <c r="D11" s="50" t="s">
        <v>133</v>
      </c>
      <c r="E11" s="51">
        <f ca="1">IF(Tableau1[[#This Row],[Naissance]]="",0,DATEDIF(Tableau1[[#This Row],[Naissance]],TODAY(),"y"))</f>
        <v>28</v>
      </c>
      <c r="F11" s="50" t="s">
        <v>97</v>
      </c>
      <c r="G11" s="50" t="s">
        <v>134</v>
      </c>
      <c r="H11" s="51">
        <f ca="1">DATEDIF(Tableau1[[#This Row],[date recrutement]],TODAY(),"y")</f>
        <v>1</v>
      </c>
      <c r="I11" s="50" t="s">
        <v>42</v>
      </c>
      <c r="J11" s="52">
        <v>171000</v>
      </c>
      <c r="L11" t="s">
        <v>834</v>
      </c>
    </row>
    <row r="12" spans="1:12" x14ac:dyDescent="0.25">
      <c r="A12" s="49" t="s">
        <v>135</v>
      </c>
      <c r="B12" s="50" t="s">
        <v>54</v>
      </c>
      <c r="C12" s="50" t="s">
        <v>136</v>
      </c>
      <c r="D12" s="50" t="s">
        <v>137</v>
      </c>
      <c r="E12" s="51">
        <f ca="1">IF(Tableau1[[#This Row],[Naissance]]="",0,DATEDIF(Tableau1[[#This Row],[Naissance]],TODAY(),"y"))</f>
        <v>52</v>
      </c>
      <c r="F12" s="50" t="s">
        <v>118</v>
      </c>
      <c r="G12" s="50" t="s">
        <v>138</v>
      </c>
      <c r="H12" s="51">
        <f ca="1">DATEDIF(Tableau1[[#This Row],[date recrutement]],TODAY(),"y")</f>
        <v>30</v>
      </c>
      <c r="I12" s="50" t="s">
        <v>43</v>
      </c>
      <c r="J12" s="52">
        <v>68000</v>
      </c>
      <c r="L12" t="s">
        <v>835</v>
      </c>
    </row>
    <row r="13" spans="1:12" x14ac:dyDescent="0.25">
      <c r="A13" s="49" t="s">
        <v>139</v>
      </c>
      <c r="B13" s="50" t="s">
        <v>55</v>
      </c>
      <c r="C13" s="50" t="s">
        <v>140</v>
      </c>
      <c r="D13" s="50" t="s">
        <v>141</v>
      </c>
      <c r="E13" s="51">
        <f ca="1">IF(Tableau1[[#This Row],[Naissance]]="",0,DATEDIF(Tableau1[[#This Row],[Naissance]],TODAY(),"y"))</f>
        <v>39</v>
      </c>
      <c r="F13" s="50" t="s">
        <v>97</v>
      </c>
      <c r="G13" s="50" t="s">
        <v>142</v>
      </c>
      <c r="H13" s="51">
        <f ca="1">DATEDIF(Tableau1[[#This Row],[date recrutement]],TODAY(),"y")</f>
        <v>0</v>
      </c>
      <c r="I13" s="50" t="s">
        <v>42</v>
      </c>
      <c r="J13" s="52">
        <v>120000</v>
      </c>
    </row>
    <row r="14" spans="1:12" x14ac:dyDescent="0.25">
      <c r="A14" s="49" t="s">
        <v>143</v>
      </c>
      <c r="B14" s="50" t="s">
        <v>56</v>
      </c>
      <c r="C14" s="50" t="s">
        <v>144</v>
      </c>
      <c r="D14" s="50" t="s">
        <v>145</v>
      </c>
      <c r="E14" s="51">
        <f ca="1">IF(Tableau1[[#This Row],[Naissance]]="",0,DATEDIF(Tableau1[[#This Row],[Naissance]],TODAY(),"y"))</f>
        <v>54</v>
      </c>
      <c r="F14" s="50" t="s">
        <v>97</v>
      </c>
      <c r="G14" s="50" t="s">
        <v>146</v>
      </c>
      <c r="H14" s="51">
        <f ca="1">DATEDIF(Tableau1[[#This Row],[date recrutement]],TODAY(),"y")</f>
        <v>0</v>
      </c>
      <c r="I14" s="50" t="s">
        <v>43</v>
      </c>
      <c r="J14" s="52">
        <v>61000</v>
      </c>
    </row>
    <row r="15" spans="1:12" x14ac:dyDescent="0.25">
      <c r="A15" s="49" t="s">
        <v>147</v>
      </c>
      <c r="B15" s="50" t="s">
        <v>148</v>
      </c>
      <c r="C15" s="50" t="s">
        <v>149</v>
      </c>
      <c r="D15" s="50" t="s">
        <v>150</v>
      </c>
      <c r="E15" s="51">
        <f ca="1">IF(Tableau1[[#This Row],[Naissance]]="",0,DATEDIF(Tableau1[[#This Row],[Naissance]],TODAY(),"y"))</f>
        <v>37</v>
      </c>
      <c r="F15" s="50" t="s">
        <v>118</v>
      </c>
      <c r="G15" s="50" t="s">
        <v>151</v>
      </c>
      <c r="H15" s="51">
        <f ca="1">DATEDIF(Tableau1[[#This Row],[date recrutement]],TODAY(),"y")</f>
        <v>1</v>
      </c>
      <c r="I15" s="50" t="s">
        <v>43</v>
      </c>
      <c r="J15" s="52">
        <v>243000</v>
      </c>
    </row>
    <row r="16" spans="1:12" x14ac:dyDescent="0.25">
      <c r="A16" s="49" t="s">
        <v>152</v>
      </c>
      <c r="B16" s="50" t="s">
        <v>153</v>
      </c>
      <c r="C16" s="50" t="s">
        <v>154</v>
      </c>
      <c r="D16" s="50" t="s">
        <v>155</v>
      </c>
      <c r="E16" s="51">
        <f ca="1">IF(Tableau1[[#This Row],[Naissance]]="",0,DATEDIF(Tableau1[[#This Row],[Naissance]],TODAY(),"y"))</f>
        <v>35</v>
      </c>
      <c r="F16" s="50" t="s">
        <v>118</v>
      </c>
      <c r="G16" s="50" t="s">
        <v>156</v>
      </c>
      <c r="H16" s="51">
        <f ca="1">DATEDIF(Tableau1[[#This Row],[date recrutement]],TODAY(),"y")</f>
        <v>3</v>
      </c>
      <c r="I16" s="50" t="s">
        <v>43</v>
      </c>
      <c r="J16" s="52">
        <v>77000</v>
      </c>
    </row>
    <row r="17" spans="1:10" x14ac:dyDescent="0.25">
      <c r="A17" s="49" t="s">
        <v>157</v>
      </c>
      <c r="B17" s="50" t="s">
        <v>158</v>
      </c>
      <c r="C17" s="50" t="s">
        <v>159</v>
      </c>
      <c r="D17" s="50" t="s">
        <v>160</v>
      </c>
      <c r="E17" s="51">
        <f ca="1">IF(Tableau1[[#This Row],[Naissance]]="",0,DATEDIF(Tableau1[[#This Row],[Naissance]],TODAY(),"y"))</f>
        <v>41</v>
      </c>
      <c r="F17" s="50" t="s">
        <v>118</v>
      </c>
      <c r="G17" s="50" t="s">
        <v>161</v>
      </c>
      <c r="H17" s="51">
        <f ca="1">DATEDIF(Tableau1[[#This Row],[date recrutement]],TODAY(),"y")</f>
        <v>7</v>
      </c>
      <c r="I17" s="50" t="s">
        <v>42</v>
      </c>
      <c r="J17" s="52">
        <v>168000</v>
      </c>
    </row>
    <row r="18" spans="1:10" x14ac:dyDescent="0.25">
      <c r="A18" s="49" t="s">
        <v>162</v>
      </c>
      <c r="B18" s="50" t="s">
        <v>163</v>
      </c>
      <c r="C18" s="50" t="s">
        <v>164</v>
      </c>
      <c r="D18" s="50" t="s">
        <v>165</v>
      </c>
      <c r="E18" s="51">
        <f ca="1">IF(Tableau1[[#This Row],[Naissance]]="",0,DATEDIF(Tableau1[[#This Row],[Naissance]],TODAY(),"y"))</f>
        <v>44</v>
      </c>
      <c r="F18" s="50" t="s">
        <v>118</v>
      </c>
      <c r="G18" s="50" t="s">
        <v>166</v>
      </c>
      <c r="H18" s="51">
        <f ca="1">DATEDIF(Tableau1[[#This Row],[date recrutement]],TODAY(),"y")</f>
        <v>3</v>
      </c>
      <c r="I18" s="50" t="s">
        <v>42</v>
      </c>
      <c r="J18" s="52">
        <v>97000</v>
      </c>
    </row>
    <row r="19" spans="1:10" x14ac:dyDescent="0.25">
      <c r="A19" s="49" t="s">
        <v>167</v>
      </c>
      <c r="B19" s="50" t="s">
        <v>168</v>
      </c>
      <c r="C19" s="50" t="s">
        <v>169</v>
      </c>
      <c r="D19" s="50" t="s">
        <v>170</v>
      </c>
      <c r="E19" s="51">
        <f ca="1">IF(Tableau1[[#This Row],[Naissance]]="",0,DATEDIF(Tableau1[[#This Row],[Naissance]],TODAY(),"y"))</f>
        <v>63</v>
      </c>
      <c r="F19" s="50" t="s">
        <v>118</v>
      </c>
      <c r="G19" s="50" t="s">
        <v>171</v>
      </c>
      <c r="H19" s="51">
        <f ca="1">DATEDIF(Tableau1[[#This Row],[date recrutement]],TODAY(),"y")</f>
        <v>20</v>
      </c>
      <c r="I19" s="50" t="s">
        <v>43</v>
      </c>
      <c r="J19" s="52">
        <v>95000</v>
      </c>
    </row>
    <row r="20" spans="1:10" x14ac:dyDescent="0.25">
      <c r="A20" s="49" t="s">
        <v>172</v>
      </c>
      <c r="B20" s="50" t="s">
        <v>173</v>
      </c>
      <c r="C20" s="50" t="s">
        <v>174</v>
      </c>
      <c r="D20" s="50" t="s">
        <v>175</v>
      </c>
      <c r="E20" s="51">
        <f ca="1">IF(Tableau1[[#This Row],[Naissance]]="",0,DATEDIF(Tableau1[[#This Row],[Naissance]],TODAY(),"y"))</f>
        <v>58</v>
      </c>
      <c r="F20" s="50" t="s">
        <v>97</v>
      </c>
      <c r="G20" s="50" t="s">
        <v>176</v>
      </c>
      <c r="H20" s="51">
        <f ca="1">DATEDIF(Tableau1[[#This Row],[date recrutement]],TODAY(),"y")</f>
        <v>16</v>
      </c>
      <c r="I20" s="50" t="s">
        <v>43</v>
      </c>
      <c r="J20" s="52">
        <v>97000</v>
      </c>
    </row>
    <row r="21" spans="1:10" x14ac:dyDescent="0.25">
      <c r="A21" s="49" t="s">
        <v>177</v>
      </c>
      <c r="B21" s="50" t="s">
        <v>178</v>
      </c>
      <c r="C21" s="50" t="s">
        <v>179</v>
      </c>
      <c r="D21" s="50" t="s">
        <v>180</v>
      </c>
      <c r="E21" s="51">
        <f ca="1">IF(Tableau1[[#This Row],[Naissance]]="",0,DATEDIF(Tableau1[[#This Row],[Naissance]],TODAY(),"y"))</f>
        <v>41</v>
      </c>
      <c r="F21" s="50" t="s">
        <v>118</v>
      </c>
      <c r="G21" s="50" t="s">
        <v>181</v>
      </c>
      <c r="H21" s="51">
        <f ca="1">DATEDIF(Tableau1[[#This Row],[date recrutement]],TODAY(),"y")</f>
        <v>19</v>
      </c>
      <c r="I21" s="50" t="s">
        <v>43</v>
      </c>
      <c r="J21" s="52">
        <v>103000</v>
      </c>
    </row>
    <row r="22" spans="1:10" x14ac:dyDescent="0.25">
      <c r="A22" s="49" t="s">
        <v>182</v>
      </c>
      <c r="B22" s="50" t="s">
        <v>183</v>
      </c>
      <c r="C22" s="50" t="s">
        <v>184</v>
      </c>
      <c r="D22" s="50" t="s">
        <v>185</v>
      </c>
      <c r="E22" s="51">
        <f ca="1">IF(Tableau1[[#This Row],[Naissance]]="",0,DATEDIF(Tableau1[[#This Row],[Naissance]],TODAY(),"y"))</f>
        <v>19</v>
      </c>
      <c r="F22" s="50" t="s">
        <v>97</v>
      </c>
      <c r="G22" s="50" t="s">
        <v>186</v>
      </c>
      <c r="H22" s="51">
        <f ca="1">DATEDIF(Tableau1[[#This Row],[date recrutement]],TODAY(),"y")</f>
        <v>0</v>
      </c>
      <c r="I22" s="50" t="s">
        <v>42</v>
      </c>
      <c r="J22" s="52">
        <v>91000</v>
      </c>
    </row>
    <row r="23" spans="1:10" x14ac:dyDescent="0.25">
      <c r="A23" s="49" t="s">
        <v>187</v>
      </c>
      <c r="B23" s="50" t="s">
        <v>188</v>
      </c>
      <c r="C23" s="50" t="s">
        <v>189</v>
      </c>
      <c r="D23" s="50" t="s">
        <v>190</v>
      </c>
      <c r="E23" s="51">
        <f ca="1">IF(Tableau1[[#This Row],[Naissance]]="",0,DATEDIF(Tableau1[[#This Row],[Naissance]],TODAY(),"y"))</f>
        <v>32</v>
      </c>
      <c r="F23" s="50" t="s">
        <v>97</v>
      </c>
      <c r="G23" s="50" t="s">
        <v>191</v>
      </c>
      <c r="H23" s="51">
        <f ca="1">DATEDIF(Tableau1[[#This Row],[date recrutement]],TODAY(),"y")</f>
        <v>0</v>
      </c>
      <c r="I23" s="50" t="s">
        <v>42</v>
      </c>
      <c r="J23" s="52">
        <v>101000</v>
      </c>
    </row>
    <row r="24" spans="1:10" x14ac:dyDescent="0.25">
      <c r="A24" s="49" t="s">
        <v>192</v>
      </c>
      <c r="B24" s="50" t="s">
        <v>193</v>
      </c>
      <c r="C24" s="50" t="s">
        <v>194</v>
      </c>
      <c r="D24" s="50" t="s">
        <v>195</v>
      </c>
      <c r="E24" s="51">
        <f ca="1">IF(Tableau1[[#This Row],[Naissance]]="",0,DATEDIF(Tableau1[[#This Row],[Naissance]],TODAY(),"y"))</f>
        <v>57</v>
      </c>
      <c r="F24" s="50" t="s">
        <v>118</v>
      </c>
      <c r="G24" s="50" t="s">
        <v>196</v>
      </c>
      <c r="H24" s="51">
        <f ca="1">DATEDIF(Tableau1[[#This Row],[date recrutement]],TODAY(),"y")</f>
        <v>3</v>
      </c>
      <c r="I24" s="50" t="s">
        <v>42</v>
      </c>
      <c r="J24" s="52">
        <v>63000</v>
      </c>
    </row>
    <row r="25" spans="1:10" x14ac:dyDescent="0.25">
      <c r="A25" s="49" t="s">
        <v>197</v>
      </c>
      <c r="B25" s="50" t="s">
        <v>198</v>
      </c>
      <c r="C25" s="50" t="s">
        <v>199</v>
      </c>
      <c r="D25" s="50" t="s">
        <v>200</v>
      </c>
      <c r="E25" s="51">
        <f ca="1">IF(Tableau1[[#This Row],[Naissance]]="",0,DATEDIF(Tableau1[[#This Row],[Naissance]],TODAY(),"y"))</f>
        <v>18</v>
      </c>
      <c r="F25" s="50" t="s">
        <v>97</v>
      </c>
      <c r="G25" s="50" t="s">
        <v>201</v>
      </c>
      <c r="H25" s="51">
        <f ca="1">DATEDIF(Tableau1[[#This Row],[date recrutement]],TODAY(),"y")</f>
        <v>0</v>
      </c>
      <c r="I25" s="50" t="s">
        <v>42</v>
      </c>
      <c r="J25" s="52">
        <v>143000</v>
      </c>
    </row>
    <row r="26" spans="1:10" x14ac:dyDescent="0.25">
      <c r="A26" s="49" t="s">
        <v>202</v>
      </c>
      <c r="B26" s="50" t="s">
        <v>203</v>
      </c>
      <c r="C26" s="50" t="s">
        <v>204</v>
      </c>
      <c r="D26" s="50" t="s">
        <v>205</v>
      </c>
      <c r="E26" s="51">
        <f ca="1">IF(Tableau1[[#This Row],[Naissance]]="",0,DATEDIF(Tableau1[[#This Row],[Naissance]],TODAY(),"y"))</f>
        <v>43</v>
      </c>
      <c r="F26" s="50" t="s">
        <v>118</v>
      </c>
      <c r="G26" s="50" t="s">
        <v>206</v>
      </c>
      <c r="H26" s="51">
        <f ca="1">DATEDIF(Tableau1[[#This Row],[date recrutement]],TODAY(),"y")</f>
        <v>3</v>
      </c>
      <c r="I26" s="50" t="s">
        <v>42</v>
      </c>
      <c r="J26" s="52">
        <v>200000</v>
      </c>
    </row>
    <row r="27" spans="1:10" x14ac:dyDescent="0.25">
      <c r="A27" s="49" t="s">
        <v>207</v>
      </c>
      <c r="B27" s="50" t="s">
        <v>208</v>
      </c>
      <c r="C27" s="50" t="s">
        <v>209</v>
      </c>
      <c r="D27" s="50" t="s">
        <v>210</v>
      </c>
      <c r="E27" s="51">
        <f ca="1">IF(Tableau1[[#This Row],[Naissance]]="",0,DATEDIF(Tableau1[[#This Row],[Naissance]],TODAY(),"y"))</f>
        <v>50</v>
      </c>
      <c r="F27" s="50" t="s">
        <v>118</v>
      </c>
      <c r="G27" s="50" t="s">
        <v>211</v>
      </c>
      <c r="H27" s="51">
        <f ca="1">DATEDIF(Tableau1[[#This Row],[date recrutement]],TODAY(),"y")</f>
        <v>16</v>
      </c>
      <c r="I27" s="50" t="s">
        <v>43</v>
      </c>
      <c r="J27" s="52">
        <v>215000</v>
      </c>
    </row>
    <row r="28" spans="1:10" x14ac:dyDescent="0.25">
      <c r="A28" s="49" t="s">
        <v>212</v>
      </c>
      <c r="B28" s="50" t="s">
        <v>213</v>
      </c>
      <c r="C28" s="50" t="s">
        <v>214</v>
      </c>
      <c r="D28" s="50" t="s">
        <v>215</v>
      </c>
      <c r="E28" s="51">
        <f ca="1">IF(Tableau1[[#This Row],[Naissance]]="",0,DATEDIF(Tableau1[[#This Row],[Naissance]],TODAY(),"y"))</f>
        <v>26</v>
      </c>
      <c r="F28" s="50" t="s">
        <v>118</v>
      </c>
      <c r="G28" s="50" t="s">
        <v>216</v>
      </c>
      <c r="H28" s="51">
        <f ca="1">DATEDIF(Tableau1[[#This Row],[date recrutement]],TODAY(),"y")</f>
        <v>1</v>
      </c>
      <c r="I28" s="50" t="s">
        <v>42</v>
      </c>
      <c r="J28" s="52">
        <v>241000</v>
      </c>
    </row>
    <row r="29" spans="1:10" x14ac:dyDescent="0.25">
      <c r="A29" s="49" t="s">
        <v>217</v>
      </c>
      <c r="B29" s="50" t="s">
        <v>218</v>
      </c>
      <c r="C29" s="50" t="s">
        <v>219</v>
      </c>
      <c r="D29" s="50" t="s">
        <v>220</v>
      </c>
      <c r="E29" s="51">
        <f ca="1">IF(Tableau1[[#This Row],[Naissance]]="",0,DATEDIF(Tableau1[[#This Row],[Naissance]],TODAY(),"y"))</f>
        <v>40</v>
      </c>
      <c r="F29" s="50" t="s">
        <v>118</v>
      </c>
      <c r="G29" s="50" t="s">
        <v>221</v>
      </c>
      <c r="H29" s="51">
        <f ca="1">DATEDIF(Tableau1[[#This Row],[date recrutement]],TODAY(),"y")</f>
        <v>3</v>
      </c>
      <c r="I29" s="50" t="s">
        <v>43</v>
      </c>
      <c r="J29" s="52">
        <v>149000</v>
      </c>
    </row>
    <row r="30" spans="1:10" x14ac:dyDescent="0.25">
      <c r="A30" s="49" t="s">
        <v>222</v>
      </c>
      <c r="B30" s="50" t="s">
        <v>223</v>
      </c>
      <c r="C30" s="50" t="s">
        <v>224</v>
      </c>
      <c r="D30" s="50" t="s">
        <v>225</v>
      </c>
      <c r="E30" s="51">
        <f ca="1">IF(Tableau1[[#This Row],[Naissance]]="",0,DATEDIF(Tableau1[[#This Row],[Naissance]],TODAY(),"y"))</f>
        <v>24</v>
      </c>
      <c r="F30" s="50" t="s">
        <v>118</v>
      </c>
      <c r="G30" s="50" t="s">
        <v>226</v>
      </c>
      <c r="H30" s="51">
        <f ca="1">DATEDIF(Tableau1[[#This Row],[date recrutement]],TODAY(),"y")</f>
        <v>0</v>
      </c>
      <c r="I30" s="50" t="s">
        <v>42</v>
      </c>
      <c r="J30" s="52">
        <v>101000</v>
      </c>
    </row>
    <row r="31" spans="1:10" x14ac:dyDescent="0.25">
      <c r="A31" s="49" t="s">
        <v>227</v>
      </c>
      <c r="B31" s="50" t="s">
        <v>228</v>
      </c>
      <c r="C31" s="50" t="s">
        <v>229</v>
      </c>
      <c r="D31" s="50" t="s">
        <v>230</v>
      </c>
      <c r="E31" s="51">
        <f ca="1">IF(Tableau1[[#This Row],[Naissance]]="",0,DATEDIF(Tableau1[[#This Row],[Naissance]],TODAY(),"y"))</f>
        <v>38</v>
      </c>
      <c r="F31" s="50" t="s">
        <v>97</v>
      </c>
      <c r="G31" s="50" t="s">
        <v>231</v>
      </c>
      <c r="H31" s="51">
        <f ca="1">DATEDIF(Tableau1[[#This Row],[date recrutement]],TODAY(),"y")</f>
        <v>6</v>
      </c>
      <c r="I31" s="50" t="s">
        <v>42</v>
      </c>
      <c r="J31" s="52">
        <v>61000</v>
      </c>
    </row>
    <row r="32" spans="1:10" x14ac:dyDescent="0.25">
      <c r="A32" s="49" t="s">
        <v>232</v>
      </c>
      <c r="B32" s="50" t="s">
        <v>233</v>
      </c>
      <c r="C32" s="50" t="s">
        <v>234</v>
      </c>
      <c r="D32" s="50" t="s">
        <v>235</v>
      </c>
      <c r="E32" s="51">
        <f ca="1">IF(Tableau1[[#This Row],[Naissance]]="",0,DATEDIF(Tableau1[[#This Row],[Naissance]],TODAY(),"y"))</f>
        <v>39</v>
      </c>
      <c r="F32" s="50" t="s">
        <v>97</v>
      </c>
      <c r="G32" s="50" t="s">
        <v>236</v>
      </c>
      <c r="H32" s="51">
        <f ca="1">DATEDIF(Tableau1[[#This Row],[date recrutement]],TODAY(),"y")</f>
        <v>2</v>
      </c>
      <c r="I32" s="50" t="s">
        <v>43</v>
      </c>
      <c r="J32" s="52">
        <v>245000</v>
      </c>
    </row>
    <row r="33" spans="1:10" x14ac:dyDescent="0.25">
      <c r="A33" s="49" t="s">
        <v>237</v>
      </c>
      <c r="B33" s="50" t="s">
        <v>238</v>
      </c>
      <c r="C33" s="50" t="s">
        <v>239</v>
      </c>
      <c r="D33" s="50" t="s">
        <v>240</v>
      </c>
      <c r="E33" s="51">
        <f ca="1">IF(Tableau1[[#This Row],[Naissance]]="",0,DATEDIF(Tableau1[[#This Row],[Naissance]],TODAY(),"y"))</f>
        <v>52</v>
      </c>
      <c r="F33" s="50" t="s">
        <v>97</v>
      </c>
      <c r="G33" s="50" t="s">
        <v>241</v>
      </c>
      <c r="H33" s="51">
        <f ca="1">DATEDIF(Tableau1[[#This Row],[date recrutement]],TODAY(),"y")</f>
        <v>20</v>
      </c>
      <c r="I33" s="50" t="s">
        <v>43</v>
      </c>
      <c r="J33" s="52">
        <v>62000</v>
      </c>
    </row>
    <row r="34" spans="1:10" x14ac:dyDescent="0.25">
      <c r="A34" s="49" t="s">
        <v>242</v>
      </c>
      <c r="B34" s="50" t="s">
        <v>243</v>
      </c>
      <c r="C34" s="50" t="s">
        <v>244</v>
      </c>
      <c r="D34" s="54">
        <v>38011</v>
      </c>
      <c r="E34" s="51">
        <f ca="1">IF(Tableau1[[#This Row],[Naissance]]="",0,DATEDIF(Tableau1[[#This Row],[Naissance]],TODAY(),"y"))</f>
        <v>20</v>
      </c>
      <c r="F34" s="50" t="s">
        <v>97</v>
      </c>
      <c r="G34" s="50" t="s">
        <v>245</v>
      </c>
      <c r="H34" s="51">
        <f ca="1">DATEDIF(Tableau1[[#This Row],[date recrutement]],TODAY(),"y")</f>
        <v>0</v>
      </c>
      <c r="I34" s="50" t="s">
        <v>42</v>
      </c>
      <c r="J34" s="52">
        <v>140000</v>
      </c>
    </row>
    <row r="35" spans="1:10" x14ac:dyDescent="0.25">
      <c r="A35" s="49" t="s">
        <v>246</v>
      </c>
      <c r="B35" s="50" t="s">
        <v>247</v>
      </c>
      <c r="C35" s="50" t="s">
        <v>248</v>
      </c>
      <c r="D35" s="50" t="s">
        <v>249</v>
      </c>
      <c r="E35" s="51">
        <f ca="1">IF(Tableau1[[#This Row],[Naissance]]="",0,DATEDIF(Tableau1[[#This Row],[Naissance]],TODAY(),"y"))</f>
        <v>40</v>
      </c>
      <c r="F35" s="50" t="s">
        <v>118</v>
      </c>
      <c r="G35" s="50" t="s">
        <v>250</v>
      </c>
      <c r="H35" s="51">
        <f ca="1">DATEDIF(Tableau1[[#This Row],[date recrutement]],TODAY(),"y")</f>
        <v>13</v>
      </c>
      <c r="I35" s="50" t="s">
        <v>42</v>
      </c>
      <c r="J35" s="52">
        <v>113000</v>
      </c>
    </row>
    <row r="36" spans="1:10" x14ac:dyDescent="0.25">
      <c r="A36" s="49" t="s">
        <v>251</v>
      </c>
      <c r="B36" s="50" t="s">
        <v>252</v>
      </c>
      <c r="C36" s="50" t="s">
        <v>253</v>
      </c>
      <c r="D36" s="50" t="s">
        <v>254</v>
      </c>
      <c r="E36" s="51">
        <f ca="1">IF(Tableau1[[#This Row],[Naissance]]="",0,DATEDIF(Tableau1[[#This Row],[Naissance]],TODAY(),"y"))</f>
        <v>49</v>
      </c>
      <c r="F36" s="50" t="s">
        <v>118</v>
      </c>
      <c r="G36" s="50" t="s">
        <v>255</v>
      </c>
      <c r="H36" s="51">
        <f ca="1">DATEDIF(Tableau1[[#This Row],[date recrutement]],TODAY(),"y")</f>
        <v>27</v>
      </c>
      <c r="I36" s="50" t="s">
        <v>43</v>
      </c>
      <c r="J36" s="52">
        <v>217000</v>
      </c>
    </row>
    <row r="37" spans="1:10" x14ac:dyDescent="0.25">
      <c r="A37" s="49" t="s">
        <v>256</v>
      </c>
      <c r="B37" s="50" t="s">
        <v>257</v>
      </c>
      <c r="C37" s="50" t="s">
        <v>258</v>
      </c>
      <c r="D37" s="50" t="s">
        <v>259</v>
      </c>
      <c r="E37" s="51">
        <f ca="1">IF(Tableau1[[#This Row],[Naissance]]="",0,DATEDIF(Tableau1[[#This Row],[Naissance]],TODAY(),"y"))</f>
        <v>51</v>
      </c>
      <c r="F37" s="50" t="s">
        <v>118</v>
      </c>
      <c r="G37" s="50" t="s">
        <v>260</v>
      </c>
      <c r="H37" s="51">
        <f ca="1">DATEDIF(Tableau1[[#This Row],[date recrutement]],TODAY(),"y")</f>
        <v>29</v>
      </c>
      <c r="I37" s="50" t="s">
        <v>43</v>
      </c>
      <c r="J37" s="52">
        <v>178000</v>
      </c>
    </row>
    <row r="38" spans="1:10" x14ac:dyDescent="0.25">
      <c r="A38" s="49" t="s">
        <v>261</v>
      </c>
      <c r="B38" s="50" t="s">
        <v>262</v>
      </c>
      <c r="C38" s="50" t="s">
        <v>263</v>
      </c>
      <c r="D38" s="50" t="s">
        <v>264</v>
      </c>
      <c r="E38" s="51">
        <f ca="1">IF(Tableau1[[#This Row],[Naissance]]="",0,DATEDIF(Tableau1[[#This Row],[Naissance]],TODAY(),"y"))</f>
        <v>55</v>
      </c>
      <c r="F38" s="50" t="s">
        <v>97</v>
      </c>
      <c r="G38" s="50" t="s">
        <v>265</v>
      </c>
      <c r="H38" s="51">
        <f ca="1">DATEDIF(Tableau1[[#This Row],[date recrutement]],TODAY(),"y")</f>
        <v>0</v>
      </c>
      <c r="I38" s="50" t="s">
        <v>42</v>
      </c>
      <c r="J38" s="52">
        <v>162000</v>
      </c>
    </row>
    <row r="39" spans="1:10" x14ac:dyDescent="0.25">
      <c r="A39" s="49" t="s">
        <v>266</v>
      </c>
      <c r="B39" s="50" t="s">
        <v>267</v>
      </c>
      <c r="C39" s="50" t="s">
        <v>268</v>
      </c>
      <c r="D39" s="50" t="s">
        <v>269</v>
      </c>
      <c r="E39" s="51">
        <f ca="1">IF(Tableau1[[#This Row],[Naissance]]="",0,DATEDIF(Tableau1[[#This Row],[Naissance]],TODAY(),"y"))</f>
        <v>51</v>
      </c>
      <c r="F39" s="50" t="s">
        <v>97</v>
      </c>
      <c r="G39" s="50" t="s">
        <v>270</v>
      </c>
      <c r="H39" s="51">
        <f ca="1">DATEDIF(Tableau1[[#This Row],[date recrutement]],TODAY(),"y")</f>
        <v>7</v>
      </c>
      <c r="I39" s="50" t="s">
        <v>42</v>
      </c>
      <c r="J39" s="52">
        <v>199000</v>
      </c>
    </row>
    <row r="40" spans="1:10" x14ac:dyDescent="0.25">
      <c r="A40" s="49" t="s">
        <v>271</v>
      </c>
      <c r="B40" s="50" t="s">
        <v>272</v>
      </c>
      <c r="C40" s="50" t="s">
        <v>273</v>
      </c>
      <c r="D40" s="50" t="s">
        <v>274</v>
      </c>
      <c r="E40" s="51">
        <f ca="1">IF(Tableau1[[#This Row],[Naissance]]="",0,DATEDIF(Tableau1[[#This Row],[Naissance]],TODAY(),"y"))</f>
        <v>42</v>
      </c>
      <c r="F40" s="50" t="s">
        <v>118</v>
      </c>
      <c r="G40" s="50" t="s">
        <v>275</v>
      </c>
      <c r="H40" s="51">
        <f ca="1">DATEDIF(Tableau1[[#This Row],[date recrutement]],TODAY(),"y")</f>
        <v>1</v>
      </c>
      <c r="I40" s="50" t="s">
        <v>42</v>
      </c>
      <c r="J40" s="52">
        <v>114000</v>
      </c>
    </row>
    <row r="41" spans="1:10" x14ac:dyDescent="0.25">
      <c r="A41" s="49" t="s">
        <v>276</v>
      </c>
      <c r="B41" s="50" t="s">
        <v>277</v>
      </c>
      <c r="C41" s="50" t="s">
        <v>278</v>
      </c>
      <c r="D41" s="50" t="s">
        <v>279</v>
      </c>
      <c r="E41" s="51">
        <f ca="1">IF(Tableau1[[#This Row],[Naissance]]="",0,DATEDIF(Tableau1[[#This Row],[Naissance]],TODAY(),"y"))</f>
        <v>48</v>
      </c>
      <c r="F41" s="50" t="s">
        <v>97</v>
      </c>
      <c r="G41" s="50" t="s">
        <v>280</v>
      </c>
      <c r="H41" s="51">
        <f ca="1">DATEDIF(Tableau1[[#This Row],[date recrutement]],TODAY(),"y")</f>
        <v>1</v>
      </c>
      <c r="I41" s="50" t="s">
        <v>42</v>
      </c>
      <c r="J41" s="52">
        <v>168000</v>
      </c>
    </row>
    <row r="42" spans="1:10" x14ac:dyDescent="0.25">
      <c r="A42" s="49" t="s">
        <v>281</v>
      </c>
      <c r="B42" s="50" t="s">
        <v>282</v>
      </c>
      <c r="C42" s="50" t="s">
        <v>283</v>
      </c>
      <c r="D42" s="50" t="s">
        <v>284</v>
      </c>
      <c r="E42" s="51">
        <f ca="1">IF(Tableau1[[#This Row],[Naissance]]="",0,DATEDIF(Tableau1[[#This Row],[Naissance]],TODAY(),"y"))</f>
        <v>19</v>
      </c>
      <c r="F42" s="50" t="s">
        <v>118</v>
      </c>
      <c r="G42" s="50" t="s">
        <v>285</v>
      </c>
      <c r="H42" s="51">
        <f ca="1">DATEDIF(Tableau1[[#This Row],[date recrutement]],TODAY(),"y")</f>
        <v>0</v>
      </c>
      <c r="I42" s="50" t="s">
        <v>42</v>
      </c>
      <c r="J42" s="52">
        <v>211000</v>
      </c>
    </row>
    <row r="43" spans="1:10" x14ac:dyDescent="0.25">
      <c r="A43" s="49" t="s">
        <v>286</v>
      </c>
      <c r="B43" s="50" t="s">
        <v>287</v>
      </c>
      <c r="C43" s="50" t="s">
        <v>288</v>
      </c>
      <c r="D43" s="50" t="s">
        <v>289</v>
      </c>
      <c r="E43" s="51">
        <f ca="1">IF(Tableau1[[#This Row],[Naissance]]="",0,DATEDIF(Tableau1[[#This Row],[Naissance]],TODAY(),"y"))</f>
        <v>35</v>
      </c>
      <c r="F43" s="50" t="s">
        <v>118</v>
      </c>
      <c r="G43" s="50" t="s">
        <v>290</v>
      </c>
      <c r="H43" s="51">
        <f ca="1">DATEDIF(Tableau1[[#This Row],[date recrutement]],TODAY(),"y")</f>
        <v>0</v>
      </c>
      <c r="I43" s="50" t="s">
        <v>42</v>
      </c>
      <c r="J43" s="52">
        <v>224000</v>
      </c>
    </row>
    <row r="44" spans="1:10" x14ac:dyDescent="0.25">
      <c r="A44" s="49" t="s">
        <v>291</v>
      </c>
      <c r="B44" s="50" t="s">
        <v>292</v>
      </c>
      <c r="C44" s="50" t="s">
        <v>293</v>
      </c>
      <c r="D44" s="50" t="s">
        <v>294</v>
      </c>
      <c r="E44" s="51">
        <f ca="1">IF(Tableau1[[#This Row],[Naissance]]="",0,DATEDIF(Tableau1[[#This Row],[Naissance]],TODAY(),"y"))</f>
        <v>51</v>
      </c>
      <c r="F44" s="50" t="s">
        <v>97</v>
      </c>
      <c r="G44" s="50" t="s">
        <v>295</v>
      </c>
      <c r="H44" s="51">
        <f ca="1">DATEDIF(Tableau1[[#This Row],[date recrutement]],TODAY(),"y")</f>
        <v>16</v>
      </c>
      <c r="I44" s="50" t="s">
        <v>43</v>
      </c>
      <c r="J44" s="52">
        <v>82000</v>
      </c>
    </row>
    <row r="45" spans="1:10" x14ac:dyDescent="0.25">
      <c r="A45" s="49" t="s">
        <v>296</v>
      </c>
      <c r="B45" s="50" t="s">
        <v>297</v>
      </c>
      <c r="C45" s="50" t="s">
        <v>298</v>
      </c>
      <c r="D45" s="50" t="s">
        <v>299</v>
      </c>
      <c r="E45" s="51">
        <f ca="1">IF(Tableau1[[#This Row],[Naissance]]="",0,DATEDIF(Tableau1[[#This Row],[Naissance]],TODAY(),"y"))</f>
        <v>37</v>
      </c>
      <c r="F45" s="50" t="s">
        <v>97</v>
      </c>
      <c r="G45" s="50" t="s">
        <v>300</v>
      </c>
      <c r="H45" s="51">
        <f ca="1">DATEDIF(Tableau1[[#This Row],[date recrutement]],TODAY(),"y")</f>
        <v>3</v>
      </c>
      <c r="I45" s="50" t="s">
        <v>42</v>
      </c>
      <c r="J45" s="52">
        <v>244000</v>
      </c>
    </row>
    <row r="46" spans="1:10" x14ac:dyDescent="0.25">
      <c r="A46" s="49" t="s">
        <v>301</v>
      </c>
      <c r="B46" s="50" t="s">
        <v>302</v>
      </c>
      <c r="C46" s="50" t="s">
        <v>303</v>
      </c>
      <c r="D46" s="50" t="s">
        <v>304</v>
      </c>
      <c r="E46" s="51">
        <f ca="1">IF(Tableau1[[#This Row],[Naissance]]="",0,DATEDIF(Tableau1[[#This Row],[Naissance]],TODAY(),"y"))</f>
        <v>29</v>
      </c>
      <c r="F46" s="50" t="s">
        <v>97</v>
      </c>
      <c r="G46" s="50" t="s">
        <v>305</v>
      </c>
      <c r="H46" s="51">
        <f ca="1">DATEDIF(Tableau1[[#This Row],[date recrutement]],TODAY(),"y")</f>
        <v>0</v>
      </c>
      <c r="I46" s="50" t="s">
        <v>42</v>
      </c>
      <c r="J46" s="52">
        <v>156000</v>
      </c>
    </row>
    <row r="47" spans="1:10" x14ac:dyDescent="0.25">
      <c r="A47" s="49" t="s">
        <v>306</v>
      </c>
      <c r="B47" s="50" t="s">
        <v>307</v>
      </c>
      <c r="C47" s="50" t="s">
        <v>308</v>
      </c>
      <c r="D47" s="50" t="s">
        <v>309</v>
      </c>
      <c r="E47" s="51">
        <f ca="1">IF(Tableau1[[#This Row],[Naissance]]="",0,DATEDIF(Tableau1[[#This Row],[Naissance]],TODAY(),"y"))</f>
        <v>64</v>
      </c>
      <c r="F47" s="50" t="s">
        <v>97</v>
      </c>
      <c r="G47" s="50" t="s">
        <v>310</v>
      </c>
      <c r="H47" s="51">
        <f ca="1">DATEDIF(Tableau1[[#This Row],[date recrutement]],TODAY(),"y")</f>
        <v>19</v>
      </c>
      <c r="I47" s="50" t="s">
        <v>43</v>
      </c>
      <c r="J47" s="52">
        <v>116000</v>
      </c>
    </row>
    <row r="48" spans="1:10" x14ac:dyDescent="0.25">
      <c r="A48" s="49" t="s">
        <v>311</v>
      </c>
      <c r="B48" s="50" t="s">
        <v>312</v>
      </c>
      <c r="C48" s="50" t="s">
        <v>313</v>
      </c>
      <c r="D48" s="50" t="s">
        <v>314</v>
      </c>
      <c r="E48" s="51">
        <f ca="1">IF(Tableau1[[#This Row],[Naissance]]="",0,DATEDIF(Tableau1[[#This Row],[Naissance]],TODAY(),"y"))</f>
        <v>35</v>
      </c>
      <c r="F48" s="50" t="s">
        <v>97</v>
      </c>
      <c r="G48" s="50" t="s">
        <v>315</v>
      </c>
      <c r="H48" s="51">
        <f ca="1">DATEDIF(Tableau1[[#This Row],[date recrutement]],TODAY(),"y")</f>
        <v>1</v>
      </c>
      <c r="I48" s="50" t="s">
        <v>42</v>
      </c>
      <c r="J48" s="52">
        <v>184000</v>
      </c>
    </row>
    <row r="49" spans="1:10" x14ac:dyDescent="0.25">
      <c r="A49" s="49" t="s">
        <v>316</v>
      </c>
      <c r="B49" s="50" t="s">
        <v>317</v>
      </c>
      <c r="C49" s="50" t="s">
        <v>318</v>
      </c>
      <c r="D49" s="50" t="s">
        <v>319</v>
      </c>
      <c r="E49" s="51">
        <f ca="1">IF(Tableau1[[#This Row],[Naissance]]="",0,DATEDIF(Tableau1[[#This Row],[Naissance]],TODAY(),"y"))</f>
        <v>28</v>
      </c>
      <c r="F49" s="50" t="s">
        <v>97</v>
      </c>
      <c r="G49" s="50" t="s">
        <v>320</v>
      </c>
      <c r="H49" s="51">
        <f ca="1">DATEDIF(Tableau1[[#This Row],[date recrutement]],TODAY(),"y")</f>
        <v>0</v>
      </c>
      <c r="I49" s="50" t="s">
        <v>42</v>
      </c>
      <c r="J49" s="52">
        <v>191000</v>
      </c>
    </row>
    <row r="50" spans="1:10" x14ac:dyDescent="0.25">
      <c r="A50" s="49" t="s">
        <v>321</v>
      </c>
      <c r="B50" s="50" t="s">
        <v>322</v>
      </c>
      <c r="C50" s="50" t="s">
        <v>323</v>
      </c>
      <c r="D50" s="50" t="s">
        <v>324</v>
      </c>
      <c r="E50" s="51">
        <f ca="1">IF(Tableau1[[#This Row],[Naissance]]="",0,DATEDIF(Tableau1[[#This Row],[Naissance]],TODAY(),"y"))</f>
        <v>30</v>
      </c>
      <c r="F50" s="50" t="s">
        <v>97</v>
      </c>
      <c r="G50" s="50" t="s">
        <v>245</v>
      </c>
      <c r="H50" s="51">
        <f ca="1">DATEDIF(Tableau1[[#This Row],[date recrutement]],TODAY(),"y")</f>
        <v>0</v>
      </c>
      <c r="I50" s="50" t="s">
        <v>42</v>
      </c>
      <c r="J50" s="52">
        <v>111000</v>
      </c>
    </row>
    <row r="51" spans="1:10" x14ac:dyDescent="0.25">
      <c r="A51" s="49" t="s">
        <v>325</v>
      </c>
      <c r="B51" s="50" t="s">
        <v>326</v>
      </c>
      <c r="C51" s="50" t="s">
        <v>327</v>
      </c>
      <c r="D51" s="50" t="s">
        <v>328</v>
      </c>
      <c r="E51" s="51">
        <f ca="1">IF(Tableau1[[#This Row],[Naissance]]="",0,DATEDIF(Tableau1[[#This Row],[Naissance]],TODAY(),"y"))</f>
        <v>37</v>
      </c>
      <c r="F51" s="50" t="s">
        <v>97</v>
      </c>
      <c r="G51" s="50" t="s">
        <v>329</v>
      </c>
      <c r="H51" s="51">
        <f ca="1">DATEDIF(Tableau1[[#This Row],[date recrutement]],TODAY(),"y")</f>
        <v>0</v>
      </c>
      <c r="I51" s="50" t="s">
        <v>42</v>
      </c>
      <c r="J51" s="52">
        <v>98000</v>
      </c>
    </row>
    <row r="52" spans="1:10" x14ac:dyDescent="0.25">
      <c r="A52" s="49" t="s">
        <v>330</v>
      </c>
      <c r="B52" s="50" t="s">
        <v>331</v>
      </c>
      <c r="C52" s="50" t="s">
        <v>332</v>
      </c>
      <c r="D52" s="50" t="s">
        <v>333</v>
      </c>
      <c r="E52" s="51">
        <f ca="1">IF(Tableau1[[#This Row],[Naissance]]="",0,DATEDIF(Tableau1[[#This Row],[Naissance]],TODAY(),"y"))</f>
        <v>46</v>
      </c>
      <c r="F52" s="50" t="s">
        <v>97</v>
      </c>
      <c r="G52" s="50" t="s">
        <v>334</v>
      </c>
      <c r="H52" s="51">
        <f ca="1">DATEDIF(Tableau1[[#This Row],[date recrutement]],TODAY(),"y")</f>
        <v>8</v>
      </c>
      <c r="I52" s="50" t="s">
        <v>42</v>
      </c>
      <c r="J52" s="52">
        <v>145000</v>
      </c>
    </row>
    <row r="53" spans="1:10" x14ac:dyDescent="0.25">
      <c r="A53" s="49" t="s">
        <v>335</v>
      </c>
      <c r="B53" s="50" t="s">
        <v>336</v>
      </c>
      <c r="C53" s="50" t="s">
        <v>337</v>
      </c>
      <c r="D53" s="50" t="s">
        <v>338</v>
      </c>
      <c r="E53" s="51">
        <f ca="1">IF(Tableau1[[#This Row],[Naissance]]="",0,DATEDIF(Tableau1[[#This Row],[Naissance]],TODAY(),"y"))</f>
        <v>33</v>
      </c>
      <c r="F53" s="50" t="s">
        <v>97</v>
      </c>
      <c r="G53" s="50" t="s">
        <v>339</v>
      </c>
      <c r="H53" s="51">
        <f ca="1">DATEDIF(Tableau1[[#This Row],[date recrutement]],TODAY(),"y")</f>
        <v>2</v>
      </c>
      <c r="I53" s="50" t="s">
        <v>42</v>
      </c>
      <c r="J53" s="52">
        <v>70000</v>
      </c>
    </row>
    <row r="54" spans="1:10" x14ac:dyDescent="0.25">
      <c r="A54" s="49" t="s">
        <v>340</v>
      </c>
      <c r="B54" s="50" t="s">
        <v>341</v>
      </c>
      <c r="C54" s="50" t="s">
        <v>342</v>
      </c>
      <c r="D54" s="50" t="s">
        <v>343</v>
      </c>
      <c r="E54" s="51">
        <f ca="1">IF(Tableau1[[#This Row],[Naissance]]="",0,DATEDIF(Tableau1[[#This Row],[Naissance]],TODAY(),"y"))</f>
        <v>28</v>
      </c>
      <c r="F54" s="50" t="s">
        <v>97</v>
      </c>
      <c r="G54" s="50" t="s">
        <v>344</v>
      </c>
      <c r="H54" s="51">
        <f ca="1">DATEDIF(Tableau1[[#This Row],[date recrutement]],TODAY(),"y")</f>
        <v>0</v>
      </c>
      <c r="I54" s="50" t="s">
        <v>42</v>
      </c>
      <c r="J54" s="52">
        <v>183000</v>
      </c>
    </row>
    <row r="55" spans="1:10" x14ac:dyDescent="0.25">
      <c r="A55" s="49" t="s">
        <v>345</v>
      </c>
      <c r="B55" s="50" t="s">
        <v>346</v>
      </c>
      <c r="C55" s="50" t="s">
        <v>347</v>
      </c>
      <c r="D55" s="50" t="s">
        <v>348</v>
      </c>
      <c r="E55" s="51">
        <f ca="1">IF(Tableau1[[#This Row],[Naissance]]="",0,DATEDIF(Tableau1[[#This Row],[Naissance]],TODAY(),"y"))</f>
        <v>50</v>
      </c>
      <c r="F55" s="50" t="s">
        <v>118</v>
      </c>
      <c r="G55" s="50" t="s">
        <v>119</v>
      </c>
      <c r="H55" s="51">
        <f ca="1">DATEDIF(Tableau1[[#This Row],[date recrutement]],TODAY(),"y")</f>
        <v>26</v>
      </c>
      <c r="I55" s="50" t="s">
        <v>43</v>
      </c>
      <c r="J55" s="52">
        <v>114000</v>
      </c>
    </row>
    <row r="56" spans="1:10" x14ac:dyDescent="0.25">
      <c r="A56" s="49" t="s">
        <v>349</v>
      </c>
      <c r="B56" s="50" t="s">
        <v>350</v>
      </c>
      <c r="C56" s="50" t="s">
        <v>351</v>
      </c>
      <c r="D56" s="50" t="s">
        <v>352</v>
      </c>
      <c r="E56" s="51">
        <f ca="1">IF(Tableau1[[#This Row],[Naissance]]="",0,DATEDIF(Tableau1[[#This Row],[Naissance]],TODAY(),"y"))</f>
        <v>48</v>
      </c>
      <c r="F56" s="50" t="s">
        <v>118</v>
      </c>
      <c r="G56" s="50" t="s">
        <v>353</v>
      </c>
      <c r="H56" s="51">
        <f ca="1">DATEDIF(Tableau1[[#This Row],[date recrutement]],TODAY(),"y")</f>
        <v>3</v>
      </c>
      <c r="I56" s="50" t="s">
        <v>42</v>
      </c>
      <c r="J56" s="52">
        <v>87000</v>
      </c>
    </row>
    <row r="57" spans="1:10" x14ac:dyDescent="0.25">
      <c r="A57" s="49" t="s">
        <v>354</v>
      </c>
      <c r="B57" s="50" t="s">
        <v>355</v>
      </c>
      <c r="C57" s="50" t="s">
        <v>356</v>
      </c>
      <c r="D57" s="50" t="s">
        <v>357</v>
      </c>
      <c r="E57" s="51">
        <f ca="1">IF(Tableau1[[#This Row],[Naissance]]="",0,DATEDIF(Tableau1[[#This Row],[Naissance]],TODAY(),"y"))</f>
        <v>50</v>
      </c>
      <c r="F57" s="50" t="s">
        <v>97</v>
      </c>
      <c r="G57" s="50" t="s">
        <v>358</v>
      </c>
      <c r="H57" s="51">
        <f ca="1">DATEDIF(Tableau1[[#This Row],[date recrutement]],TODAY(),"y")</f>
        <v>26</v>
      </c>
      <c r="I57" s="50" t="s">
        <v>43</v>
      </c>
      <c r="J57" s="52">
        <v>106000</v>
      </c>
    </row>
    <row r="58" spans="1:10" x14ac:dyDescent="0.25">
      <c r="A58" s="49" t="s">
        <v>359</v>
      </c>
      <c r="B58" s="50" t="s">
        <v>360</v>
      </c>
      <c r="C58" s="50" t="s">
        <v>361</v>
      </c>
      <c r="D58" s="50" t="s">
        <v>362</v>
      </c>
      <c r="E58" s="51">
        <f ca="1">IF(Tableau1[[#This Row],[Naissance]]="",0,DATEDIF(Tableau1[[#This Row],[Naissance]],TODAY(),"y"))</f>
        <v>35</v>
      </c>
      <c r="F58" s="50" t="s">
        <v>97</v>
      </c>
      <c r="G58" s="50" t="s">
        <v>363</v>
      </c>
      <c r="H58" s="51">
        <f ca="1">DATEDIF(Tableau1[[#This Row],[date recrutement]],TODAY(),"y")</f>
        <v>0</v>
      </c>
      <c r="I58" s="50" t="s">
        <v>43</v>
      </c>
      <c r="J58" s="52">
        <v>215000</v>
      </c>
    </row>
    <row r="59" spans="1:10" x14ac:dyDescent="0.25">
      <c r="A59" s="49" t="s">
        <v>364</v>
      </c>
      <c r="B59" s="50" t="s">
        <v>365</v>
      </c>
      <c r="C59" s="50" t="s">
        <v>366</v>
      </c>
      <c r="D59" s="50" t="s">
        <v>367</v>
      </c>
      <c r="E59" s="51">
        <f ca="1">IF(Tableau1[[#This Row],[Naissance]]="",0,DATEDIF(Tableau1[[#This Row],[Naissance]],TODAY(),"y"))</f>
        <v>26</v>
      </c>
      <c r="F59" s="50" t="s">
        <v>97</v>
      </c>
      <c r="G59" s="50" t="s">
        <v>368</v>
      </c>
      <c r="H59" s="51">
        <f ca="1">DATEDIF(Tableau1[[#This Row],[date recrutement]],TODAY(),"y")</f>
        <v>0</v>
      </c>
      <c r="I59" s="50" t="s">
        <v>42</v>
      </c>
      <c r="J59" s="52">
        <v>96000</v>
      </c>
    </row>
    <row r="60" spans="1:10" x14ac:dyDescent="0.25">
      <c r="A60" s="49" t="s">
        <v>369</v>
      </c>
      <c r="B60" s="50" t="s">
        <v>370</v>
      </c>
      <c r="C60" s="50" t="s">
        <v>371</v>
      </c>
      <c r="D60" s="50" t="s">
        <v>372</v>
      </c>
      <c r="E60" s="51">
        <f ca="1">IF(Tableau1[[#This Row],[Naissance]]="",0,DATEDIF(Tableau1[[#This Row],[Naissance]],TODAY(),"y"))</f>
        <v>26</v>
      </c>
      <c r="F60" s="50" t="s">
        <v>118</v>
      </c>
      <c r="G60" s="50" t="s">
        <v>373</v>
      </c>
      <c r="H60" s="51">
        <f ca="1">DATEDIF(Tableau1[[#This Row],[date recrutement]],TODAY(),"y")</f>
        <v>3</v>
      </c>
      <c r="I60" s="50" t="s">
        <v>42</v>
      </c>
      <c r="J60" s="52">
        <v>67000</v>
      </c>
    </row>
    <row r="61" spans="1:10" x14ac:dyDescent="0.25">
      <c r="A61" s="49" t="s">
        <v>374</v>
      </c>
      <c r="B61" s="50" t="s">
        <v>375</v>
      </c>
      <c r="C61" s="50" t="s">
        <v>376</v>
      </c>
      <c r="D61" s="50" t="s">
        <v>377</v>
      </c>
      <c r="E61" s="51">
        <f ca="1">IF(Tableau1[[#This Row],[Naissance]]="",0,DATEDIF(Tableau1[[#This Row],[Naissance]],TODAY(),"y"))</f>
        <v>26</v>
      </c>
      <c r="F61" s="50" t="s">
        <v>97</v>
      </c>
      <c r="G61" s="50" t="s">
        <v>378</v>
      </c>
      <c r="H61" s="51">
        <f ca="1">DATEDIF(Tableau1[[#This Row],[date recrutement]],TODAY(),"y")</f>
        <v>5</v>
      </c>
      <c r="I61" s="50" t="s">
        <v>42</v>
      </c>
      <c r="J61" s="52">
        <v>50000</v>
      </c>
    </row>
    <row r="62" spans="1:10" x14ac:dyDescent="0.25">
      <c r="A62" s="49" t="s">
        <v>379</v>
      </c>
      <c r="B62" s="50" t="s">
        <v>380</v>
      </c>
      <c r="C62" s="50" t="s">
        <v>381</v>
      </c>
      <c r="D62" s="50" t="s">
        <v>382</v>
      </c>
      <c r="E62" s="51">
        <f ca="1">IF(Tableau1[[#This Row],[Naissance]]="",0,DATEDIF(Tableau1[[#This Row],[Naissance]],TODAY(),"y"))</f>
        <v>42</v>
      </c>
      <c r="F62" s="50" t="s">
        <v>118</v>
      </c>
      <c r="G62" s="50" t="s">
        <v>383</v>
      </c>
      <c r="H62" s="51">
        <f ca="1">DATEDIF(Tableau1[[#This Row],[date recrutement]],TODAY(),"y")</f>
        <v>14</v>
      </c>
      <c r="I62" s="50" t="s">
        <v>43</v>
      </c>
      <c r="J62" s="52">
        <v>160000</v>
      </c>
    </row>
    <row r="63" spans="1:10" x14ac:dyDescent="0.25">
      <c r="A63" s="49" t="s">
        <v>384</v>
      </c>
      <c r="B63" s="50" t="s">
        <v>385</v>
      </c>
      <c r="C63" s="50" t="s">
        <v>386</v>
      </c>
      <c r="D63" s="50" t="s">
        <v>387</v>
      </c>
      <c r="E63" s="51">
        <f ca="1">IF(Tableau1[[#This Row],[Naissance]]="",0,DATEDIF(Tableau1[[#This Row],[Naissance]],TODAY(),"y"))</f>
        <v>30</v>
      </c>
      <c r="F63" s="50" t="s">
        <v>97</v>
      </c>
      <c r="G63" s="50" t="s">
        <v>388</v>
      </c>
      <c r="H63" s="51">
        <f ca="1">DATEDIF(Tableau1[[#This Row],[date recrutement]],TODAY(),"y")</f>
        <v>0</v>
      </c>
      <c r="I63" s="50" t="s">
        <v>42</v>
      </c>
      <c r="J63" s="52">
        <v>207000</v>
      </c>
    </row>
    <row r="64" spans="1:10" x14ac:dyDescent="0.25">
      <c r="A64" s="49" t="s">
        <v>389</v>
      </c>
      <c r="B64" s="50" t="s">
        <v>390</v>
      </c>
      <c r="C64" s="50" t="s">
        <v>391</v>
      </c>
      <c r="D64" s="50" t="s">
        <v>392</v>
      </c>
      <c r="E64" s="51">
        <f ca="1">IF(Tableau1[[#This Row],[Naissance]]="",0,DATEDIF(Tableau1[[#This Row],[Naissance]],TODAY(),"y"))</f>
        <v>52</v>
      </c>
      <c r="F64" s="50" t="s">
        <v>118</v>
      </c>
      <c r="G64" s="50" t="s">
        <v>393</v>
      </c>
      <c r="H64" s="51">
        <f ca="1">DATEDIF(Tableau1[[#This Row],[date recrutement]],TODAY(),"y")</f>
        <v>27</v>
      </c>
      <c r="I64" s="50" t="s">
        <v>43</v>
      </c>
      <c r="J64" s="52">
        <v>118000</v>
      </c>
    </row>
    <row r="65" spans="1:10" x14ac:dyDescent="0.25">
      <c r="A65" s="49" t="s">
        <v>394</v>
      </c>
      <c r="B65" s="50" t="s">
        <v>395</v>
      </c>
      <c r="C65" s="50" t="s">
        <v>396</v>
      </c>
      <c r="D65" s="50" t="s">
        <v>397</v>
      </c>
      <c r="E65" s="51">
        <f ca="1">IF(Tableau1[[#This Row],[Naissance]]="",0,DATEDIF(Tableau1[[#This Row],[Naissance]],TODAY(),"y"))</f>
        <v>39</v>
      </c>
      <c r="F65" s="50" t="s">
        <v>118</v>
      </c>
      <c r="G65" s="50" t="s">
        <v>398</v>
      </c>
      <c r="H65" s="51">
        <f ca="1">DATEDIF(Tableau1[[#This Row],[date recrutement]],TODAY(),"y")</f>
        <v>14</v>
      </c>
      <c r="I65" s="50" t="s">
        <v>43</v>
      </c>
      <c r="J65" s="52">
        <v>152000</v>
      </c>
    </row>
    <row r="66" spans="1:10" x14ac:dyDescent="0.25">
      <c r="A66" s="49" t="s">
        <v>399</v>
      </c>
      <c r="B66" s="50" t="s">
        <v>400</v>
      </c>
      <c r="C66" s="50" t="s">
        <v>401</v>
      </c>
      <c r="D66" s="50" t="s">
        <v>402</v>
      </c>
      <c r="E66" s="51">
        <f ca="1">IF(Tableau1[[#This Row],[Naissance]]="",0,DATEDIF(Tableau1[[#This Row],[Naissance]],TODAY(),"y"))</f>
        <v>52</v>
      </c>
      <c r="F66" s="50" t="s">
        <v>97</v>
      </c>
      <c r="G66" s="50" t="s">
        <v>403</v>
      </c>
      <c r="H66" s="51">
        <f ca="1">DATEDIF(Tableau1[[#This Row],[date recrutement]],TODAY(),"y")</f>
        <v>5</v>
      </c>
      <c r="I66" s="50" t="s">
        <v>43</v>
      </c>
      <c r="J66" s="52">
        <v>168000</v>
      </c>
    </row>
    <row r="67" spans="1:10" x14ac:dyDescent="0.25">
      <c r="A67" s="49" t="s">
        <v>404</v>
      </c>
      <c r="B67" s="50" t="s">
        <v>405</v>
      </c>
      <c r="C67" s="50" t="s">
        <v>406</v>
      </c>
      <c r="D67" s="50" t="s">
        <v>407</v>
      </c>
      <c r="E67" s="51">
        <f ca="1">IF(Tableau1[[#This Row],[Naissance]]="",0,DATEDIF(Tableau1[[#This Row],[Naissance]],TODAY(),"y"))</f>
        <v>42</v>
      </c>
      <c r="F67" s="50" t="s">
        <v>118</v>
      </c>
      <c r="G67" s="50" t="s">
        <v>353</v>
      </c>
      <c r="H67" s="51">
        <f ca="1">DATEDIF(Tableau1[[#This Row],[date recrutement]],TODAY(),"y")</f>
        <v>3</v>
      </c>
      <c r="I67" s="50" t="s">
        <v>42</v>
      </c>
      <c r="J67" s="52">
        <v>60000</v>
      </c>
    </row>
    <row r="68" spans="1:10" x14ac:dyDescent="0.25">
      <c r="A68" s="49" t="s">
        <v>408</v>
      </c>
      <c r="B68" s="50" t="s">
        <v>409</v>
      </c>
      <c r="C68" s="50" t="s">
        <v>410</v>
      </c>
      <c r="D68" s="50" t="s">
        <v>411</v>
      </c>
      <c r="E68" s="51">
        <f ca="1">IF(Tableau1[[#This Row],[Naissance]]="",0,DATEDIF(Tableau1[[#This Row],[Naissance]],TODAY(),"y"))</f>
        <v>33</v>
      </c>
      <c r="F68" s="50" t="s">
        <v>97</v>
      </c>
      <c r="G68" s="50" t="s">
        <v>412</v>
      </c>
      <c r="H68" s="51">
        <f ca="1">DATEDIF(Tableau1[[#This Row],[date recrutement]],TODAY(),"y")</f>
        <v>0</v>
      </c>
      <c r="I68" s="50" t="s">
        <v>42</v>
      </c>
      <c r="J68" s="52">
        <v>103000</v>
      </c>
    </row>
    <row r="69" spans="1:10" x14ac:dyDescent="0.25">
      <c r="A69" s="49" t="s">
        <v>413</v>
      </c>
      <c r="B69" s="50" t="s">
        <v>414</v>
      </c>
      <c r="C69" s="50" t="s">
        <v>415</v>
      </c>
      <c r="D69" s="50" t="s">
        <v>416</v>
      </c>
      <c r="E69" s="51">
        <f ca="1">IF(Tableau1[[#This Row],[Naissance]]="",0,DATEDIF(Tableau1[[#This Row],[Naissance]],TODAY(),"y"))</f>
        <v>21</v>
      </c>
      <c r="F69" s="50" t="s">
        <v>118</v>
      </c>
      <c r="G69" s="50" t="s">
        <v>417</v>
      </c>
      <c r="H69" s="51">
        <f ca="1">DATEDIF(Tableau1[[#This Row],[date recrutement]],TODAY(),"y")</f>
        <v>0</v>
      </c>
      <c r="I69" s="50" t="s">
        <v>42</v>
      </c>
      <c r="J69" s="52">
        <v>198000</v>
      </c>
    </row>
    <row r="70" spans="1:10" x14ac:dyDescent="0.25">
      <c r="A70" s="49" t="s">
        <v>418</v>
      </c>
      <c r="B70" s="50" t="s">
        <v>419</v>
      </c>
      <c r="C70" s="50" t="s">
        <v>420</v>
      </c>
      <c r="D70" s="50" t="s">
        <v>421</v>
      </c>
      <c r="E70" s="51">
        <f ca="1">IF(Tableau1[[#This Row],[Naissance]]="",0,DATEDIF(Tableau1[[#This Row],[Naissance]],TODAY(),"y"))</f>
        <v>47</v>
      </c>
      <c r="F70" s="50" t="s">
        <v>118</v>
      </c>
      <c r="G70" s="50" t="s">
        <v>119</v>
      </c>
      <c r="H70" s="51">
        <f ca="1">DATEDIF(Tableau1[[#This Row],[date recrutement]],TODAY(),"y")</f>
        <v>26</v>
      </c>
      <c r="I70" s="50" t="s">
        <v>43</v>
      </c>
      <c r="J70" s="52">
        <v>229000</v>
      </c>
    </row>
    <row r="71" spans="1:10" x14ac:dyDescent="0.25">
      <c r="A71" s="49" t="s">
        <v>422</v>
      </c>
      <c r="B71" s="50" t="s">
        <v>423</v>
      </c>
      <c r="C71" s="50" t="s">
        <v>424</v>
      </c>
      <c r="D71" s="50" t="s">
        <v>425</v>
      </c>
      <c r="E71" s="51">
        <f ca="1">IF(Tableau1[[#This Row],[Naissance]]="",0,DATEDIF(Tableau1[[#This Row],[Naissance]],TODAY(),"y"))</f>
        <v>33</v>
      </c>
      <c r="F71" s="50" t="s">
        <v>97</v>
      </c>
      <c r="G71" s="50" t="s">
        <v>426</v>
      </c>
      <c r="H71" s="51">
        <f ca="1">DATEDIF(Tableau1[[#This Row],[date recrutement]],TODAY(),"y")</f>
        <v>2</v>
      </c>
      <c r="I71" s="50" t="s">
        <v>42</v>
      </c>
      <c r="J71" s="52">
        <v>102000</v>
      </c>
    </row>
    <row r="72" spans="1:10" x14ac:dyDescent="0.25">
      <c r="A72" s="49" t="s">
        <v>427</v>
      </c>
      <c r="B72" s="50" t="s">
        <v>428</v>
      </c>
      <c r="C72" s="50" t="s">
        <v>429</v>
      </c>
      <c r="D72" s="50" t="s">
        <v>430</v>
      </c>
      <c r="E72" s="51">
        <f ca="1">IF(Tableau1[[#This Row],[Naissance]]="",0,DATEDIF(Tableau1[[#This Row],[Naissance]],TODAY(),"y"))</f>
        <v>40</v>
      </c>
      <c r="F72" s="50" t="s">
        <v>118</v>
      </c>
      <c r="G72" s="50" t="s">
        <v>161</v>
      </c>
      <c r="H72" s="51">
        <f ca="1">DATEDIF(Tableau1[[#This Row],[date recrutement]],TODAY(),"y")</f>
        <v>7</v>
      </c>
      <c r="I72" s="50" t="s">
        <v>43</v>
      </c>
      <c r="J72" s="52">
        <v>227000</v>
      </c>
    </row>
    <row r="73" spans="1:10" x14ac:dyDescent="0.25">
      <c r="A73" s="49" t="s">
        <v>431</v>
      </c>
      <c r="B73" s="50" t="s">
        <v>432</v>
      </c>
      <c r="C73" s="50" t="s">
        <v>433</v>
      </c>
      <c r="D73" s="54">
        <v>38045</v>
      </c>
      <c r="E73" s="51">
        <f ca="1">IF(Tableau1[[#This Row],[Naissance]]="",0,DATEDIF(Tableau1[[#This Row],[Naissance]],TODAY(),"y"))</f>
        <v>20</v>
      </c>
      <c r="F73" s="50" t="s">
        <v>118</v>
      </c>
      <c r="G73" s="50" t="s">
        <v>434</v>
      </c>
      <c r="H73" s="51">
        <f ca="1">DATEDIF(Tableau1[[#This Row],[date recrutement]],TODAY(),"y")</f>
        <v>0</v>
      </c>
      <c r="I73" s="50" t="s">
        <v>42</v>
      </c>
      <c r="J73" s="52">
        <v>240000</v>
      </c>
    </row>
    <row r="74" spans="1:10" x14ac:dyDescent="0.25">
      <c r="A74" s="49" t="s">
        <v>435</v>
      </c>
      <c r="B74" s="50" t="s">
        <v>436</v>
      </c>
      <c r="C74" s="50" t="s">
        <v>437</v>
      </c>
      <c r="D74" s="50" t="s">
        <v>438</v>
      </c>
      <c r="E74" s="51">
        <f ca="1">IF(Tableau1[[#This Row],[Naissance]]="",0,DATEDIF(Tableau1[[#This Row],[Naissance]],TODAY(),"y"))</f>
        <v>56</v>
      </c>
      <c r="F74" s="50" t="s">
        <v>118</v>
      </c>
      <c r="G74" s="50" t="s">
        <v>439</v>
      </c>
      <c r="H74" s="51">
        <f ca="1">DATEDIF(Tableau1[[#This Row],[date recrutement]],TODAY(),"y")</f>
        <v>0</v>
      </c>
      <c r="I74" s="50" t="s">
        <v>42</v>
      </c>
      <c r="J74" s="52">
        <v>200000</v>
      </c>
    </row>
    <row r="75" spans="1:10" x14ac:dyDescent="0.25">
      <c r="A75" s="49" t="s">
        <v>440</v>
      </c>
      <c r="B75" s="50" t="s">
        <v>441</v>
      </c>
      <c r="C75" s="50" t="s">
        <v>442</v>
      </c>
      <c r="D75" s="50" t="s">
        <v>443</v>
      </c>
      <c r="E75" s="51">
        <f ca="1">IF(Tableau1[[#This Row],[Naissance]]="",0,DATEDIF(Tableau1[[#This Row],[Naissance]],TODAY(),"y"))</f>
        <v>55</v>
      </c>
      <c r="F75" s="50" t="s">
        <v>97</v>
      </c>
      <c r="G75" s="50" t="s">
        <v>444</v>
      </c>
      <c r="H75" s="51">
        <f ca="1">DATEDIF(Tableau1[[#This Row],[date recrutement]],TODAY(),"y")</f>
        <v>18</v>
      </c>
      <c r="I75" s="50" t="s">
        <v>43</v>
      </c>
      <c r="J75" s="52">
        <v>233000</v>
      </c>
    </row>
    <row r="76" spans="1:10" x14ac:dyDescent="0.25">
      <c r="A76" s="49" t="s">
        <v>445</v>
      </c>
      <c r="B76" s="50" t="s">
        <v>446</v>
      </c>
      <c r="C76" s="50" t="s">
        <v>447</v>
      </c>
      <c r="D76" s="50" t="s">
        <v>448</v>
      </c>
      <c r="E76" s="51">
        <f ca="1">IF(Tableau1[[#This Row],[Naissance]]="",0,DATEDIF(Tableau1[[#This Row],[Naissance]],TODAY(),"y"))</f>
        <v>23</v>
      </c>
      <c r="F76" s="50" t="s">
        <v>97</v>
      </c>
      <c r="G76" s="50" t="s">
        <v>320</v>
      </c>
      <c r="H76" s="51">
        <f ca="1">DATEDIF(Tableau1[[#This Row],[date recrutement]],TODAY(),"y")</f>
        <v>0</v>
      </c>
      <c r="I76" s="50" t="s">
        <v>42</v>
      </c>
      <c r="J76" s="52">
        <v>206000</v>
      </c>
    </row>
    <row r="77" spans="1:10" x14ac:dyDescent="0.25">
      <c r="A77" s="49" t="s">
        <v>449</v>
      </c>
      <c r="B77" s="50" t="s">
        <v>450</v>
      </c>
      <c r="C77" s="50" t="s">
        <v>451</v>
      </c>
      <c r="D77" s="50" t="s">
        <v>452</v>
      </c>
      <c r="E77" s="51">
        <f ca="1">IF(Tableau1[[#This Row],[Naissance]]="",0,DATEDIF(Tableau1[[#This Row],[Naissance]],TODAY(),"y"))</f>
        <v>38</v>
      </c>
      <c r="F77" s="50" t="s">
        <v>118</v>
      </c>
      <c r="G77" s="50" t="s">
        <v>417</v>
      </c>
      <c r="H77" s="51">
        <f ca="1">DATEDIF(Tableau1[[#This Row],[date recrutement]],TODAY(),"y")</f>
        <v>0</v>
      </c>
      <c r="I77" s="50" t="s">
        <v>42</v>
      </c>
      <c r="J77" s="52">
        <v>139000</v>
      </c>
    </row>
    <row r="78" spans="1:10" x14ac:dyDescent="0.25">
      <c r="A78" s="49" t="s">
        <v>453</v>
      </c>
      <c r="B78" s="50" t="s">
        <v>454</v>
      </c>
      <c r="C78" s="50" t="s">
        <v>455</v>
      </c>
      <c r="D78" s="50" t="s">
        <v>456</v>
      </c>
      <c r="E78" s="51">
        <f ca="1">IF(Tableau1[[#This Row],[Naissance]]="",0,DATEDIF(Tableau1[[#This Row],[Naissance]],TODAY(),"y"))</f>
        <v>24</v>
      </c>
      <c r="F78" s="50" t="s">
        <v>97</v>
      </c>
      <c r="G78" s="50" t="s">
        <v>457</v>
      </c>
      <c r="H78" s="51">
        <f ca="1">DATEDIF(Tableau1[[#This Row],[date recrutement]],TODAY(),"y")</f>
        <v>0</v>
      </c>
      <c r="I78" s="50" t="s">
        <v>42</v>
      </c>
      <c r="J78" s="52">
        <v>157000</v>
      </c>
    </row>
    <row r="79" spans="1:10" x14ac:dyDescent="0.25">
      <c r="A79" s="49" t="s">
        <v>458</v>
      </c>
      <c r="B79" s="50" t="s">
        <v>459</v>
      </c>
      <c r="C79" s="50" t="s">
        <v>460</v>
      </c>
      <c r="D79" s="50" t="s">
        <v>461</v>
      </c>
      <c r="E79" s="51">
        <f ca="1">IF(Tableau1[[#This Row],[Naissance]]="",0,DATEDIF(Tableau1[[#This Row],[Naissance]],TODAY(),"y"))</f>
        <v>47</v>
      </c>
      <c r="F79" s="50" t="s">
        <v>97</v>
      </c>
      <c r="G79" s="50" t="s">
        <v>462</v>
      </c>
      <c r="H79" s="51">
        <f ca="1">DATEDIF(Tableau1[[#This Row],[date recrutement]],TODAY(),"y")</f>
        <v>6</v>
      </c>
      <c r="I79" s="50" t="s">
        <v>42</v>
      </c>
      <c r="J79" s="52">
        <v>51000</v>
      </c>
    </row>
    <row r="80" spans="1:10" x14ac:dyDescent="0.25">
      <c r="A80" s="49" t="s">
        <v>463</v>
      </c>
      <c r="B80" s="50" t="s">
        <v>464</v>
      </c>
      <c r="C80" s="50" t="s">
        <v>465</v>
      </c>
      <c r="D80" s="50" t="s">
        <v>466</v>
      </c>
      <c r="E80" s="51">
        <f ca="1">IF(Tableau1[[#This Row],[Naissance]]="",0,DATEDIF(Tableau1[[#This Row],[Naissance]],TODAY(),"y"))</f>
        <v>44</v>
      </c>
      <c r="F80" s="50" t="s">
        <v>97</v>
      </c>
      <c r="G80" s="50" t="s">
        <v>467</v>
      </c>
      <c r="H80" s="51">
        <f ca="1">DATEDIF(Tableau1[[#This Row],[date recrutement]],TODAY(),"y")</f>
        <v>5</v>
      </c>
      <c r="I80" s="50" t="s">
        <v>42</v>
      </c>
      <c r="J80" s="52">
        <v>115000</v>
      </c>
    </row>
    <row r="81" spans="1:10" x14ac:dyDescent="0.25">
      <c r="A81" s="49" t="s">
        <v>468</v>
      </c>
      <c r="B81" s="50" t="s">
        <v>469</v>
      </c>
      <c r="C81" s="50" t="s">
        <v>470</v>
      </c>
      <c r="D81" s="50" t="s">
        <v>471</v>
      </c>
      <c r="E81" s="51">
        <f ca="1">IF(Tableau1[[#This Row],[Naissance]]="",0,DATEDIF(Tableau1[[#This Row],[Naissance]],TODAY(),"y"))</f>
        <v>34</v>
      </c>
      <c r="F81" s="50" t="s">
        <v>97</v>
      </c>
      <c r="G81" s="50" t="s">
        <v>344</v>
      </c>
      <c r="H81" s="51">
        <f ca="1">DATEDIF(Tableau1[[#This Row],[date recrutement]],TODAY(),"y")</f>
        <v>0</v>
      </c>
      <c r="I81" s="50" t="s">
        <v>42</v>
      </c>
      <c r="J81" s="52">
        <v>80000</v>
      </c>
    </row>
    <row r="82" spans="1:10" x14ac:dyDescent="0.25">
      <c r="A82" s="49" t="s">
        <v>472</v>
      </c>
      <c r="B82" s="50" t="s">
        <v>473</v>
      </c>
      <c r="C82" s="50" t="s">
        <v>474</v>
      </c>
      <c r="D82" s="50" t="s">
        <v>475</v>
      </c>
      <c r="E82" s="51">
        <f ca="1">IF(Tableau1[[#This Row],[Naissance]]="",0,DATEDIF(Tableau1[[#This Row],[Naissance]],TODAY(),"y"))</f>
        <v>54</v>
      </c>
      <c r="F82" s="50" t="s">
        <v>118</v>
      </c>
      <c r="G82" s="50" t="s">
        <v>476</v>
      </c>
      <c r="H82" s="51">
        <f ca="1">DATEDIF(Tableau1[[#This Row],[date recrutement]],TODAY(),"y")</f>
        <v>33</v>
      </c>
      <c r="I82" s="50" t="s">
        <v>43</v>
      </c>
      <c r="J82" s="52">
        <v>222000</v>
      </c>
    </row>
    <row r="83" spans="1:10" x14ac:dyDescent="0.25">
      <c r="A83" s="49" t="s">
        <v>477</v>
      </c>
      <c r="B83" s="50" t="s">
        <v>478</v>
      </c>
      <c r="C83" s="50" t="s">
        <v>479</v>
      </c>
      <c r="D83" s="50" t="s">
        <v>480</v>
      </c>
      <c r="E83" s="51">
        <f ca="1">IF(Tableau1[[#This Row],[Naissance]]="",0,DATEDIF(Tableau1[[#This Row],[Naissance]],TODAY(),"y"))</f>
        <v>40</v>
      </c>
      <c r="F83" s="50" t="s">
        <v>118</v>
      </c>
      <c r="G83" s="50" t="s">
        <v>481</v>
      </c>
      <c r="H83" s="51">
        <f ca="1">DATEDIF(Tableau1[[#This Row],[date recrutement]],TODAY(),"y")</f>
        <v>22</v>
      </c>
      <c r="I83" s="50" t="s">
        <v>43</v>
      </c>
      <c r="J83" s="52">
        <v>213000</v>
      </c>
    </row>
    <row r="84" spans="1:10" x14ac:dyDescent="0.25">
      <c r="A84" s="49" t="s">
        <v>482</v>
      </c>
      <c r="B84" s="50" t="s">
        <v>483</v>
      </c>
      <c r="C84" s="50" t="s">
        <v>484</v>
      </c>
      <c r="D84" s="50" t="s">
        <v>485</v>
      </c>
      <c r="E84" s="51">
        <f ca="1">IF(Tableau1[[#This Row],[Naissance]]="",0,DATEDIF(Tableau1[[#This Row],[Naissance]],TODAY(),"y"))</f>
        <v>21</v>
      </c>
      <c r="F84" s="50" t="s">
        <v>97</v>
      </c>
      <c r="G84" s="50" t="s">
        <v>486</v>
      </c>
      <c r="H84" s="51">
        <f ca="1">DATEDIF(Tableau1[[#This Row],[date recrutement]],TODAY(),"y")</f>
        <v>0</v>
      </c>
      <c r="I84" s="50" t="s">
        <v>42</v>
      </c>
      <c r="J84" s="52">
        <v>101000</v>
      </c>
    </row>
    <row r="85" spans="1:10" x14ac:dyDescent="0.25">
      <c r="A85" s="49" t="s">
        <v>487</v>
      </c>
      <c r="B85" s="50" t="s">
        <v>488</v>
      </c>
      <c r="C85" s="50" t="s">
        <v>489</v>
      </c>
      <c r="D85" s="50" t="s">
        <v>490</v>
      </c>
      <c r="E85" s="51">
        <f ca="1">IF(Tableau1[[#This Row],[Naissance]]="",0,DATEDIF(Tableau1[[#This Row],[Naissance]],TODAY(),"y"))</f>
        <v>45</v>
      </c>
      <c r="F85" s="50" t="s">
        <v>118</v>
      </c>
      <c r="G85" s="50" t="s">
        <v>491</v>
      </c>
      <c r="H85" s="51">
        <f ca="1">DATEDIF(Tableau1[[#This Row],[date recrutement]],TODAY(),"y")</f>
        <v>5</v>
      </c>
      <c r="I85" s="50" t="s">
        <v>43</v>
      </c>
      <c r="J85" s="52">
        <v>222000</v>
      </c>
    </row>
    <row r="86" spans="1:10" x14ac:dyDescent="0.25">
      <c r="A86" s="49" t="s">
        <v>492</v>
      </c>
      <c r="B86" s="50" t="s">
        <v>493</v>
      </c>
      <c r="C86" s="50" t="s">
        <v>494</v>
      </c>
      <c r="D86" s="50" t="s">
        <v>495</v>
      </c>
      <c r="E86" s="51">
        <f ca="1">IF(Tableau1[[#This Row],[Naissance]]="",0,DATEDIF(Tableau1[[#This Row],[Naissance]],TODAY(),"y"))</f>
        <v>26</v>
      </c>
      <c r="F86" s="50" t="s">
        <v>97</v>
      </c>
      <c r="G86" s="50" t="s">
        <v>496</v>
      </c>
      <c r="H86" s="51">
        <f ca="1">DATEDIF(Tableau1[[#This Row],[date recrutement]],TODAY(),"y")</f>
        <v>0</v>
      </c>
      <c r="I86" s="50" t="s">
        <v>42</v>
      </c>
      <c r="J86" s="52">
        <v>110000</v>
      </c>
    </row>
    <row r="87" spans="1:10" x14ac:dyDescent="0.25">
      <c r="A87" s="49" t="s">
        <v>497</v>
      </c>
      <c r="B87" s="50" t="s">
        <v>498</v>
      </c>
      <c r="C87" s="50" t="s">
        <v>499</v>
      </c>
      <c r="D87" s="50" t="s">
        <v>500</v>
      </c>
      <c r="E87" s="51">
        <f ca="1">IF(Tableau1[[#This Row],[Naissance]]="",0,DATEDIF(Tableau1[[#This Row],[Naissance]],TODAY(),"y"))</f>
        <v>18</v>
      </c>
      <c r="F87" s="50" t="s">
        <v>97</v>
      </c>
      <c r="G87" s="50" t="s">
        <v>186</v>
      </c>
      <c r="H87" s="51">
        <f ca="1">DATEDIF(Tableau1[[#This Row],[date recrutement]],TODAY(),"y")</f>
        <v>0</v>
      </c>
      <c r="I87" s="50" t="s">
        <v>42</v>
      </c>
      <c r="J87" s="52">
        <v>154000</v>
      </c>
    </row>
    <row r="88" spans="1:10" x14ac:dyDescent="0.25">
      <c r="A88" s="49" t="s">
        <v>501</v>
      </c>
      <c r="B88" s="50" t="s">
        <v>502</v>
      </c>
      <c r="C88" s="50" t="s">
        <v>503</v>
      </c>
      <c r="D88" s="50" t="s">
        <v>504</v>
      </c>
      <c r="E88" s="51">
        <f ca="1">IF(Tableau1[[#This Row],[Naissance]]="",0,DATEDIF(Tableau1[[#This Row],[Naissance]],TODAY(),"y"))</f>
        <v>46</v>
      </c>
      <c r="F88" s="50" t="s">
        <v>97</v>
      </c>
      <c r="G88" s="50" t="s">
        <v>505</v>
      </c>
      <c r="H88" s="51">
        <f ca="1">DATEDIF(Tableau1[[#This Row],[date recrutement]],TODAY(),"y")</f>
        <v>12</v>
      </c>
      <c r="I88" s="50" t="s">
        <v>43</v>
      </c>
      <c r="J88" s="52">
        <v>109000</v>
      </c>
    </row>
    <row r="89" spans="1:10" x14ac:dyDescent="0.25">
      <c r="A89" s="49" t="s">
        <v>506</v>
      </c>
      <c r="B89" s="50" t="s">
        <v>507</v>
      </c>
      <c r="C89" s="50" t="s">
        <v>508</v>
      </c>
      <c r="D89" s="50" t="s">
        <v>509</v>
      </c>
      <c r="E89" s="51">
        <f ca="1">IF(Tableau1[[#This Row],[Naissance]]="",0,DATEDIF(Tableau1[[#This Row],[Naissance]],TODAY(),"y"))</f>
        <v>37</v>
      </c>
      <c r="F89" s="50" t="s">
        <v>97</v>
      </c>
      <c r="G89" s="50" t="s">
        <v>510</v>
      </c>
      <c r="H89" s="51">
        <f ca="1">DATEDIF(Tableau1[[#This Row],[date recrutement]],TODAY(),"y")</f>
        <v>7</v>
      </c>
      <c r="I89" s="50" t="s">
        <v>42</v>
      </c>
      <c r="J89" s="52">
        <v>54000</v>
      </c>
    </row>
    <row r="90" spans="1:10" x14ac:dyDescent="0.25">
      <c r="A90" s="49" t="s">
        <v>511</v>
      </c>
      <c r="B90" s="50" t="s">
        <v>512</v>
      </c>
      <c r="C90" s="50" t="s">
        <v>513</v>
      </c>
      <c r="D90" s="50" t="s">
        <v>514</v>
      </c>
      <c r="E90" s="51">
        <f ca="1">IF(Tableau1[[#This Row],[Naissance]]="",0,DATEDIF(Tableau1[[#This Row],[Naissance]],TODAY(),"y"))</f>
        <v>25</v>
      </c>
      <c r="F90" s="50" t="s">
        <v>118</v>
      </c>
      <c r="G90" s="50" t="s">
        <v>515</v>
      </c>
      <c r="H90" s="51">
        <f ca="1">DATEDIF(Tableau1[[#This Row],[date recrutement]],TODAY(),"y")</f>
        <v>0</v>
      </c>
      <c r="I90" s="50" t="s">
        <v>42</v>
      </c>
      <c r="J90" s="52">
        <v>209000</v>
      </c>
    </row>
    <row r="91" spans="1:10" x14ac:dyDescent="0.25">
      <c r="A91" s="49" t="s">
        <v>516</v>
      </c>
      <c r="B91" s="50" t="s">
        <v>517</v>
      </c>
      <c r="C91" s="50" t="s">
        <v>518</v>
      </c>
      <c r="D91" s="50" t="s">
        <v>519</v>
      </c>
      <c r="E91" s="51">
        <f ca="1">IF(Tableau1[[#This Row],[Naissance]]="",0,DATEDIF(Tableau1[[#This Row],[Naissance]],TODAY(),"y"))</f>
        <v>59</v>
      </c>
      <c r="F91" s="50" t="s">
        <v>97</v>
      </c>
      <c r="G91" s="50" t="s">
        <v>520</v>
      </c>
      <c r="H91" s="51">
        <f ca="1">DATEDIF(Tableau1[[#This Row],[date recrutement]],TODAY(),"y")</f>
        <v>6</v>
      </c>
      <c r="I91" s="50" t="s">
        <v>42</v>
      </c>
      <c r="J91" s="52">
        <v>56000</v>
      </c>
    </row>
    <row r="92" spans="1:10" x14ac:dyDescent="0.25">
      <c r="A92" s="49" t="s">
        <v>521</v>
      </c>
      <c r="B92" s="50" t="s">
        <v>522</v>
      </c>
      <c r="C92" s="50" t="s">
        <v>523</v>
      </c>
      <c r="D92" s="50" t="s">
        <v>524</v>
      </c>
      <c r="E92" s="51">
        <f ca="1">IF(Tableau1[[#This Row],[Naissance]]="",0,DATEDIF(Tableau1[[#This Row],[Naissance]],TODAY(),"y"))</f>
        <v>41</v>
      </c>
      <c r="F92" s="50" t="s">
        <v>118</v>
      </c>
      <c r="G92" s="50" t="s">
        <v>196</v>
      </c>
      <c r="H92" s="51">
        <f ca="1">DATEDIF(Tableau1[[#This Row],[date recrutement]],TODAY(),"y")</f>
        <v>3</v>
      </c>
      <c r="I92" s="50" t="s">
        <v>42</v>
      </c>
      <c r="J92" s="52">
        <v>139000</v>
      </c>
    </row>
    <row r="93" spans="1:10" x14ac:dyDescent="0.25">
      <c r="A93" s="49" t="s">
        <v>525</v>
      </c>
      <c r="B93" s="50" t="s">
        <v>526</v>
      </c>
      <c r="C93" s="50" t="s">
        <v>527</v>
      </c>
      <c r="D93" s="50" t="s">
        <v>528</v>
      </c>
      <c r="E93" s="51">
        <f ca="1">IF(Tableau1[[#This Row],[Naissance]]="",0,DATEDIF(Tableau1[[#This Row],[Naissance]],TODAY(),"y"))</f>
        <v>30</v>
      </c>
      <c r="F93" s="50" t="s">
        <v>97</v>
      </c>
      <c r="G93" s="50" t="s">
        <v>529</v>
      </c>
      <c r="H93" s="51">
        <f ca="1">DATEDIF(Tableau1[[#This Row],[date recrutement]],TODAY(),"y")</f>
        <v>0</v>
      </c>
      <c r="I93" s="50" t="s">
        <v>42</v>
      </c>
      <c r="J93" s="52">
        <v>149000</v>
      </c>
    </row>
    <row r="94" spans="1:10" x14ac:dyDescent="0.25">
      <c r="A94" s="49" t="s">
        <v>530</v>
      </c>
      <c r="B94" s="50" t="s">
        <v>531</v>
      </c>
      <c r="C94" s="50" t="s">
        <v>532</v>
      </c>
      <c r="D94" s="50" t="s">
        <v>533</v>
      </c>
      <c r="E94" s="51">
        <f ca="1">IF(Tableau1[[#This Row],[Naissance]]="",0,DATEDIF(Tableau1[[#This Row],[Naissance]],TODAY(),"y"))</f>
        <v>37</v>
      </c>
      <c r="F94" s="50" t="s">
        <v>97</v>
      </c>
      <c r="G94" s="50" t="s">
        <v>534</v>
      </c>
      <c r="H94" s="51">
        <f ca="1">DATEDIF(Tableau1[[#This Row],[date recrutement]],TODAY(),"y")</f>
        <v>8</v>
      </c>
      <c r="I94" s="50" t="s">
        <v>42</v>
      </c>
      <c r="J94" s="52">
        <v>233000</v>
      </c>
    </row>
    <row r="95" spans="1:10" x14ac:dyDescent="0.25">
      <c r="A95" s="49" t="s">
        <v>535</v>
      </c>
      <c r="B95" s="50" t="s">
        <v>536</v>
      </c>
      <c r="C95" s="50" t="s">
        <v>537</v>
      </c>
      <c r="D95" s="50" t="s">
        <v>538</v>
      </c>
      <c r="E95" s="51">
        <f ca="1">IF(Tableau1[[#This Row],[Naissance]]="",0,DATEDIF(Tableau1[[#This Row],[Naissance]],TODAY(),"y"))</f>
        <v>33</v>
      </c>
      <c r="F95" s="50" t="s">
        <v>97</v>
      </c>
      <c r="G95" s="50" t="s">
        <v>539</v>
      </c>
      <c r="H95" s="51">
        <f ca="1">DATEDIF(Tableau1[[#This Row],[date recrutement]],TODAY(),"y")</f>
        <v>0</v>
      </c>
      <c r="I95" s="50" t="s">
        <v>42</v>
      </c>
      <c r="J95" s="52">
        <v>208000</v>
      </c>
    </row>
    <row r="96" spans="1:10" x14ac:dyDescent="0.25">
      <c r="A96" s="49" t="s">
        <v>540</v>
      </c>
      <c r="B96" s="50" t="s">
        <v>541</v>
      </c>
      <c r="C96" s="50" t="s">
        <v>542</v>
      </c>
      <c r="D96" s="50" t="s">
        <v>543</v>
      </c>
      <c r="E96" s="51">
        <f ca="1">IF(Tableau1[[#This Row],[Naissance]]="",0,DATEDIF(Tableau1[[#This Row],[Naissance]],TODAY(),"y"))</f>
        <v>19</v>
      </c>
      <c r="F96" s="50" t="s">
        <v>97</v>
      </c>
      <c r="G96" s="50" t="s">
        <v>285</v>
      </c>
      <c r="H96" s="51">
        <f ca="1">DATEDIF(Tableau1[[#This Row],[date recrutement]],TODAY(),"y")</f>
        <v>0</v>
      </c>
      <c r="I96" s="50" t="s">
        <v>42</v>
      </c>
      <c r="J96" s="52">
        <v>131000</v>
      </c>
    </row>
    <row r="97" spans="1:10" x14ac:dyDescent="0.25">
      <c r="A97" s="49" t="s">
        <v>544</v>
      </c>
      <c r="B97" s="50" t="s">
        <v>545</v>
      </c>
      <c r="C97" s="50" t="s">
        <v>546</v>
      </c>
      <c r="D97" s="50" t="s">
        <v>547</v>
      </c>
      <c r="E97" s="51">
        <f ca="1">IF(Tableau1[[#This Row],[Naissance]]="",0,DATEDIF(Tableau1[[#This Row],[Naissance]],TODAY(),"y"))</f>
        <v>44</v>
      </c>
      <c r="F97" s="50" t="s">
        <v>97</v>
      </c>
      <c r="G97" s="50" t="s">
        <v>548</v>
      </c>
      <c r="H97" s="51">
        <f ca="1">DATEDIF(Tableau1[[#This Row],[date recrutement]],TODAY(),"y")</f>
        <v>0</v>
      </c>
      <c r="I97" s="50" t="s">
        <v>42</v>
      </c>
      <c r="J97" s="52">
        <v>78000</v>
      </c>
    </row>
    <row r="98" spans="1:10" x14ac:dyDescent="0.25">
      <c r="A98" s="49" t="s">
        <v>549</v>
      </c>
      <c r="B98" s="50" t="s">
        <v>550</v>
      </c>
      <c r="C98" s="50" t="s">
        <v>551</v>
      </c>
      <c r="D98" s="50" t="s">
        <v>552</v>
      </c>
      <c r="E98" s="51">
        <f ca="1">IF(Tableau1[[#This Row],[Naissance]]="",0,DATEDIF(Tableau1[[#This Row],[Naissance]],TODAY(),"y"))</f>
        <v>41</v>
      </c>
      <c r="F98" s="50" t="s">
        <v>97</v>
      </c>
      <c r="G98" s="50" t="s">
        <v>553</v>
      </c>
      <c r="H98" s="51">
        <f ca="1">DATEDIF(Tableau1[[#This Row],[date recrutement]],TODAY(),"y")</f>
        <v>21</v>
      </c>
      <c r="I98" s="50" t="s">
        <v>43</v>
      </c>
      <c r="J98" s="52">
        <v>213000</v>
      </c>
    </row>
    <row r="99" spans="1:10" x14ac:dyDescent="0.25">
      <c r="A99" s="49" t="s">
        <v>554</v>
      </c>
      <c r="B99" s="50" t="s">
        <v>555</v>
      </c>
      <c r="C99" s="50" t="s">
        <v>556</v>
      </c>
      <c r="D99" s="50" t="s">
        <v>557</v>
      </c>
      <c r="E99" s="51">
        <f ca="1">IF(Tableau1[[#This Row],[Naissance]]="",0,DATEDIF(Tableau1[[#This Row],[Naissance]],TODAY(),"y"))</f>
        <v>51</v>
      </c>
      <c r="F99" s="50" t="s">
        <v>97</v>
      </c>
      <c r="G99" s="50" t="s">
        <v>558</v>
      </c>
      <c r="H99" s="51">
        <f ca="1">DATEDIF(Tableau1[[#This Row],[date recrutement]],TODAY(),"y")</f>
        <v>5</v>
      </c>
      <c r="I99" s="50" t="s">
        <v>42</v>
      </c>
      <c r="J99" s="52">
        <v>238000</v>
      </c>
    </row>
    <row r="100" spans="1:10" x14ac:dyDescent="0.25">
      <c r="A100" s="49" t="s">
        <v>559</v>
      </c>
      <c r="B100" s="50" t="s">
        <v>560</v>
      </c>
      <c r="C100" s="50" t="s">
        <v>561</v>
      </c>
      <c r="D100" s="50" t="s">
        <v>562</v>
      </c>
      <c r="E100" s="51">
        <f ca="1">IF(Tableau1[[#This Row],[Naissance]]="",0,DATEDIF(Tableau1[[#This Row],[Naissance]],TODAY(),"y"))</f>
        <v>58</v>
      </c>
      <c r="F100" s="50" t="s">
        <v>97</v>
      </c>
      <c r="G100" s="50" t="s">
        <v>563</v>
      </c>
      <c r="H100" s="51">
        <f ca="1">DATEDIF(Tableau1[[#This Row],[date recrutement]],TODAY(),"y")</f>
        <v>24</v>
      </c>
      <c r="I100" s="50" t="s">
        <v>43</v>
      </c>
      <c r="J100" s="52">
        <v>232000</v>
      </c>
    </row>
    <row r="101" spans="1:10" ht="17.25" customHeight="1" x14ac:dyDescent="0.25">
      <c r="A101" s="49" t="s">
        <v>564</v>
      </c>
      <c r="B101" s="50" t="s">
        <v>565</v>
      </c>
      <c r="C101" s="50" t="s">
        <v>566</v>
      </c>
      <c r="D101" s="54">
        <v>35227</v>
      </c>
      <c r="E101" s="51">
        <f ca="1">IF(Tableau1[[#This Row],[Naissance]]="",0,DATEDIF(Tableau1[[#This Row],[Naissance]],TODAY(),"y"))</f>
        <v>28</v>
      </c>
      <c r="F101" s="50" t="s">
        <v>97</v>
      </c>
      <c r="G101" s="50" t="s">
        <v>98</v>
      </c>
      <c r="H101" s="51">
        <f ca="1">DATEDIF(Tableau1[[#This Row],[date recrutement]],TODAY(),"y")</f>
        <v>0</v>
      </c>
      <c r="I101" s="50" t="s">
        <v>42</v>
      </c>
      <c r="J101" s="52">
        <v>241000</v>
      </c>
    </row>
    <row r="102" spans="1:10" x14ac:dyDescent="0.25">
      <c r="A102" s="49" t="s">
        <v>567</v>
      </c>
      <c r="B102" s="50" t="s">
        <v>568</v>
      </c>
      <c r="C102" s="50" t="s">
        <v>569</v>
      </c>
      <c r="D102" s="50" t="s">
        <v>570</v>
      </c>
      <c r="E102" s="51">
        <f ca="1">IF(Tableau1[[#This Row],[Naissance]]="",0,DATEDIF(Tableau1[[#This Row],[Naissance]],TODAY(),"y"))</f>
        <v>33</v>
      </c>
      <c r="F102" s="50" t="s">
        <v>97</v>
      </c>
      <c r="G102" s="50" t="s">
        <v>201</v>
      </c>
      <c r="H102" s="51">
        <f ca="1">DATEDIF(Tableau1[[#This Row],[date recrutement]],TODAY(),"y")</f>
        <v>0</v>
      </c>
      <c r="I102" s="50" t="s">
        <v>42</v>
      </c>
      <c r="J102" s="52">
        <v>234000</v>
      </c>
    </row>
    <row r="103" spans="1:10" x14ac:dyDescent="0.25">
      <c r="A103" s="49" t="s">
        <v>571</v>
      </c>
      <c r="B103" s="50" t="s">
        <v>572</v>
      </c>
      <c r="C103" s="50" t="s">
        <v>573</v>
      </c>
      <c r="D103" s="50" t="s">
        <v>574</v>
      </c>
      <c r="E103" s="51">
        <f ca="1">IF(Tableau1[[#This Row],[Naissance]]="",0,DATEDIF(Tableau1[[#This Row],[Naissance]],TODAY(),"y"))</f>
        <v>54</v>
      </c>
      <c r="F103" s="50" t="s">
        <v>97</v>
      </c>
      <c r="G103" s="50" t="s">
        <v>575</v>
      </c>
      <c r="H103" s="51">
        <f ca="1">DATEDIF(Tableau1[[#This Row],[date recrutement]],TODAY(),"y")</f>
        <v>3</v>
      </c>
      <c r="I103" s="50" t="s">
        <v>42</v>
      </c>
      <c r="J103" s="52">
        <v>117000</v>
      </c>
    </row>
    <row r="104" spans="1:10" x14ac:dyDescent="0.25">
      <c r="A104" s="49" t="s">
        <v>576</v>
      </c>
      <c r="B104" s="50" t="s">
        <v>577</v>
      </c>
      <c r="C104" s="50" t="s">
        <v>578</v>
      </c>
      <c r="D104" s="50" t="s">
        <v>579</v>
      </c>
      <c r="E104" s="51">
        <f ca="1">IF(Tableau1[[#This Row],[Naissance]]="",0,DATEDIF(Tableau1[[#This Row],[Naissance]],TODAY(),"y"))</f>
        <v>34</v>
      </c>
      <c r="F104" s="50" t="s">
        <v>97</v>
      </c>
      <c r="G104" s="50" t="s">
        <v>580</v>
      </c>
      <c r="H104" s="51">
        <f ca="1">DATEDIF(Tableau1[[#This Row],[date recrutement]],TODAY(),"y")</f>
        <v>0</v>
      </c>
      <c r="I104" s="50" t="s">
        <v>42</v>
      </c>
      <c r="J104" s="52">
        <v>91000</v>
      </c>
    </row>
    <row r="105" spans="1:10" x14ac:dyDescent="0.25">
      <c r="A105" s="49" t="s">
        <v>581</v>
      </c>
      <c r="B105" s="50" t="s">
        <v>582</v>
      </c>
      <c r="C105" s="50" t="s">
        <v>583</v>
      </c>
      <c r="D105" s="50" t="s">
        <v>584</v>
      </c>
      <c r="E105" s="51">
        <f ca="1">IF(Tableau1[[#This Row],[Naissance]]="",0,DATEDIF(Tableau1[[#This Row],[Naissance]],TODAY(),"y"))</f>
        <v>48</v>
      </c>
      <c r="F105" s="50" t="s">
        <v>97</v>
      </c>
      <c r="G105" s="50" t="s">
        <v>585</v>
      </c>
      <c r="H105" s="51">
        <f ca="1">DATEDIF(Tableau1[[#This Row],[date recrutement]],TODAY(),"y")</f>
        <v>3</v>
      </c>
      <c r="I105" s="50" t="s">
        <v>42</v>
      </c>
      <c r="J105" s="52">
        <v>181000</v>
      </c>
    </row>
    <row r="106" spans="1:10" x14ac:dyDescent="0.25">
      <c r="A106" s="49" t="s">
        <v>586</v>
      </c>
      <c r="B106" s="50" t="s">
        <v>587</v>
      </c>
      <c r="C106" s="50" t="s">
        <v>588</v>
      </c>
      <c r="D106" s="50" t="s">
        <v>589</v>
      </c>
      <c r="E106" s="51">
        <f ca="1">IF(Tableau1[[#This Row],[Naissance]]="",0,DATEDIF(Tableau1[[#This Row],[Naissance]],TODAY(),"y"))</f>
        <v>38</v>
      </c>
      <c r="F106" s="50" t="s">
        <v>118</v>
      </c>
      <c r="G106" s="50" t="s">
        <v>590</v>
      </c>
      <c r="H106" s="51">
        <f ca="1">DATEDIF(Tableau1[[#This Row],[date recrutement]],TODAY(),"y")</f>
        <v>14</v>
      </c>
      <c r="I106" s="50" t="s">
        <v>43</v>
      </c>
      <c r="J106" s="52">
        <v>146000</v>
      </c>
    </row>
    <row r="107" spans="1:10" x14ac:dyDescent="0.25">
      <c r="A107" s="49" t="s">
        <v>591</v>
      </c>
      <c r="B107" s="50" t="s">
        <v>592</v>
      </c>
      <c r="C107" s="50" t="s">
        <v>593</v>
      </c>
      <c r="D107" s="50" t="s">
        <v>594</v>
      </c>
      <c r="E107" s="51">
        <f ca="1">IF(Tableau1[[#This Row],[Naissance]]="",0,DATEDIF(Tableau1[[#This Row],[Naissance]],TODAY(),"y"))</f>
        <v>31</v>
      </c>
      <c r="F107" s="50" t="s">
        <v>118</v>
      </c>
      <c r="G107" s="50" t="s">
        <v>595</v>
      </c>
      <c r="H107" s="51">
        <f ca="1">DATEDIF(Tableau1[[#This Row],[date recrutement]],TODAY(),"y")</f>
        <v>0</v>
      </c>
      <c r="I107" s="50" t="s">
        <v>42</v>
      </c>
      <c r="J107" s="52">
        <v>236000</v>
      </c>
    </row>
    <row r="108" spans="1:10" x14ac:dyDescent="0.25">
      <c r="A108" s="49" t="s">
        <v>596</v>
      </c>
      <c r="B108" s="50" t="s">
        <v>597</v>
      </c>
      <c r="C108" s="50" t="s">
        <v>598</v>
      </c>
      <c r="D108" s="50" t="s">
        <v>599</v>
      </c>
      <c r="E108" s="51">
        <f ca="1">IF(Tableau1[[#This Row],[Naissance]]="",0,DATEDIF(Tableau1[[#This Row],[Naissance]],TODAY(),"y"))</f>
        <v>27</v>
      </c>
      <c r="F108" s="50" t="s">
        <v>118</v>
      </c>
      <c r="G108" s="50" t="s">
        <v>600</v>
      </c>
      <c r="H108" s="51">
        <f ca="1">DATEDIF(Tableau1[[#This Row],[date recrutement]],TODAY(),"y")</f>
        <v>1</v>
      </c>
      <c r="I108" s="50" t="s">
        <v>42</v>
      </c>
      <c r="J108" s="52">
        <v>81000</v>
      </c>
    </row>
    <row r="109" spans="1:10" x14ac:dyDescent="0.25">
      <c r="A109" s="49" t="s">
        <v>601</v>
      </c>
      <c r="B109" s="50" t="s">
        <v>602</v>
      </c>
      <c r="C109" s="50" t="s">
        <v>603</v>
      </c>
      <c r="D109" s="50" t="s">
        <v>604</v>
      </c>
      <c r="E109" s="51">
        <f ca="1">IF(Tableau1[[#This Row],[Naissance]]="",0,DATEDIF(Tableau1[[#This Row],[Naissance]],TODAY(),"y"))</f>
        <v>33</v>
      </c>
      <c r="F109" s="50" t="s">
        <v>97</v>
      </c>
      <c r="G109" s="50" t="s">
        <v>605</v>
      </c>
      <c r="H109" s="51">
        <f ca="1">DATEDIF(Tableau1[[#This Row],[date recrutement]],TODAY(),"y")</f>
        <v>6</v>
      </c>
      <c r="I109" s="50" t="s">
        <v>42</v>
      </c>
      <c r="J109" s="52">
        <v>166000</v>
      </c>
    </row>
    <row r="110" spans="1:10" x14ac:dyDescent="0.25">
      <c r="A110" s="49" t="s">
        <v>606</v>
      </c>
      <c r="B110" s="50" t="s">
        <v>607</v>
      </c>
      <c r="C110" s="50" t="s">
        <v>608</v>
      </c>
      <c r="D110" s="50" t="s">
        <v>609</v>
      </c>
      <c r="E110" s="51">
        <f ca="1">IF(Tableau1[[#This Row],[Naissance]]="",0,DATEDIF(Tableau1[[#This Row],[Naissance]],TODAY(),"y"))</f>
        <v>40</v>
      </c>
      <c r="F110" s="50" t="s">
        <v>97</v>
      </c>
      <c r="G110" s="50" t="s">
        <v>610</v>
      </c>
      <c r="H110" s="51">
        <f ca="1">DATEDIF(Tableau1[[#This Row],[date recrutement]],TODAY(),"y")</f>
        <v>12</v>
      </c>
      <c r="I110" s="50" t="s">
        <v>42</v>
      </c>
      <c r="J110" s="52">
        <v>221000</v>
      </c>
    </row>
    <row r="111" spans="1:10" x14ac:dyDescent="0.25">
      <c r="A111" s="49" t="s">
        <v>611</v>
      </c>
      <c r="B111" s="50" t="s">
        <v>612</v>
      </c>
      <c r="C111" s="50" t="s">
        <v>613</v>
      </c>
      <c r="D111" s="50" t="s">
        <v>614</v>
      </c>
      <c r="E111" s="51">
        <f ca="1">IF(Tableau1[[#This Row],[Naissance]]="",0,DATEDIF(Tableau1[[#This Row],[Naissance]],TODAY(),"y"))</f>
        <v>46</v>
      </c>
      <c r="F111" s="50" t="s">
        <v>97</v>
      </c>
      <c r="G111" s="50" t="s">
        <v>615</v>
      </c>
      <c r="H111" s="51">
        <f ca="1">DATEDIF(Tableau1[[#This Row],[date recrutement]],TODAY(),"y")</f>
        <v>4</v>
      </c>
      <c r="I111" s="50" t="s">
        <v>42</v>
      </c>
      <c r="J111" s="52">
        <v>248000</v>
      </c>
    </row>
    <row r="112" spans="1:10" x14ac:dyDescent="0.25">
      <c r="A112" s="49" t="s">
        <v>616</v>
      </c>
      <c r="B112" s="50" t="s">
        <v>617</v>
      </c>
      <c r="C112" s="50" t="s">
        <v>618</v>
      </c>
      <c r="D112" s="50" t="s">
        <v>619</v>
      </c>
      <c r="E112" s="51">
        <f ca="1">IF(Tableau1[[#This Row],[Naissance]]="",0,DATEDIF(Tableau1[[#This Row],[Naissance]],TODAY(),"y"))</f>
        <v>37</v>
      </c>
      <c r="F112" s="50" t="s">
        <v>118</v>
      </c>
      <c r="G112" s="50" t="s">
        <v>620</v>
      </c>
      <c r="H112" s="51">
        <f ca="1">DATEDIF(Tableau1[[#This Row],[date recrutement]],TODAY(),"y")</f>
        <v>1</v>
      </c>
      <c r="I112" s="50" t="s">
        <v>42</v>
      </c>
      <c r="J112" s="52">
        <v>172000</v>
      </c>
    </row>
    <row r="113" spans="1:10" x14ac:dyDescent="0.25">
      <c r="A113" s="49" t="s">
        <v>621</v>
      </c>
      <c r="B113" s="50" t="s">
        <v>622</v>
      </c>
      <c r="C113" s="50" t="s">
        <v>623</v>
      </c>
      <c r="D113" s="50" t="s">
        <v>624</v>
      </c>
      <c r="E113" s="51">
        <f ca="1">IF(Tableau1[[#This Row],[Naissance]]="",0,DATEDIF(Tableau1[[#This Row],[Naissance]],TODAY(),"y"))</f>
        <v>27</v>
      </c>
      <c r="F113" s="50" t="s">
        <v>97</v>
      </c>
      <c r="G113" s="50" t="s">
        <v>201</v>
      </c>
      <c r="H113" s="51">
        <f ca="1">DATEDIF(Tableau1[[#This Row],[date recrutement]],TODAY(),"y")</f>
        <v>0</v>
      </c>
      <c r="I113" s="50" t="s">
        <v>42</v>
      </c>
      <c r="J113" s="52">
        <v>122000</v>
      </c>
    </row>
    <row r="114" spans="1:10" x14ac:dyDescent="0.25">
      <c r="A114" s="49" t="s">
        <v>625</v>
      </c>
      <c r="B114" s="50" t="s">
        <v>626</v>
      </c>
      <c r="C114" s="50" t="s">
        <v>627</v>
      </c>
      <c r="D114" s="50" t="s">
        <v>628</v>
      </c>
      <c r="E114" s="51">
        <f ca="1">IF(Tableau1[[#This Row],[Naissance]]="",0,DATEDIF(Tableau1[[#This Row],[Naissance]],TODAY(),"y"))</f>
        <v>22</v>
      </c>
      <c r="F114" s="50" t="s">
        <v>118</v>
      </c>
      <c r="G114" s="50" t="s">
        <v>629</v>
      </c>
      <c r="H114" s="51">
        <f ca="1">DATEDIF(Tableau1[[#This Row],[date recrutement]],TODAY(),"y")</f>
        <v>0</v>
      </c>
      <c r="I114" s="50" t="s">
        <v>42</v>
      </c>
      <c r="J114" s="52">
        <v>237000</v>
      </c>
    </row>
    <row r="115" spans="1:10" x14ac:dyDescent="0.25">
      <c r="A115" s="49" t="s">
        <v>630</v>
      </c>
      <c r="B115" s="50" t="s">
        <v>631</v>
      </c>
      <c r="C115" s="50" t="s">
        <v>632</v>
      </c>
      <c r="D115" s="54">
        <v>38016</v>
      </c>
      <c r="E115" s="51">
        <f ca="1">IF(Tableau1[[#This Row],[Naissance]]="",0,DATEDIF(Tableau1[[#This Row],[Naissance]],TODAY(),"y"))</f>
        <v>20</v>
      </c>
      <c r="F115" s="50" t="s">
        <v>97</v>
      </c>
      <c r="G115" s="50" t="s">
        <v>633</v>
      </c>
      <c r="H115" s="51">
        <f ca="1">DATEDIF(Tableau1[[#This Row],[date recrutement]],TODAY(),"y")</f>
        <v>0</v>
      </c>
      <c r="I115" s="50" t="s">
        <v>42</v>
      </c>
      <c r="J115" s="52">
        <v>231000</v>
      </c>
    </row>
    <row r="116" spans="1:10" x14ac:dyDescent="0.25">
      <c r="A116" s="49" t="s">
        <v>634</v>
      </c>
      <c r="B116" s="50" t="s">
        <v>635</v>
      </c>
      <c r="C116" s="50" t="s">
        <v>636</v>
      </c>
      <c r="D116" s="50" t="s">
        <v>637</v>
      </c>
      <c r="E116" s="51">
        <f ca="1">IF(Tableau1[[#This Row],[Naissance]]="",0,DATEDIF(Tableau1[[#This Row],[Naissance]],TODAY(),"y"))</f>
        <v>57</v>
      </c>
      <c r="F116" s="50" t="s">
        <v>97</v>
      </c>
      <c r="G116" s="50" t="s">
        <v>638</v>
      </c>
      <c r="H116" s="51">
        <f ca="1">DATEDIF(Tableau1[[#This Row],[date recrutement]],TODAY(),"y")</f>
        <v>28</v>
      </c>
      <c r="I116" s="50" t="s">
        <v>43</v>
      </c>
      <c r="J116" s="52">
        <v>239000</v>
      </c>
    </row>
    <row r="117" spans="1:10" x14ac:dyDescent="0.25">
      <c r="A117" s="49" t="s">
        <v>639</v>
      </c>
      <c r="B117" s="50" t="s">
        <v>640</v>
      </c>
      <c r="C117" s="50" t="s">
        <v>641</v>
      </c>
      <c r="D117" s="50" t="s">
        <v>642</v>
      </c>
      <c r="E117" s="51">
        <f ca="1">IF(Tableau1[[#This Row],[Naissance]]="",0,DATEDIF(Tableau1[[#This Row],[Naissance]],TODAY(),"y"))</f>
        <v>26</v>
      </c>
      <c r="F117" s="50" t="s">
        <v>97</v>
      </c>
      <c r="G117" s="50" t="s">
        <v>643</v>
      </c>
      <c r="H117" s="51">
        <f ca="1">DATEDIF(Tableau1[[#This Row],[date recrutement]],TODAY(),"y")</f>
        <v>2</v>
      </c>
      <c r="I117" s="50" t="s">
        <v>42</v>
      </c>
      <c r="J117" s="52">
        <v>160000</v>
      </c>
    </row>
    <row r="118" spans="1:10" x14ac:dyDescent="0.25">
      <c r="A118" s="49" t="s">
        <v>644</v>
      </c>
      <c r="B118" s="50" t="s">
        <v>645</v>
      </c>
      <c r="C118" s="50" t="s">
        <v>646</v>
      </c>
      <c r="D118" s="50" t="s">
        <v>647</v>
      </c>
      <c r="E118" s="51">
        <f ca="1">IF(Tableau1[[#This Row],[Naissance]]="",0,DATEDIF(Tableau1[[#This Row],[Naissance]],TODAY(),"y"))</f>
        <v>38</v>
      </c>
      <c r="F118" s="50" t="s">
        <v>118</v>
      </c>
      <c r="G118" s="50" t="s">
        <v>648</v>
      </c>
      <c r="H118" s="51">
        <f ca="1">DATEDIF(Tableau1[[#This Row],[date recrutement]],TODAY(),"y")</f>
        <v>0</v>
      </c>
      <c r="I118" s="50" t="s">
        <v>42</v>
      </c>
      <c r="J118" s="52">
        <v>154000</v>
      </c>
    </row>
    <row r="119" spans="1:10" x14ac:dyDescent="0.25">
      <c r="A119" s="49" t="s">
        <v>649</v>
      </c>
      <c r="B119" s="50" t="s">
        <v>650</v>
      </c>
      <c r="C119" s="50" t="s">
        <v>651</v>
      </c>
      <c r="D119" s="50" t="s">
        <v>652</v>
      </c>
      <c r="E119" s="51">
        <f ca="1">IF(Tableau1[[#This Row],[Naissance]]="",0,DATEDIF(Tableau1[[#This Row],[Naissance]],TODAY(),"y"))</f>
        <v>49</v>
      </c>
      <c r="F119" s="50" t="s">
        <v>118</v>
      </c>
      <c r="G119" s="50" t="s">
        <v>528</v>
      </c>
      <c r="H119" s="51">
        <f ca="1">DATEDIF(Tableau1[[#This Row],[date recrutement]],TODAY(),"y")</f>
        <v>30</v>
      </c>
      <c r="I119" s="50" t="s">
        <v>43</v>
      </c>
      <c r="J119" s="52">
        <v>181000</v>
      </c>
    </row>
    <row r="120" spans="1:10" x14ac:dyDescent="0.25">
      <c r="A120" s="49" t="s">
        <v>653</v>
      </c>
      <c r="B120" s="50" t="s">
        <v>654</v>
      </c>
      <c r="C120" s="50" t="s">
        <v>655</v>
      </c>
      <c r="D120" s="50" t="s">
        <v>656</v>
      </c>
      <c r="E120" s="51">
        <f ca="1">IF(Tableau1[[#This Row],[Naissance]]="",0,DATEDIF(Tableau1[[#This Row],[Naissance]],TODAY(),"y"))</f>
        <v>29</v>
      </c>
      <c r="F120" s="50" t="s">
        <v>97</v>
      </c>
      <c r="G120" s="50" t="s">
        <v>657</v>
      </c>
      <c r="H120" s="51">
        <f ca="1">DATEDIF(Tableau1[[#This Row],[date recrutement]],TODAY(),"y")</f>
        <v>4</v>
      </c>
      <c r="I120" s="50" t="s">
        <v>42</v>
      </c>
      <c r="J120" s="52">
        <v>55000</v>
      </c>
    </row>
    <row r="121" spans="1:10" x14ac:dyDescent="0.25">
      <c r="A121" s="49" t="s">
        <v>658</v>
      </c>
      <c r="B121" s="50" t="s">
        <v>659</v>
      </c>
      <c r="C121" s="50" t="s">
        <v>660</v>
      </c>
      <c r="D121" s="50" t="s">
        <v>661</v>
      </c>
      <c r="E121" s="51">
        <f ca="1">IF(Tableau1[[#This Row],[Naissance]]="",0,DATEDIF(Tableau1[[#This Row],[Naissance]],TODAY(),"y"))</f>
        <v>57</v>
      </c>
      <c r="F121" s="50" t="s">
        <v>97</v>
      </c>
      <c r="G121" s="50" t="s">
        <v>662</v>
      </c>
      <c r="H121" s="51">
        <f ca="1">DATEDIF(Tableau1[[#This Row],[date recrutement]],TODAY(),"y")</f>
        <v>17</v>
      </c>
      <c r="I121" s="50" t="s">
        <v>43</v>
      </c>
      <c r="J121" s="52">
        <v>246000</v>
      </c>
    </row>
    <row r="122" spans="1:10" x14ac:dyDescent="0.25">
      <c r="A122" s="49" t="s">
        <v>663</v>
      </c>
      <c r="B122" s="50" t="s">
        <v>664</v>
      </c>
      <c r="C122" s="50" t="s">
        <v>665</v>
      </c>
      <c r="D122" s="50" t="s">
        <v>666</v>
      </c>
      <c r="E122" s="51">
        <f ca="1">IF(Tableau1[[#This Row],[Naissance]]="",0,DATEDIF(Tableau1[[#This Row],[Naissance]],TODAY(),"y"))</f>
        <v>49</v>
      </c>
      <c r="F122" s="50" t="s">
        <v>97</v>
      </c>
      <c r="G122" s="50" t="s">
        <v>166</v>
      </c>
      <c r="H122" s="51">
        <f ca="1">DATEDIF(Tableau1[[#This Row],[date recrutement]],TODAY(),"y")</f>
        <v>3</v>
      </c>
      <c r="I122" s="50" t="s">
        <v>42</v>
      </c>
      <c r="J122" s="52">
        <v>141000</v>
      </c>
    </row>
    <row r="123" spans="1:10" x14ac:dyDescent="0.25">
      <c r="A123" s="49" t="s">
        <v>667</v>
      </c>
      <c r="B123" s="50" t="s">
        <v>668</v>
      </c>
      <c r="C123" s="50" t="s">
        <v>669</v>
      </c>
      <c r="D123" s="50" t="s">
        <v>670</v>
      </c>
      <c r="E123" s="51">
        <f ca="1">IF(Tableau1[[#This Row],[Naissance]]="",0,DATEDIF(Tableau1[[#This Row],[Naissance]],TODAY(),"y"))</f>
        <v>29</v>
      </c>
      <c r="F123" s="50" t="s">
        <v>118</v>
      </c>
      <c r="G123" s="50" t="s">
        <v>290</v>
      </c>
      <c r="H123" s="51">
        <f ca="1">DATEDIF(Tableau1[[#This Row],[date recrutement]],TODAY(),"y")</f>
        <v>0</v>
      </c>
      <c r="I123" s="50" t="s">
        <v>42</v>
      </c>
      <c r="J123" s="52">
        <v>127000</v>
      </c>
    </row>
    <row r="124" spans="1:10" x14ac:dyDescent="0.25">
      <c r="A124" s="49" t="s">
        <v>671</v>
      </c>
      <c r="B124" s="50" t="s">
        <v>672</v>
      </c>
      <c r="C124" s="50" t="s">
        <v>673</v>
      </c>
      <c r="D124" s="50" t="s">
        <v>674</v>
      </c>
      <c r="E124" s="51">
        <f ca="1">IF(Tableau1[[#This Row],[Naissance]]="",0,DATEDIF(Tableau1[[#This Row],[Naissance]],TODAY(),"y"))</f>
        <v>23</v>
      </c>
      <c r="F124" s="50" t="s">
        <v>118</v>
      </c>
      <c r="G124" s="50" t="s">
        <v>675</v>
      </c>
      <c r="H124" s="51">
        <f ca="1">DATEDIF(Tableau1[[#This Row],[date recrutement]],TODAY(),"y")</f>
        <v>0</v>
      </c>
      <c r="I124" s="50" t="s">
        <v>42</v>
      </c>
      <c r="J124" s="52">
        <v>189000</v>
      </c>
    </row>
    <row r="125" spans="1:10" x14ac:dyDescent="0.25">
      <c r="A125" s="49" t="s">
        <v>676</v>
      </c>
      <c r="B125" s="50" t="s">
        <v>677</v>
      </c>
      <c r="C125" s="50" t="s">
        <v>678</v>
      </c>
      <c r="D125" s="50" t="s">
        <v>679</v>
      </c>
      <c r="E125" s="51">
        <f ca="1">IF(Tableau1[[#This Row],[Naissance]]="",0,DATEDIF(Tableau1[[#This Row],[Naissance]],TODAY(),"y"))</f>
        <v>44</v>
      </c>
      <c r="F125" s="50" t="s">
        <v>97</v>
      </c>
      <c r="G125" s="50" t="s">
        <v>680</v>
      </c>
      <c r="H125" s="51">
        <f ca="1">DATEDIF(Tableau1[[#This Row],[date recrutement]],TODAY(),"y")</f>
        <v>0</v>
      </c>
      <c r="I125" s="50" t="s">
        <v>42</v>
      </c>
      <c r="J125" s="52">
        <v>159000</v>
      </c>
    </row>
    <row r="126" spans="1:10" x14ac:dyDescent="0.25">
      <c r="A126" s="49" t="s">
        <v>681</v>
      </c>
      <c r="B126" s="50" t="s">
        <v>682</v>
      </c>
      <c r="C126" s="50" t="s">
        <v>683</v>
      </c>
      <c r="D126" s="50" t="s">
        <v>684</v>
      </c>
      <c r="E126" s="51">
        <f ca="1">IF(Tableau1[[#This Row],[Naissance]]="",0,DATEDIF(Tableau1[[#This Row],[Naissance]],TODAY(),"y"))</f>
        <v>53</v>
      </c>
      <c r="F126" s="50" t="s">
        <v>97</v>
      </c>
      <c r="G126" s="50" t="s">
        <v>685</v>
      </c>
      <c r="H126" s="51">
        <f ca="1">DATEDIF(Tableau1[[#This Row],[date recrutement]],TODAY(),"y")</f>
        <v>7</v>
      </c>
      <c r="I126" s="50" t="s">
        <v>42</v>
      </c>
      <c r="J126" s="52">
        <v>235000</v>
      </c>
    </row>
    <row r="127" spans="1:10" x14ac:dyDescent="0.25">
      <c r="A127" s="49" t="s">
        <v>686</v>
      </c>
      <c r="B127" s="50" t="s">
        <v>687</v>
      </c>
      <c r="C127" s="50" t="s">
        <v>688</v>
      </c>
      <c r="D127" s="50" t="s">
        <v>689</v>
      </c>
      <c r="E127" s="51">
        <f ca="1">IF(Tableau1[[#This Row],[Naissance]]="",0,DATEDIF(Tableau1[[#This Row],[Naissance]],TODAY(),"y"))</f>
        <v>18</v>
      </c>
      <c r="F127" s="50" t="s">
        <v>97</v>
      </c>
      <c r="G127" s="50" t="s">
        <v>417</v>
      </c>
      <c r="H127" s="51">
        <f ca="1">DATEDIF(Tableau1[[#This Row],[date recrutement]],TODAY(),"y")</f>
        <v>0</v>
      </c>
      <c r="I127" s="50" t="s">
        <v>42</v>
      </c>
      <c r="J127" s="52">
        <v>68000</v>
      </c>
    </row>
    <row r="128" spans="1:10" x14ac:dyDescent="0.25">
      <c r="A128" s="49" t="s">
        <v>690</v>
      </c>
      <c r="B128" s="50" t="s">
        <v>691</v>
      </c>
      <c r="C128" s="50" t="s">
        <v>692</v>
      </c>
      <c r="D128" s="50" t="s">
        <v>693</v>
      </c>
      <c r="E128" s="51">
        <f ca="1">IF(Tableau1[[#This Row],[Naissance]]="",0,DATEDIF(Tableau1[[#This Row],[Naissance]],TODAY(),"y"))</f>
        <v>26</v>
      </c>
      <c r="F128" s="50" t="s">
        <v>118</v>
      </c>
      <c r="G128" s="50" t="s">
        <v>417</v>
      </c>
      <c r="H128" s="51">
        <f ca="1">DATEDIF(Tableau1[[#This Row],[date recrutement]],TODAY(),"y")</f>
        <v>0</v>
      </c>
      <c r="I128" s="50" t="s">
        <v>42</v>
      </c>
      <c r="J128" s="52">
        <v>51000</v>
      </c>
    </row>
    <row r="129" spans="1:10" x14ac:dyDescent="0.25">
      <c r="A129" s="49" t="s">
        <v>694</v>
      </c>
      <c r="B129" s="50" t="s">
        <v>695</v>
      </c>
      <c r="C129" s="50" t="s">
        <v>696</v>
      </c>
      <c r="D129" s="50" t="s">
        <v>697</v>
      </c>
      <c r="E129" s="51">
        <f ca="1">IF(Tableau1[[#This Row],[Naissance]]="",0,DATEDIF(Tableau1[[#This Row],[Naissance]],TODAY(),"y"))</f>
        <v>51</v>
      </c>
      <c r="F129" s="50" t="s">
        <v>97</v>
      </c>
      <c r="G129" s="50" t="s">
        <v>698</v>
      </c>
      <c r="H129" s="51">
        <f ca="1">DATEDIF(Tableau1[[#This Row],[date recrutement]],TODAY(),"y")</f>
        <v>15</v>
      </c>
      <c r="I129" s="50" t="s">
        <v>43</v>
      </c>
      <c r="J129" s="52">
        <v>54000</v>
      </c>
    </row>
    <row r="130" spans="1:10" x14ac:dyDescent="0.25">
      <c r="A130" s="49" t="s">
        <v>699</v>
      </c>
      <c r="B130" s="50" t="s">
        <v>700</v>
      </c>
      <c r="C130" s="50" t="s">
        <v>701</v>
      </c>
      <c r="D130" s="50" t="s">
        <v>702</v>
      </c>
      <c r="E130" s="51">
        <f ca="1">IF(Tableau1[[#This Row],[Naissance]]="",0,DATEDIF(Tableau1[[#This Row],[Naissance]],TODAY(),"y"))</f>
        <v>26</v>
      </c>
      <c r="F130" s="50" t="s">
        <v>97</v>
      </c>
      <c r="G130" s="50" t="s">
        <v>703</v>
      </c>
      <c r="H130" s="51">
        <f ca="1">DATEDIF(Tableau1[[#This Row],[date recrutement]],TODAY(),"y")</f>
        <v>0</v>
      </c>
      <c r="I130" s="50" t="s">
        <v>42</v>
      </c>
      <c r="J130" s="52">
        <v>104000</v>
      </c>
    </row>
    <row r="131" spans="1:10" x14ac:dyDescent="0.25">
      <c r="A131" s="49" t="s">
        <v>704</v>
      </c>
      <c r="B131" s="50" t="s">
        <v>705</v>
      </c>
      <c r="C131" s="50" t="s">
        <v>706</v>
      </c>
      <c r="D131" s="50" t="s">
        <v>707</v>
      </c>
      <c r="E131" s="51">
        <f ca="1">IF(Tableau1[[#This Row],[Naissance]]="",0,DATEDIF(Tableau1[[#This Row],[Naissance]],TODAY(),"y"))</f>
        <v>45</v>
      </c>
      <c r="F131" s="50" t="s">
        <v>97</v>
      </c>
      <c r="G131" s="50" t="s">
        <v>708</v>
      </c>
      <c r="H131" s="51">
        <f ca="1">DATEDIF(Tableau1[[#This Row],[date recrutement]],TODAY(),"y")</f>
        <v>0</v>
      </c>
      <c r="I131" s="50" t="s">
        <v>42</v>
      </c>
      <c r="J131" s="52">
        <v>114000</v>
      </c>
    </row>
    <row r="132" spans="1:10" x14ac:dyDescent="0.25">
      <c r="A132" s="49" t="s">
        <v>709</v>
      </c>
      <c r="B132" s="50" t="s">
        <v>710</v>
      </c>
      <c r="C132" s="50" t="s">
        <v>711</v>
      </c>
      <c r="D132" s="50" t="s">
        <v>712</v>
      </c>
      <c r="E132" s="51">
        <f ca="1">IF(Tableau1[[#This Row],[Naissance]]="",0,DATEDIF(Tableau1[[#This Row],[Naissance]],TODAY(),"y"))</f>
        <v>31</v>
      </c>
      <c r="F132" s="50" t="s">
        <v>97</v>
      </c>
      <c r="G132" s="50" t="s">
        <v>713</v>
      </c>
      <c r="H132" s="51">
        <f ca="1">DATEDIF(Tableau1[[#This Row],[date recrutement]],TODAY(),"y")</f>
        <v>1</v>
      </c>
      <c r="I132" s="50" t="s">
        <v>42</v>
      </c>
      <c r="J132" s="52">
        <v>137000</v>
      </c>
    </row>
    <row r="133" spans="1:10" x14ac:dyDescent="0.25">
      <c r="A133" s="49" t="s">
        <v>714</v>
      </c>
      <c r="B133" s="50" t="s">
        <v>715</v>
      </c>
      <c r="C133" s="50" t="s">
        <v>716</v>
      </c>
      <c r="D133" s="50" t="s">
        <v>717</v>
      </c>
      <c r="E133" s="51">
        <f ca="1">IF(Tableau1[[#This Row],[Naissance]]="",0,DATEDIF(Tableau1[[#This Row],[Naissance]],TODAY(),"y"))</f>
        <v>53</v>
      </c>
      <c r="F133" s="50" t="s">
        <v>118</v>
      </c>
      <c r="G133" s="50" t="s">
        <v>718</v>
      </c>
      <c r="H133" s="51">
        <f ca="1">DATEDIF(Tableau1[[#This Row],[date recrutement]],TODAY(),"y")</f>
        <v>2</v>
      </c>
      <c r="I133" s="50" t="s">
        <v>42</v>
      </c>
      <c r="J133" s="52">
        <v>151000</v>
      </c>
    </row>
    <row r="134" spans="1:10" x14ac:dyDescent="0.25">
      <c r="A134" s="49" t="s">
        <v>719</v>
      </c>
      <c r="B134" s="50" t="s">
        <v>720</v>
      </c>
      <c r="C134" s="50" t="s">
        <v>721</v>
      </c>
      <c r="D134" s="50" t="s">
        <v>722</v>
      </c>
      <c r="E134" s="51">
        <f ca="1">IF(Tableau1[[#This Row],[Naissance]]="",0,DATEDIF(Tableau1[[#This Row],[Naissance]],TODAY(),"y"))</f>
        <v>53</v>
      </c>
      <c r="F134" s="50" t="s">
        <v>118</v>
      </c>
      <c r="G134" s="50" t="s">
        <v>723</v>
      </c>
      <c r="H134" s="51">
        <f ca="1">DATEDIF(Tableau1[[#This Row],[date recrutement]],TODAY(),"y")</f>
        <v>31</v>
      </c>
      <c r="I134" s="50" t="s">
        <v>42</v>
      </c>
      <c r="J134" s="52">
        <v>187000</v>
      </c>
    </row>
    <row r="135" spans="1:10" x14ac:dyDescent="0.25">
      <c r="A135" s="49" t="s">
        <v>724</v>
      </c>
      <c r="B135" s="50" t="s">
        <v>725</v>
      </c>
      <c r="C135" s="50" t="s">
        <v>726</v>
      </c>
      <c r="D135" s="50" t="s">
        <v>727</v>
      </c>
      <c r="E135" s="51">
        <f ca="1">IF(Tableau1[[#This Row],[Naissance]]="",0,DATEDIF(Tableau1[[#This Row],[Naissance]],TODAY(),"y"))</f>
        <v>45</v>
      </c>
      <c r="F135" s="50" t="s">
        <v>97</v>
      </c>
      <c r="G135" s="50" t="s">
        <v>728</v>
      </c>
      <c r="H135" s="51">
        <f ca="1">DATEDIF(Tableau1[[#This Row],[date recrutement]],TODAY(),"y")</f>
        <v>1</v>
      </c>
      <c r="I135" s="50" t="s">
        <v>42</v>
      </c>
      <c r="J135" s="52">
        <v>168000</v>
      </c>
    </row>
    <row r="136" spans="1:10" x14ac:dyDescent="0.25">
      <c r="A136" s="49" t="s">
        <v>729</v>
      </c>
      <c r="B136" s="50" t="s">
        <v>730</v>
      </c>
      <c r="C136" s="50" t="s">
        <v>731</v>
      </c>
      <c r="D136" s="50" t="s">
        <v>732</v>
      </c>
      <c r="E136" s="51">
        <f ca="1">IF(Tableau1[[#This Row],[Naissance]]="",0,DATEDIF(Tableau1[[#This Row],[Naissance]],TODAY(),"y"))</f>
        <v>48</v>
      </c>
      <c r="F136" s="50" t="s">
        <v>118</v>
      </c>
      <c r="G136" s="50" t="s">
        <v>733</v>
      </c>
      <c r="H136" s="51">
        <f ca="1">DATEDIF(Tableau1[[#This Row],[date recrutement]],TODAY(),"y")</f>
        <v>8</v>
      </c>
      <c r="I136" s="50" t="s">
        <v>42</v>
      </c>
      <c r="J136" s="52">
        <v>209000</v>
      </c>
    </row>
    <row r="137" spans="1:10" x14ac:dyDescent="0.25">
      <c r="A137" s="49" t="s">
        <v>734</v>
      </c>
      <c r="B137" s="50" t="s">
        <v>735</v>
      </c>
      <c r="C137" s="50" t="s">
        <v>736</v>
      </c>
      <c r="D137" s="50" t="s">
        <v>737</v>
      </c>
      <c r="E137" s="51">
        <f ca="1">IF(Tableau1[[#This Row],[Naissance]]="",0,DATEDIF(Tableau1[[#This Row],[Naissance]],TODAY(),"y"))</f>
        <v>48</v>
      </c>
      <c r="F137" s="50" t="s">
        <v>118</v>
      </c>
      <c r="G137" s="50" t="s">
        <v>738</v>
      </c>
      <c r="H137" s="51">
        <f ca="1">DATEDIF(Tableau1[[#This Row],[date recrutement]],TODAY(),"y")</f>
        <v>0</v>
      </c>
      <c r="I137" s="50" t="s">
        <v>42</v>
      </c>
      <c r="J137" s="52">
        <v>126000</v>
      </c>
    </row>
    <row r="138" spans="1:10" x14ac:dyDescent="0.25">
      <c r="A138" s="49" t="s">
        <v>739</v>
      </c>
      <c r="B138" s="50" t="s">
        <v>740</v>
      </c>
      <c r="C138" s="50" t="s">
        <v>741</v>
      </c>
      <c r="D138" s="50" t="s">
        <v>742</v>
      </c>
      <c r="E138" s="51">
        <f ca="1">IF(Tableau1[[#This Row],[Naissance]]="",0,DATEDIF(Tableau1[[#This Row],[Naissance]],TODAY(),"y"))</f>
        <v>42</v>
      </c>
      <c r="F138" s="50" t="s">
        <v>118</v>
      </c>
      <c r="G138" s="50" t="s">
        <v>743</v>
      </c>
      <c r="H138" s="51">
        <f ca="1">DATEDIF(Tableau1[[#This Row],[date recrutement]],TODAY(),"y")</f>
        <v>15</v>
      </c>
      <c r="I138" s="50" t="s">
        <v>43</v>
      </c>
      <c r="J138" s="52">
        <v>182000</v>
      </c>
    </row>
    <row r="139" spans="1:10" x14ac:dyDescent="0.25">
      <c r="A139" s="49" t="s">
        <v>744</v>
      </c>
      <c r="B139" s="50" t="s">
        <v>745</v>
      </c>
      <c r="C139" s="50" t="s">
        <v>746</v>
      </c>
      <c r="D139" s="50" t="s">
        <v>652</v>
      </c>
      <c r="E139" s="51">
        <f ca="1">IF(Tableau1[[#This Row],[Naissance]]="",0,DATEDIF(Tableau1[[#This Row],[Naissance]],TODAY(),"y"))</f>
        <v>49</v>
      </c>
      <c r="F139" s="50" t="s">
        <v>118</v>
      </c>
      <c r="G139" s="50" t="s">
        <v>496</v>
      </c>
      <c r="H139" s="51">
        <f ca="1">DATEDIF(Tableau1[[#This Row],[date recrutement]],TODAY(),"y")</f>
        <v>0</v>
      </c>
      <c r="I139" s="50" t="s">
        <v>42</v>
      </c>
      <c r="J139" s="52">
        <v>225000</v>
      </c>
    </row>
    <row r="140" spans="1:10" x14ac:dyDescent="0.25">
      <c r="A140" s="49" t="s">
        <v>747</v>
      </c>
      <c r="B140" s="50" t="s">
        <v>748</v>
      </c>
      <c r="C140" s="50" t="s">
        <v>749</v>
      </c>
      <c r="D140" s="50" t="s">
        <v>750</v>
      </c>
      <c r="E140" s="51">
        <f ca="1">IF(Tableau1[[#This Row],[Naissance]]="",0,DATEDIF(Tableau1[[#This Row],[Naissance]],TODAY(),"y"))</f>
        <v>43</v>
      </c>
      <c r="F140" s="50" t="s">
        <v>118</v>
      </c>
      <c r="G140" s="50" t="s">
        <v>146</v>
      </c>
      <c r="H140" s="51">
        <f ca="1">DATEDIF(Tableau1[[#This Row],[date recrutement]],TODAY(),"y")</f>
        <v>0</v>
      </c>
      <c r="I140" s="50" t="s">
        <v>42</v>
      </c>
      <c r="J140" s="52">
        <v>145000</v>
      </c>
    </row>
    <row r="141" spans="1:10" x14ac:dyDescent="0.25">
      <c r="A141" s="49" t="s">
        <v>751</v>
      </c>
      <c r="B141" s="50" t="s">
        <v>752</v>
      </c>
      <c r="C141" s="50" t="s">
        <v>753</v>
      </c>
      <c r="D141" s="50" t="s">
        <v>754</v>
      </c>
      <c r="E141" s="51">
        <f ca="1">IF(Tableau1[[#This Row],[Naissance]]="",0,DATEDIF(Tableau1[[#This Row],[Naissance]],TODAY(),"y"))</f>
        <v>48</v>
      </c>
      <c r="F141" s="50" t="s">
        <v>118</v>
      </c>
      <c r="G141" s="50" t="s">
        <v>755</v>
      </c>
      <c r="H141" s="51">
        <f ca="1">DATEDIF(Tableau1[[#This Row],[date recrutement]],TODAY(),"y")</f>
        <v>7</v>
      </c>
      <c r="I141" s="50" t="s">
        <v>42</v>
      </c>
      <c r="J141" s="52">
        <v>237000</v>
      </c>
    </row>
    <row r="142" spans="1:10" x14ac:dyDescent="0.25">
      <c r="A142" s="49" t="s">
        <v>756</v>
      </c>
      <c r="B142" s="50" t="s">
        <v>757</v>
      </c>
      <c r="C142" s="50" t="s">
        <v>758</v>
      </c>
      <c r="D142" s="50" t="s">
        <v>759</v>
      </c>
      <c r="E142" s="51">
        <f ca="1">IF(Tableau1[[#This Row],[Naissance]]="",0,DATEDIF(Tableau1[[#This Row],[Naissance]],TODAY(),"y"))</f>
        <v>33</v>
      </c>
      <c r="F142" s="50" t="s">
        <v>118</v>
      </c>
      <c r="G142" s="50" t="s">
        <v>417</v>
      </c>
      <c r="H142" s="51">
        <f ca="1">DATEDIF(Tableau1[[#This Row],[date recrutement]],TODAY(),"y")</f>
        <v>0</v>
      </c>
      <c r="I142" s="50" t="s">
        <v>42</v>
      </c>
      <c r="J142" s="52">
        <v>177000</v>
      </c>
    </row>
    <row r="143" spans="1:10" x14ac:dyDescent="0.25">
      <c r="A143" s="49" t="s">
        <v>760</v>
      </c>
      <c r="B143" s="50" t="s">
        <v>761</v>
      </c>
      <c r="C143" s="50" t="s">
        <v>762</v>
      </c>
      <c r="D143" s="50" t="s">
        <v>763</v>
      </c>
      <c r="E143" s="51">
        <f ca="1">IF(Tableau1[[#This Row],[Naissance]]="",0,DATEDIF(Tableau1[[#This Row],[Naissance]],TODAY(),"y"))</f>
        <v>33</v>
      </c>
      <c r="F143" s="50" t="s">
        <v>97</v>
      </c>
      <c r="G143" s="50" t="s">
        <v>764</v>
      </c>
      <c r="H143" s="51">
        <f ca="1">DATEDIF(Tableau1[[#This Row],[date recrutement]],TODAY(),"y")</f>
        <v>0</v>
      </c>
      <c r="I143" s="50" t="s">
        <v>42</v>
      </c>
      <c r="J143" s="52">
        <v>174000</v>
      </c>
    </row>
    <row r="144" spans="1:10" x14ac:dyDescent="0.25">
      <c r="A144" s="49" t="s">
        <v>765</v>
      </c>
      <c r="B144" s="50" t="s">
        <v>766</v>
      </c>
      <c r="C144" s="50" t="s">
        <v>767</v>
      </c>
      <c r="D144" s="50" t="s">
        <v>768</v>
      </c>
      <c r="E144" s="51">
        <f ca="1">IF(Tableau1[[#This Row],[Naissance]]="",0,DATEDIF(Tableau1[[#This Row],[Naissance]],TODAY(),"y"))</f>
        <v>27</v>
      </c>
      <c r="F144" s="50" t="s">
        <v>97</v>
      </c>
      <c r="G144" s="50" t="s">
        <v>633</v>
      </c>
      <c r="H144" s="51">
        <f ca="1">DATEDIF(Tableau1[[#This Row],[date recrutement]],TODAY(),"y")</f>
        <v>0</v>
      </c>
      <c r="I144" s="50" t="s">
        <v>42</v>
      </c>
      <c r="J144" s="52">
        <v>106000</v>
      </c>
    </row>
    <row r="145" spans="1:10" x14ac:dyDescent="0.25">
      <c r="A145" s="49" t="s">
        <v>769</v>
      </c>
      <c r="B145" s="50" t="s">
        <v>770</v>
      </c>
      <c r="C145" s="50" t="s">
        <v>771</v>
      </c>
      <c r="D145" s="50" t="s">
        <v>772</v>
      </c>
      <c r="E145" s="51">
        <f ca="1">IF(Tableau1[[#This Row],[Naissance]]="",0,DATEDIF(Tableau1[[#This Row],[Naissance]],TODAY(),"y"))</f>
        <v>23</v>
      </c>
      <c r="F145" s="50" t="s">
        <v>97</v>
      </c>
      <c r="G145" s="50" t="s">
        <v>773</v>
      </c>
      <c r="H145" s="51">
        <f ca="1">DATEDIF(Tableau1[[#This Row],[date recrutement]],TODAY(),"y")</f>
        <v>0</v>
      </c>
      <c r="I145" s="50" t="s">
        <v>42</v>
      </c>
      <c r="J145" s="52">
        <v>223000</v>
      </c>
    </row>
    <row r="146" spans="1:10" x14ac:dyDescent="0.25">
      <c r="A146" s="49" t="s">
        <v>774</v>
      </c>
      <c r="B146" s="50" t="s">
        <v>775</v>
      </c>
      <c r="C146" s="50" t="s">
        <v>776</v>
      </c>
      <c r="D146" s="50" t="s">
        <v>777</v>
      </c>
      <c r="E146" s="51">
        <f ca="1">IF(Tableau1[[#This Row],[Naissance]]="",0,DATEDIF(Tableau1[[#This Row],[Naissance]],TODAY(),"y"))</f>
        <v>24</v>
      </c>
      <c r="F146" s="50" t="s">
        <v>118</v>
      </c>
      <c r="G146" s="50" t="s">
        <v>778</v>
      </c>
      <c r="H146" s="51">
        <f ca="1">DATEDIF(Tableau1[[#This Row],[date recrutement]],TODAY(),"y")</f>
        <v>0</v>
      </c>
      <c r="I146" s="50" t="s">
        <v>42</v>
      </c>
      <c r="J146" s="52">
        <v>150000</v>
      </c>
    </row>
    <row r="147" spans="1:10" x14ac:dyDescent="0.25">
      <c r="A147" s="49" t="s">
        <v>779</v>
      </c>
      <c r="B147" s="50" t="s">
        <v>780</v>
      </c>
      <c r="C147" s="50" t="s">
        <v>781</v>
      </c>
      <c r="D147" s="50" t="s">
        <v>782</v>
      </c>
      <c r="E147" s="51">
        <f ca="1">IF(Tableau1[[#This Row],[Naissance]]="",0,DATEDIF(Tableau1[[#This Row],[Naissance]],TODAY(),"y"))</f>
        <v>25</v>
      </c>
      <c r="F147" s="50" t="s">
        <v>97</v>
      </c>
      <c r="G147" s="50" t="s">
        <v>783</v>
      </c>
      <c r="H147" s="51">
        <f ca="1">DATEDIF(Tableau1[[#This Row],[date recrutement]],TODAY(),"y")</f>
        <v>0</v>
      </c>
      <c r="I147" s="50" t="s">
        <v>42</v>
      </c>
      <c r="J147" s="52">
        <v>210000</v>
      </c>
    </row>
    <row r="148" spans="1:10" x14ac:dyDescent="0.25">
      <c r="A148" s="49" t="s">
        <v>784</v>
      </c>
      <c r="B148" s="50" t="s">
        <v>785</v>
      </c>
      <c r="C148" s="50" t="s">
        <v>786</v>
      </c>
      <c r="D148" s="50" t="s">
        <v>787</v>
      </c>
      <c r="E148" s="51">
        <f ca="1">IF(Tableau1[[#This Row],[Naissance]]="",0,DATEDIF(Tableau1[[#This Row],[Naissance]],TODAY(),"y"))</f>
        <v>26</v>
      </c>
      <c r="F148" s="50" t="s">
        <v>97</v>
      </c>
      <c r="G148" s="50" t="s">
        <v>191</v>
      </c>
      <c r="H148" s="51">
        <f ca="1">DATEDIF(Tableau1[[#This Row],[date recrutement]],TODAY(),"y")</f>
        <v>0</v>
      </c>
      <c r="I148" s="50" t="s">
        <v>42</v>
      </c>
      <c r="J148" s="52">
        <v>214000</v>
      </c>
    </row>
    <row r="149" spans="1:10" x14ac:dyDescent="0.25">
      <c r="A149" s="49" t="s">
        <v>788</v>
      </c>
      <c r="B149" s="50" t="s">
        <v>789</v>
      </c>
      <c r="C149" s="50" t="s">
        <v>790</v>
      </c>
      <c r="D149" s="50" t="s">
        <v>791</v>
      </c>
      <c r="E149" s="51">
        <f ca="1">IF(Tableau1[[#This Row],[Naissance]]="",0,DATEDIF(Tableau1[[#This Row],[Naissance]],TODAY(),"y"))</f>
        <v>42</v>
      </c>
      <c r="F149" s="50" t="s">
        <v>97</v>
      </c>
      <c r="G149" s="50" t="s">
        <v>792</v>
      </c>
      <c r="H149" s="51">
        <f ca="1">DATEDIF(Tableau1[[#This Row],[date recrutement]],TODAY(),"y")</f>
        <v>7</v>
      </c>
      <c r="I149" s="50" t="s">
        <v>42</v>
      </c>
      <c r="J149" s="52">
        <v>166000</v>
      </c>
    </row>
    <row r="150" spans="1:10" x14ac:dyDescent="0.25">
      <c r="A150" s="49" t="s">
        <v>793</v>
      </c>
      <c r="B150" s="50" t="s">
        <v>794</v>
      </c>
      <c r="C150" s="50" t="s">
        <v>795</v>
      </c>
      <c r="D150" s="54">
        <v>38016</v>
      </c>
      <c r="E150" s="51">
        <f ca="1">IF(Tableau1[[#This Row],[Naissance]]="",0,DATEDIF(Tableau1[[#This Row],[Naissance]],TODAY(),"y"))</f>
        <v>20</v>
      </c>
      <c r="F150" s="50" t="s">
        <v>97</v>
      </c>
      <c r="G150" s="50" t="s">
        <v>633</v>
      </c>
      <c r="H150" s="51">
        <f ca="1">DATEDIF(Tableau1[[#This Row],[date recrutement]],TODAY(),"y")</f>
        <v>0</v>
      </c>
      <c r="I150" s="50" t="s">
        <v>43</v>
      </c>
      <c r="J150" s="52">
        <v>125000</v>
      </c>
    </row>
    <row r="151" spans="1:10" x14ac:dyDescent="0.25">
      <c r="A151" s="49" t="s">
        <v>796</v>
      </c>
      <c r="B151" s="50" t="s">
        <v>797</v>
      </c>
      <c r="C151" s="50" t="s">
        <v>798</v>
      </c>
      <c r="D151" s="50" t="s">
        <v>799</v>
      </c>
      <c r="E151" s="51">
        <f ca="1">IF(Tableau1[[#This Row],[Naissance]]="",0,DATEDIF(Tableau1[[#This Row],[Naissance]],TODAY(),"y"))</f>
        <v>34</v>
      </c>
      <c r="F151" s="50" t="s">
        <v>118</v>
      </c>
      <c r="G151" s="50" t="s">
        <v>800</v>
      </c>
      <c r="H151" s="51">
        <f ca="1">DATEDIF(Tableau1[[#This Row],[date recrutement]],TODAY(),"y")</f>
        <v>0</v>
      </c>
      <c r="I151" s="50" t="s">
        <v>42</v>
      </c>
      <c r="J151" s="52">
        <v>78000</v>
      </c>
    </row>
    <row r="152" spans="1:10" x14ac:dyDescent="0.25">
      <c r="A152" s="49" t="s">
        <v>801</v>
      </c>
      <c r="B152" s="50" t="s">
        <v>802</v>
      </c>
      <c r="C152" s="50" t="s">
        <v>803</v>
      </c>
      <c r="D152" s="50" t="s">
        <v>804</v>
      </c>
      <c r="E152" s="51">
        <f ca="1">IF(Tableau1[[#This Row],[Naissance]]="",0,DATEDIF(Tableau1[[#This Row],[Naissance]],TODAY(),"y"))</f>
        <v>56</v>
      </c>
      <c r="F152" s="50" t="s">
        <v>97</v>
      </c>
      <c r="G152" s="50" t="s">
        <v>805</v>
      </c>
      <c r="H152" s="51">
        <f ca="1">DATEDIF(Tableau1[[#This Row],[date recrutement]],TODAY(),"y")</f>
        <v>21</v>
      </c>
      <c r="I152" s="50" t="s">
        <v>43</v>
      </c>
      <c r="J152" s="52">
        <v>206000</v>
      </c>
    </row>
    <row r="153" spans="1:10" x14ac:dyDescent="0.25">
      <c r="A153" s="49" t="s">
        <v>806</v>
      </c>
      <c r="B153" s="50" t="s">
        <v>807</v>
      </c>
      <c r="C153" s="50" t="s">
        <v>808</v>
      </c>
      <c r="D153" s="50" t="s">
        <v>809</v>
      </c>
      <c r="E153" s="51">
        <f ca="1">IF(Tableau1[[#This Row],[Naissance]]="",0,DATEDIF(Tableau1[[#This Row],[Naissance]],TODAY(),"y"))</f>
        <v>23</v>
      </c>
      <c r="F153" s="50" t="s">
        <v>97</v>
      </c>
      <c r="G153" s="50" t="s">
        <v>320</v>
      </c>
      <c r="H153" s="51">
        <f ca="1">DATEDIF(Tableau1[[#This Row],[date recrutement]],TODAY(),"y")</f>
        <v>0</v>
      </c>
      <c r="I153" s="50" t="s">
        <v>42</v>
      </c>
      <c r="J153" s="52">
        <v>139000</v>
      </c>
    </row>
    <row r="154" spans="1:10" x14ac:dyDescent="0.25">
      <c r="A154" s="49" t="s">
        <v>810</v>
      </c>
      <c r="B154" s="50" t="s">
        <v>811</v>
      </c>
      <c r="C154" s="50" t="s">
        <v>812</v>
      </c>
      <c r="D154" s="50" t="s">
        <v>813</v>
      </c>
      <c r="E154" s="51">
        <f ca="1">IF(Tableau1[[#This Row],[Naissance]]="",0,DATEDIF(Tableau1[[#This Row],[Naissance]],TODAY(),"y"))</f>
        <v>52</v>
      </c>
      <c r="F154" s="50" t="s">
        <v>97</v>
      </c>
      <c r="G154" s="50" t="s">
        <v>814</v>
      </c>
      <c r="H154" s="51">
        <f ca="1">DATEDIF(Tableau1[[#This Row],[date recrutement]],TODAY(),"y")</f>
        <v>7</v>
      </c>
      <c r="I154" s="50" t="s">
        <v>42</v>
      </c>
      <c r="J154" s="52">
        <v>165000</v>
      </c>
    </row>
    <row r="857" ht="16.5" customHeight="1" x14ac:dyDescent="0.25"/>
  </sheetData>
  <conditionalFormatting sqref="A1:J154">
    <cfRule type="expression" dxfId="5" priority="1">
      <formula>CELL("row")=ROW()</formula>
    </cfRule>
  </conditionalFormatting>
  <dataValidations count="1">
    <dataValidation type="list" allowBlank="1" showInputMessage="1" showErrorMessage="1" sqref="F2:F154" xr:uid="{6C48EBF4-8B19-4A09-BBBA-1222E20361F6}">
      <formula1>LISTEMF</formula1>
    </dataValidation>
  </dataValidations>
  <pageMargins left="0.7" right="0.7" top="0.75" bottom="0.75" header="0.3" footer="0.3"/>
  <pageSetup paperSize="9" scale="74" orientation="landscape" verticalDpi="0" r:id="rId1"/>
  <colBreaks count="1" manualBreakCount="1">
    <brk id="9" max="1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2DA90-1073-42C5-8D86-6D603CE29771}">
  <sheetPr>
    <tabColor rgb="FFFFC000"/>
  </sheetPr>
  <dimension ref="B4:M15"/>
  <sheetViews>
    <sheetView showGridLines="0" tabSelected="1" zoomScale="120" zoomScaleNormal="120" workbookViewId="0">
      <selection activeCell="J7" sqref="J7"/>
    </sheetView>
  </sheetViews>
  <sheetFormatPr baseColWidth="10" defaultRowHeight="15" x14ac:dyDescent="0.25"/>
  <cols>
    <col min="1" max="1" width="2" customWidth="1"/>
    <col min="2" max="6" width="13.85546875" customWidth="1"/>
    <col min="7" max="7" width="1.42578125" customWidth="1"/>
    <col min="8" max="13" width="13.85546875" customWidth="1"/>
  </cols>
  <sheetData>
    <row r="4" spans="2:13" x14ac:dyDescent="0.25">
      <c r="B4" s="61" t="s">
        <v>836</v>
      </c>
      <c r="C4" s="61" t="s">
        <v>836</v>
      </c>
      <c r="D4" s="61" t="s">
        <v>836</v>
      </c>
      <c r="E4" s="61" t="s">
        <v>836</v>
      </c>
      <c r="F4" s="61" t="s">
        <v>836</v>
      </c>
      <c r="H4" s="24" t="s">
        <v>7</v>
      </c>
      <c r="I4" s="56" t="s">
        <v>62</v>
      </c>
      <c r="J4" s="56" t="s">
        <v>63</v>
      </c>
      <c r="K4" s="56" t="s">
        <v>64</v>
      </c>
      <c r="L4" s="56" t="s">
        <v>65</v>
      </c>
      <c r="M4" s="25" t="s">
        <v>19</v>
      </c>
    </row>
    <row r="5" spans="2:13" x14ac:dyDescent="0.25">
      <c r="B5" t="s">
        <v>836</v>
      </c>
      <c r="H5" s="5" t="s">
        <v>9</v>
      </c>
      <c r="I5" s="6">
        <v>76473</v>
      </c>
      <c r="J5" s="57">
        <v>97509</v>
      </c>
      <c r="K5" s="57">
        <v>94868</v>
      </c>
      <c r="L5" s="57">
        <v>45000</v>
      </c>
      <c r="M5" s="37">
        <f t="shared" ref="M5:M14" si="0">+SUM(I5:L5)</f>
        <v>313850</v>
      </c>
    </row>
    <row r="6" spans="2:13" x14ac:dyDescent="0.25">
      <c r="B6" t="s">
        <v>836</v>
      </c>
      <c r="H6" s="5" t="s">
        <v>10</v>
      </c>
      <c r="I6" s="6">
        <v>56120</v>
      </c>
      <c r="J6" s="57">
        <v>82416</v>
      </c>
      <c r="K6" s="57">
        <v>78120</v>
      </c>
      <c r="L6" s="57">
        <v>64434</v>
      </c>
      <c r="M6" s="37">
        <f t="shared" si="0"/>
        <v>281090</v>
      </c>
    </row>
    <row r="7" spans="2:13" x14ac:dyDescent="0.25">
      <c r="B7" t="s">
        <v>836</v>
      </c>
      <c r="H7" s="5" t="s">
        <v>11</v>
      </c>
      <c r="I7" s="6">
        <v>55314</v>
      </c>
      <c r="J7" s="57">
        <v>90875</v>
      </c>
      <c r="K7" s="57">
        <v>64065</v>
      </c>
      <c r="L7" s="57">
        <v>72852</v>
      </c>
      <c r="M7" s="37">
        <f t="shared" si="0"/>
        <v>283106</v>
      </c>
    </row>
    <row r="8" spans="2:13" x14ac:dyDescent="0.25">
      <c r="B8" t="s">
        <v>836</v>
      </c>
      <c r="H8" s="5" t="s">
        <v>12</v>
      </c>
      <c r="I8" s="6">
        <v>75609</v>
      </c>
      <c r="J8" s="57">
        <v>50601</v>
      </c>
      <c r="K8" s="57">
        <v>76542</v>
      </c>
      <c r="L8" s="57">
        <v>60514</v>
      </c>
      <c r="M8" s="37">
        <f t="shared" si="0"/>
        <v>263266</v>
      </c>
    </row>
    <row r="9" spans="2:13" x14ac:dyDescent="0.25">
      <c r="H9" s="5" t="s">
        <v>13</v>
      </c>
      <c r="I9" s="6">
        <v>74195</v>
      </c>
      <c r="J9" s="57">
        <v>69303</v>
      </c>
      <c r="K9" s="57">
        <v>61743</v>
      </c>
      <c r="L9" s="57">
        <v>70958</v>
      </c>
      <c r="M9" s="37">
        <f t="shared" si="0"/>
        <v>276199</v>
      </c>
    </row>
    <row r="10" spans="2:13" x14ac:dyDescent="0.25">
      <c r="H10" s="5" t="s">
        <v>14</v>
      </c>
      <c r="I10" s="6">
        <v>73025</v>
      </c>
      <c r="J10" s="57">
        <v>92697</v>
      </c>
      <c r="K10" s="57">
        <v>59393</v>
      </c>
      <c r="L10" s="57">
        <v>65854</v>
      </c>
      <c r="M10" s="37">
        <f t="shared" si="0"/>
        <v>290969</v>
      </c>
    </row>
    <row r="11" spans="2:13" x14ac:dyDescent="0.25">
      <c r="H11" s="5" t="s">
        <v>15</v>
      </c>
      <c r="I11" s="6">
        <v>23527</v>
      </c>
      <c r="J11" s="57">
        <v>78643</v>
      </c>
      <c r="K11" s="57">
        <v>65748</v>
      </c>
      <c r="L11" s="57">
        <v>64326</v>
      </c>
      <c r="M11" s="37">
        <f t="shared" si="0"/>
        <v>232244</v>
      </c>
    </row>
    <row r="12" spans="2:13" x14ac:dyDescent="0.25">
      <c r="H12" s="5" t="s">
        <v>16</v>
      </c>
      <c r="I12" s="6">
        <v>68409</v>
      </c>
      <c r="J12" s="57">
        <v>81439</v>
      </c>
      <c r="K12" s="57">
        <v>96158</v>
      </c>
      <c r="L12" s="57">
        <v>78618</v>
      </c>
      <c r="M12" s="37">
        <f t="shared" si="0"/>
        <v>324624</v>
      </c>
    </row>
    <row r="13" spans="2:13" x14ac:dyDescent="0.25">
      <c r="H13" s="5" t="s">
        <v>17</v>
      </c>
      <c r="I13" s="6">
        <v>54657</v>
      </c>
      <c r="J13" s="57">
        <v>72764</v>
      </c>
      <c r="K13" s="57">
        <v>64724</v>
      </c>
      <c r="L13" s="57">
        <v>99610</v>
      </c>
      <c r="M13" s="37">
        <f t="shared" si="0"/>
        <v>291755</v>
      </c>
    </row>
    <row r="14" spans="2:13" x14ac:dyDescent="0.25">
      <c r="H14" s="5" t="s">
        <v>18</v>
      </c>
      <c r="I14" s="6">
        <v>78111</v>
      </c>
      <c r="J14" s="38">
        <v>89547</v>
      </c>
      <c r="K14" s="38">
        <v>59406</v>
      </c>
      <c r="L14" s="38">
        <v>62123</v>
      </c>
      <c r="M14" s="37">
        <f t="shared" si="0"/>
        <v>289187</v>
      </c>
    </row>
    <row r="15" spans="2:13" x14ac:dyDescent="0.25">
      <c r="H15" s="59" t="s">
        <v>19</v>
      </c>
      <c r="I15" s="27">
        <f>SUM(I5:I14)</f>
        <v>635440</v>
      </c>
      <c r="J15" s="27">
        <f>SUM(J5:J14)</f>
        <v>805794</v>
      </c>
      <c r="K15" s="27">
        <f>SUM(K5:K14)</f>
        <v>720767</v>
      </c>
      <c r="L15" s="27">
        <f>SUM(L5:L14)</f>
        <v>684289</v>
      </c>
      <c r="M15" s="27">
        <f>SUM(M5:M14)</f>
        <v>2846290</v>
      </c>
    </row>
  </sheetData>
  <conditionalFormatting sqref="B29:F162">
    <cfRule type="expression" dxfId="4" priority="8">
      <formula>$B29&lt;&gt;""</formula>
    </cfRule>
  </conditionalFormatting>
  <conditionalFormatting sqref="B5:F20">
    <cfRule type="expression" dxfId="3" priority="7">
      <formula>$B5&lt;&gt;""</formula>
    </cfRule>
  </conditionalFormatting>
  <conditionalFormatting sqref="I5:L14">
    <cfRule type="top10" dxfId="2" priority="1" bottom="1" rank="3"/>
    <cfRule type="top10" dxfId="1" priority="2" rank="3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-01-</vt:lpstr>
      <vt:lpstr>-02-</vt:lpstr>
      <vt:lpstr>-04-</vt:lpstr>
      <vt:lpstr>-03-</vt:lpstr>
      <vt:lpstr>-07-</vt:lpstr>
      <vt:lpstr>-05-</vt:lpstr>
      <vt:lpstr>-06-</vt:lpstr>
      <vt:lpstr>'-05-'!Zone_d_impression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aymen sidali</cp:lastModifiedBy>
  <cp:lastPrinted>2024-02-03T12:56:32Z</cp:lastPrinted>
  <dcterms:created xsi:type="dcterms:W3CDTF">2015-06-05T18:17:20Z</dcterms:created>
  <dcterms:modified xsi:type="dcterms:W3CDTF">2024-06-14T11:09:25Z</dcterms:modified>
</cp:coreProperties>
</file>