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Dell\Desktop\FORMATION EN LIGNE\"/>
    </mc:Choice>
  </mc:AlternateContent>
  <xr:revisionPtr revIDLastSave="0" documentId="13_ncr:1_{0A3330CE-FEBF-41BE-95B1-2095D16B4D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ANVIER" sheetId="2" r:id="rId1"/>
    <sheet name="FEVRIER" sheetId="4" r:id="rId2"/>
    <sheet name="BD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8" i="4" l="1"/>
  <c r="I88" i="4" s="1"/>
  <c r="E88" i="4"/>
  <c r="H87" i="4"/>
  <c r="I87" i="4" s="1"/>
  <c r="E87" i="4"/>
  <c r="H86" i="4"/>
  <c r="I86" i="4" s="1"/>
  <c r="E86" i="4"/>
  <c r="H85" i="4"/>
  <c r="I85" i="4" s="1"/>
  <c r="E85" i="4"/>
  <c r="H84" i="4"/>
  <c r="I84" i="4" s="1"/>
  <c r="E84" i="4"/>
  <c r="H83" i="4"/>
  <c r="I83" i="4" s="1"/>
  <c r="E83" i="4"/>
  <c r="H82" i="4"/>
  <c r="I82" i="4" s="1"/>
  <c r="E82" i="4"/>
  <c r="H81" i="4"/>
  <c r="I81" i="4" s="1"/>
  <c r="E81" i="4"/>
  <c r="I80" i="4"/>
  <c r="H80" i="4"/>
  <c r="E80" i="4"/>
  <c r="H79" i="4"/>
  <c r="I79" i="4" s="1"/>
  <c r="E79" i="4"/>
  <c r="H78" i="4"/>
  <c r="I78" i="4" s="1"/>
  <c r="E78" i="4"/>
  <c r="H77" i="4"/>
  <c r="I77" i="4" s="1"/>
  <c r="E77" i="4"/>
  <c r="H76" i="4"/>
  <c r="I76" i="4" s="1"/>
  <c r="E76" i="4"/>
  <c r="H75" i="4"/>
  <c r="I75" i="4" s="1"/>
  <c r="E75" i="4"/>
  <c r="H74" i="4"/>
  <c r="I74" i="4" s="1"/>
  <c r="E74" i="4"/>
  <c r="H73" i="4"/>
  <c r="I73" i="4" s="1"/>
  <c r="E73" i="4"/>
  <c r="H72" i="4"/>
  <c r="I72" i="4" s="1"/>
  <c r="E72" i="4"/>
  <c r="H71" i="4"/>
  <c r="I71" i="4" s="1"/>
  <c r="E71" i="4"/>
  <c r="H70" i="4"/>
  <c r="I70" i="4" s="1"/>
  <c r="E70" i="4"/>
  <c r="H69" i="4"/>
  <c r="I69" i="4" s="1"/>
  <c r="E69" i="4"/>
  <c r="H68" i="4"/>
  <c r="I68" i="4" s="1"/>
  <c r="E68" i="4"/>
  <c r="H67" i="4"/>
  <c r="I67" i="4" s="1"/>
  <c r="E67" i="4"/>
  <c r="H66" i="4"/>
  <c r="I66" i="4" s="1"/>
  <c r="E66" i="4"/>
  <c r="H65" i="4"/>
  <c r="I65" i="4" s="1"/>
  <c r="E65" i="4"/>
  <c r="I64" i="4"/>
  <c r="H64" i="4"/>
  <c r="E64" i="4"/>
  <c r="H63" i="4"/>
  <c r="I63" i="4" s="1"/>
  <c r="E63" i="4"/>
  <c r="H62" i="4"/>
  <c r="I62" i="4" s="1"/>
  <c r="E62" i="4"/>
  <c r="H61" i="4"/>
  <c r="I61" i="4" s="1"/>
  <c r="E61" i="4"/>
  <c r="H60" i="4"/>
  <c r="I60" i="4" s="1"/>
  <c r="E60" i="4"/>
  <c r="H59" i="4"/>
  <c r="I59" i="4" s="1"/>
  <c r="E59" i="4"/>
  <c r="H58" i="4"/>
  <c r="I58" i="4" s="1"/>
  <c r="E58" i="4"/>
  <c r="H57" i="4"/>
  <c r="I57" i="4" s="1"/>
  <c r="E57" i="4"/>
  <c r="H56" i="4"/>
  <c r="I56" i="4" s="1"/>
  <c r="E56" i="4"/>
  <c r="H55" i="4"/>
  <c r="I55" i="4" s="1"/>
  <c r="E55" i="4"/>
  <c r="H54" i="4"/>
  <c r="I54" i="4" s="1"/>
  <c r="E54" i="4"/>
  <c r="H53" i="4"/>
  <c r="I53" i="4" s="1"/>
  <c r="E53" i="4"/>
  <c r="H52" i="4"/>
  <c r="I52" i="4" s="1"/>
  <c r="E52" i="4"/>
  <c r="H51" i="4"/>
  <c r="I51" i="4" s="1"/>
  <c r="E51" i="4"/>
  <c r="H50" i="4"/>
  <c r="I50" i="4" s="1"/>
  <c r="E50" i="4"/>
  <c r="H49" i="4"/>
  <c r="I49" i="4" s="1"/>
  <c r="E49" i="4"/>
  <c r="H48" i="4"/>
  <c r="I48" i="4" s="1"/>
  <c r="E48" i="4"/>
  <c r="H47" i="4"/>
  <c r="I47" i="4" s="1"/>
  <c r="E47" i="4"/>
  <c r="H46" i="4"/>
  <c r="I46" i="4" s="1"/>
  <c r="E46" i="4"/>
  <c r="H45" i="4"/>
  <c r="I45" i="4" s="1"/>
  <c r="E45" i="4"/>
  <c r="H44" i="4"/>
  <c r="I44" i="4" s="1"/>
  <c r="E44" i="4"/>
  <c r="H43" i="4"/>
  <c r="I43" i="4" s="1"/>
  <c r="E43" i="4"/>
  <c r="H42" i="4"/>
  <c r="I42" i="4" s="1"/>
  <c r="E42" i="4"/>
  <c r="H41" i="4"/>
  <c r="I41" i="4" s="1"/>
  <c r="E41" i="4"/>
  <c r="H40" i="4"/>
  <c r="I40" i="4" s="1"/>
  <c r="E40" i="4"/>
  <c r="H39" i="4"/>
  <c r="I39" i="4" s="1"/>
  <c r="E39" i="4"/>
  <c r="H38" i="4"/>
  <c r="I38" i="4" s="1"/>
  <c r="E38" i="4"/>
  <c r="H37" i="4"/>
  <c r="I37" i="4" s="1"/>
  <c r="E37" i="4"/>
  <c r="H36" i="4"/>
  <c r="I36" i="4" s="1"/>
  <c r="E36" i="4"/>
  <c r="H35" i="4"/>
  <c r="I35" i="4" s="1"/>
  <c r="E35" i="4"/>
  <c r="H34" i="4"/>
  <c r="I34" i="4" s="1"/>
  <c r="E34" i="4"/>
  <c r="H33" i="4"/>
  <c r="I33" i="4" s="1"/>
  <c r="E33" i="4"/>
  <c r="H32" i="4"/>
  <c r="I32" i="4" s="1"/>
  <c r="E32" i="4"/>
  <c r="I31" i="4"/>
  <c r="H31" i="4"/>
  <c r="E31" i="4"/>
  <c r="H30" i="4"/>
  <c r="I30" i="4" s="1"/>
  <c r="E30" i="4"/>
  <c r="H29" i="4"/>
  <c r="I29" i="4" s="1"/>
  <c r="E29" i="4"/>
  <c r="H28" i="4"/>
  <c r="I28" i="4" s="1"/>
  <c r="E28" i="4"/>
  <c r="H27" i="4"/>
  <c r="I27" i="4" s="1"/>
  <c r="E27" i="4"/>
  <c r="H26" i="4"/>
  <c r="I26" i="4" s="1"/>
  <c r="E26" i="4"/>
  <c r="H25" i="4"/>
  <c r="I25" i="4" s="1"/>
  <c r="E25" i="4"/>
  <c r="H24" i="4"/>
  <c r="I24" i="4" s="1"/>
  <c r="E24" i="4"/>
  <c r="H23" i="4"/>
  <c r="I23" i="4" s="1"/>
  <c r="E23" i="4"/>
  <c r="H22" i="4"/>
  <c r="I22" i="4" s="1"/>
  <c r="E22" i="4"/>
  <c r="H21" i="4"/>
  <c r="I21" i="4" s="1"/>
  <c r="E21" i="4"/>
  <c r="H20" i="4"/>
  <c r="I20" i="4" s="1"/>
  <c r="E20" i="4"/>
  <c r="H19" i="4"/>
  <c r="I19" i="4" s="1"/>
  <c r="E19" i="4"/>
  <c r="H18" i="4"/>
  <c r="I18" i="4" s="1"/>
  <c r="E18" i="4"/>
  <c r="H17" i="4"/>
  <c r="I17" i="4" s="1"/>
  <c r="E17" i="4"/>
  <c r="H16" i="4"/>
  <c r="I16" i="4" s="1"/>
  <c r="E16" i="4" s="1"/>
  <c r="H15" i="4"/>
  <c r="I15" i="4" s="1"/>
  <c r="E15" i="4" s="1"/>
  <c r="H14" i="4"/>
  <c r="I14" i="4" s="1"/>
  <c r="E14" i="4" s="1"/>
  <c r="H13" i="4"/>
  <c r="I13" i="4" s="1"/>
  <c r="E13" i="4" s="1"/>
  <c r="H12" i="4"/>
  <c r="I12" i="4" s="1"/>
  <c r="E12" i="4" s="1"/>
  <c r="I11" i="4"/>
  <c r="E11" i="4" s="1"/>
  <c r="H11" i="4"/>
  <c r="H10" i="4"/>
  <c r="I10" i="4" s="1"/>
  <c r="E10" i="4" s="1"/>
  <c r="H9" i="4"/>
  <c r="I9" i="4" s="1"/>
  <c r="E9" i="4" s="1"/>
  <c r="H8" i="4"/>
  <c r="I8" i="4" s="1"/>
  <c r="E8" i="4" s="1"/>
  <c r="H7" i="4"/>
  <c r="I7" i="4" s="1"/>
  <c r="E7" i="4" s="1"/>
  <c r="H6" i="4"/>
  <c r="I6" i="4" s="1"/>
  <c r="E6" i="4" s="1"/>
  <c r="L2" i="4"/>
  <c r="L2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H22" i="2"/>
  <c r="I22" i="2" s="1"/>
  <c r="H23" i="2"/>
  <c r="H24" i="2"/>
  <c r="H25" i="2"/>
  <c r="I25" i="2" s="1"/>
  <c r="H26" i="2"/>
  <c r="I26" i="2" s="1"/>
  <c r="H27" i="2"/>
  <c r="H28" i="2"/>
  <c r="H29" i="2"/>
  <c r="I29" i="2" s="1"/>
  <c r="H30" i="2"/>
  <c r="I30" i="2" s="1"/>
  <c r="H31" i="2"/>
  <c r="H32" i="2"/>
  <c r="H33" i="2"/>
  <c r="I33" i="2" s="1"/>
  <c r="H34" i="2"/>
  <c r="I34" i="2" s="1"/>
  <c r="H35" i="2"/>
  <c r="H36" i="2"/>
  <c r="H37" i="2"/>
  <c r="I37" i="2" s="1"/>
  <c r="H38" i="2"/>
  <c r="I38" i="2" s="1"/>
  <c r="H39" i="2"/>
  <c r="H40" i="2"/>
  <c r="H41" i="2"/>
  <c r="I41" i="2" s="1"/>
  <c r="H42" i="2"/>
  <c r="I42" i="2" s="1"/>
  <c r="H43" i="2"/>
  <c r="H44" i="2"/>
  <c r="H45" i="2"/>
  <c r="I45" i="2" s="1"/>
  <c r="H46" i="2"/>
  <c r="I46" i="2" s="1"/>
  <c r="H47" i="2"/>
  <c r="H48" i="2"/>
  <c r="H49" i="2"/>
  <c r="I49" i="2" s="1"/>
  <c r="H50" i="2"/>
  <c r="I50" i="2" s="1"/>
  <c r="H51" i="2"/>
  <c r="H52" i="2"/>
  <c r="H53" i="2"/>
  <c r="I53" i="2" s="1"/>
  <c r="H54" i="2"/>
  <c r="I54" i="2" s="1"/>
  <c r="H55" i="2"/>
  <c r="H56" i="2"/>
  <c r="H57" i="2"/>
  <c r="I57" i="2" s="1"/>
  <c r="H58" i="2"/>
  <c r="I58" i="2" s="1"/>
  <c r="H59" i="2"/>
  <c r="H60" i="2"/>
  <c r="H61" i="2"/>
  <c r="I61" i="2" s="1"/>
  <c r="H62" i="2"/>
  <c r="I62" i="2" s="1"/>
  <c r="H63" i="2"/>
  <c r="H64" i="2"/>
  <c r="H65" i="2"/>
  <c r="I65" i="2" s="1"/>
  <c r="H66" i="2"/>
  <c r="I66" i="2" s="1"/>
  <c r="H67" i="2"/>
  <c r="I67" i="2" s="1"/>
  <c r="H68" i="2"/>
  <c r="H69" i="2"/>
  <c r="I69" i="2" s="1"/>
  <c r="H70" i="2"/>
  <c r="I70" i="2" s="1"/>
  <c r="H71" i="2"/>
  <c r="I71" i="2" s="1"/>
  <c r="H72" i="2"/>
  <c r="H73" i="2"/>
  <c r="I73" i="2" s="1"/>
  <c r="H74" i="2"/>
  <c r="I74" i="2" s="1"/>
  <c r="H75" i="2"/>
  <c r="I75" i="2" s="1"/>
  <c r="H76" i="2"/>
  <c r="H77" i="2"/>
  <c r="I77" i="2" s="1"/>
  <c r="H78" i="2"/>
  <c r="I78" i="2" s="1"/>
  <c r="H79" i="2"/>
  <c r="I79" i="2" s="1"/>
  <c r="H80" i="2"/>
  <c r="H81" i="2"/>
  <c r="I81" i="2" s="1"/>
  <c r="H82" i="2"/>
  <c r="I82" i="2" s="1"/>
  <c r="H83" i="2"/>
  <c r="I83" i="2" s="1"/>
  <c r="H84" i="2"/>
  <c r="H85" i="2"/>
  <c r="I85" i="2" s="1"/>
  <c r="H86" i="2"/>
  <c r="I86" i="2" s="1"/>
  <c r="H87" i="2"/>
  <c r="I87" i="2" s="1"/>
  <c r="H88" i="2"/>
  <c r="I23" i="2"/>
  <c r="I24" i="2"/>
  <c r="I27" i="2"/>
  <c r="I28" i="2"/>
  <c r="I31" i="2"/>
  <c r="I32" i="2"/>
  <c r="I35" i="2"/>
  <c r="I36" i="2"/>
  <c r="I39" i="2"/>
  <c r="I40" i="2"/>
  <c r="I43" i="2"/>
  <c r="I44" i="2"/>
  <c r="I47" i="2"/>
  <c r="I48" i="2"/>
  <c r="I51" i="2"/>
  <c r="I52" i="2"/>
  <c r="I55" i="2"/>
  <c r="I56" i="2"/>
  <c r="I59" i="2"/>
  <c r="I60" i="2"/>
  <c r="I63" i="2"/>
  <c r="I64" i="2"/>
  <c r="I68" i="2"/>
  <c r="I72" i="2"/>
  <c r="I76" i="2"/>
  <c r="I80" i="2"/>
  <c r="I84" i="2"/>
  <c r="I88" i="2"/>
  <c r="H9" i="2"/>
  <c r="I9" i="2" s="1"/>
  <c r="H13" i="2"/>
  <c r="I13" i="2" s="1"/>
  <c r="H6" i="2"/>
  <c r="I6" i="2" s="1"/>
  <c r="E17" i="2"/>
  <c r="E18" i="2"/>
  <c r="E19" i="2"/>
  <c r="E20" i="2"/>
  <c r="E21" i="2"/>
  <c r="H16" i="2"/>
  <c r="I16" i="2" s="1"/>
  <c r="E16" i="2" s="1"/>
  <c r="H17" i="2"/>
  <c r="I17" i="2" s="1"/>
  <c r="H18" i="2"/>
  <c r="I18" i="2" s="1"/>
  <c r="H19" i="2"/>
  <c r="I19" i="2" s="1"/>
  <c r="H20" i="2"/>
  <c r="I20" i="2" s="1"/>
  <c r="H21" i="2"/>
  <c r="I21" i="2" s="1"/>
  <c r="H7" i="2"/>
  <c r="I7" i="2" s="1"/>
  <c r="H8" i="2"/>
  <c r="I8" i="2" s="1"/>
  <c r="H10" i="2"/>
  <c r="I10" i="2" s="1"/>
  <c r="H11" i="2"/>
  <c r="I11" i="2" s="1"/>
  <c r="H12" i="2"/>
  <c r="I12" i="2" s="1"/>
  <c r="H14" i="2"/>
  <c r="I14" i="2" s="1"/>
  <c r="H15" i="2"/>
  <c r="I15" i="2" s="1"/>
  <c r="E2" i="4" l="1"/>
  <c r="I2" i="4"/>
  <c r="C2" i="4"/>
  <c r="G2" i="4"/>
  <c r="E13" i="2"/>
  <c r="E9" i="2"/>
  <c r="E14" i="2"/>
  <c r="E12" i="2"/>
  <c r="E8" i="2"/>
  <c r="E15" i="2"/>
  <c r="E11" i="2"/>
  <c r="E7" i="2"/>
  <c r="E10" i="2"/>
  <c r="E6" i="2"/>
  <c r="I2" i="2" l="1"/>
  <c r="G2" i="2"/>
  <c r="C2" i="2"/>
  <c r="E2" i="2"/>
</calcChain>
</file>

<file path=xl/sharedStrings.xml><?xml version="1.0" encoding="utf-8"?>
<sst xmlns="http://schemas.openxmlformats.org/spreadsheetml/2006/main" count="81" uniqueCount="51">
  <si>
    <t>MONTANT TOTAL DES FACTURES RESTANT</t>
  </si>
  <si>
    <t>MONTANT TOTAL DES FACTURES à REGLER AUJOURD'HUI</t>
  </si>
  <si>
    <t>REGLEMENT à EFFECTUER DANS 7 PROCHAINS JOURS</t>
  </si>
  <si>
    <t>NOM</t>
  </si>
  <si>
    <t>FN°</t>
  </si>
  <si>
    <t>DATE</t>
  </si>
  <si>
    <t>NB DE JOURS AVANT ECHEANCE</t>
  </si>
  <si>
    <t>HT</t>
  </si>
  <si>
    <t>TVA</t>
  </si>
  <si>
    <t>TTC</t>
  </si>
  <si>
    <t>STATUT</t>
  </si>
  <si>
    <t>MODE DE REGLEMENT</t>
  </si>
  <si>
    <t>FOURNISSEUR</t>
  </si>
  <si>
    <t xml:space="preserve"> Espéce</t>
  </si>
  <si>
    <t xml:space="preserve">virmenet </t>
  </si>
  <si>
    <t>chéque</t>
  </si>
  <si>
    <t>FRS001</t>
  </si>
  <si>
    <t>FRS002</t>
  </si>
  <si>
    <t>FRS003</t>
  </si>
  <si>
    <t>FRS004</t>
  </si>
  <si>
    <t>FRS005</t>
  </si>
  <si>
    <t>FRS006</t>
  </si>
  <si>
    <t>FRS007</t>
  </si>
  <si>
    <t>FRS008</t>
  </si>
  <si>
    <t>FRS009</t>
  </si>
  <si>
    <t>FRS010</t>
  </si>
  <si>
    <t>FRS011</t>
  </si>
  <si>
    <t>FRS012</t>
  </si>
  <si>
    <t>FRS013</t>
  </si>
  <si>
    <t>FRS014</t>
  </si>
  <si>
    <t>FRS015</t>
  </si>
  <si>
    <t>AYMEN123</t>
  </si>
  <si>
    <t>AYMEN124</t>
  </si>
  <si>
    <t>AYMEN125</t>
  </si>
  <si>
    <t>AYMEN126</t>
  </si>
  <si>
    <t>AYMEN127</t>
  </si>
  <si>
    <t>AYMEN128</t>
  </si>
  <si>
    <t>AYMEN129</t>
  </si>
  <si>
    <t>AYMEN130</t>
  </si>
  <si>
    <t>AYMEN131</t>
  </si>
  <si>
    <t>AYMEN132</t>
  </si>
  <si>
    <t>ECHEANCE</t>
  </si>
  <si>
    <t>FACTURES NON ECHUES REGLEES</t>
  </si>
  <si>
    <t>FRS016</t>
  </si>
  <si>
    <t>FRS017</t>
  </si>
  <si>
    <t>FRS018</t>
  </si>
  <si>
    <t>FRS019</t>
  </si>
  <si>
    <t>AYMEN133</t>
  </si>
  <si>
    <t>TVA MOIS DE JANVIER</t>
  </si>
  <si>
    <r>
      <t xml:space="preserve">SUIVI FACTURES FOURNISSEUR  </t>
    </r>
    <r>
      <rPr>
        <b/>
        <sz val="16"/>
        <color theme="4"/>
        <rFont val="Times New Roman"/>
        <family val="1"/>
      </rPr>
      <t>JANVIER</t>
    </r>
    <r>
      <rPr>
        <b/>
        <sz val="16"/>
        <color theme="3"/>
        <rFont val="Times New Roman"/>
        <family val="1"/>
      </rPr>
      <t xml:space="preserve"> 2024</t>
    </r>
  </si>
  <si>
    <r>
      <t>SUIVI FACTURES FOURNISSEURF</t>
    </r>
    <r>
      <rPr>
        <b/>
        <sz val="16"/>
        <color theme="4"/>
        <rFont val="Times New Roman"/>
        <family val="1"/>
      </rPr>
      <t>EVRIER</t>
    </r>
    <r>
      <rPr>
        <b/>
        <sz val="16"/>
        <color theme="3"/>
        <rFont val="Times New Roman"/>
        <family val="1"/>
      </rPr>
      <t xml:space="preserve">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</si>
</sst>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\-#,##0.00\ "/>
    <numFmt numFmtId="165" formatCode="#,##0.00\ [$DZD]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3"/>
      <name val="Times New Roman"/>
      <family val="1"/>
    </font>
    <font>
      <b/>
      <sz val="11.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rgb="FF00B050"/>
      </left>
      <right style="dotted">
        <color auto="1"/>
      </right>
      <top style="medium">
        <color rgb="FF00B050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rgb="FF00B050"/>
      </top>
      <bottom style="dotted">
        <color auto="1"/>
      </bottom>
      <diagonal/>
    </border>
    <border>
      <left style="dotted">
        <color auto="1"/>
      </left>
      <right style="medium">
        <color rgb="FF00B050"/>
      </right>
      <top style="medium">
        <color rgb="FF00B050"/>
      </top>
      <bottom style="dotted">
        <color auto="1"/>
      </bottom>
      <diagonal/>
    </border>
    <border>
      <left style="medium">
        <color rgb="FF00B050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rgb="FF00B050"/>
      </right>
      <top style="dotted">
        <color auto="1"/>
      </top>
      <bottom style="dotted">
        <color auto="1"/>
      </bottom>
      <diagonal/>
    </border>
    <border>
      <left style="medium">
        <color rgb="FF00B050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rgb="FF00B050"/>
      </right>
      <top style="dotted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18" fontId="0" fillId="0" borderId="7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30">
    <dxf>
      <font>
        <b/>
        <i val="0"/>
      </font>
      <fill>
        <patternFill>
          <bgColor rgb="FFFFFF99"/>
        </patternFill>
      </fill>
    </dxf>
    <dxf>
      <fill>
        <patternFill>
          <bgColor rgb="FFFF5050"/>
        </patternFill>
      </fill>
    </dxf>
    <dxf>
      <font>
        <b/>
        <i val="0"/>
      </font>
      <fill>
        <patternFill>
          <bgColor rgb="FF00EE6C"/>
        </patternFill>
      </fill>
    </dxf>
    <dxf>
      <font>
        <b/>
        <i val="0"/>
      </font>
      <fill>
        <patternFill>
          <bgColor rgb="FFFFFF99"/>
        </patternFill>
      </fill>
    </dxf>
    <dxf>
      <fill>
        <patternFill>
          <bgColor rgb="FFFF5050"/>
        </patternFill>
      </fill>
    </dxf>
    <dxf>
      <font>
        <b/>
        <i val="0"/>
      </font>
      <fill>
        <patternFill>
          <bgColor rgb="FF00EE6C"/>
        </patternFill>
      </fill>
    </dxf>
    <dxf>
      <font>
        <b/>
        <strike val="0"/>
        <outline val="0"/>
        <shadow val="0"/>
        <u val="none"/>
        <vertAlign val="baseline"/>
        <sz val="11.5"/>
        <color theme="1"/>
        <name val="Calibri"/>
        <family val="2"/>
        <scheme val="minor"/>
      </font>
      <alignment horizontal="center" textRotation="0" indent="0" justifyLastLine="0" shrinkToFit="0" readingOrder="0"/>
      <border diagonalUp="0" diagonalDown="0" outline="0">
        <left style="dotted">
          <color auto="1"/>
        </left>
        <right style="medium">
          <color rgb="FF00B050"/>
        </right>
        <top style="dotted">
          <color auto="1"/>
        </top>
        <bottom style="dotted">
          <color auto="1"/>
        </bottom>
      </border>
    </dxf>
    <dxf>
      <numFmt numFmtId="0" formatCode="General"/>
      <alignment horizontal="center" textRotation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164" formatCode="#,##0.00_ ;\-#,##0.00\ "/>
      <alignment horizontal="center" textRotation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164" formatCode="#,##0.00_ ;\-#,##0.00\ "/>
      <alignment horizontal="center" textRotation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164" formatCode="#,##0.00_ ;\-#,##0.00\ "/>
      <alignment horizontal="center" textRotation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alignment horizontal="center" textRotation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medium">
          <color rgb="FF00B050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.5"/>
        <color theme="1"/>
        <name val="Calibri"/>
        <family val="2"/>
        <scheme val="minor"/>
      </font>
      <alignment horizontal="center" textRotation="0" indent="0" justifyLastLine="0" shrinkToFit="0" readingOrder="0"/>
      <border diagonalUp="0" diagonalDown="0" outline="0">
        <left style="dotted">
          <color auto="1"/>
        </left>
        <right style="medium">
          <color rgb="FF00B050"/>
        </right>
        <top style="dotted">
          <color auto="1"/>
        </top>
        <bottom style="dotted">
          <color auto="1"/>
        </bottom>
      </border>
    </dxf>
    <dxf>
      <numFmt numFmtId="0" formatCode="General"/>
      <alignment horizontal="center" textRotation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164" formatCode="#,##0.00_ ;\-#,##0.00\ "/>
      <alignment horizontal="center" textRotation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164" formatCode="#,##0.00_ ;\-#,##0.00\ "/>
      <alignment horizontal="center" textRotation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164" formatCode="#,##0.00_ ;\-#,##0.00\ "/>
      <alignment horizontal="center" textRotation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alignment horizontal="center" textRotation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center" textRotation="0" indent="0" justifyLastLine="0" shrinkToFit="0" readingOrder="0"/>
      <border diagonalUp="0" diagonalDown="0" outline="0">
        <left style="medium">
          <color rgb="FF00B050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EE6C"/>
      <color rgb="FFFF5050"/>
      <color rgb="FFFF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E17A44-3615-4889-8CF6-AAF4B5992DA9}" name="Tableau1" displayName="Tableau1" ref="A5:J88" totalsRowShown="0" headerRowDxfId="29" dataDxfId="28">
  <autoFilter ref="A5:J88" xr:uid="{CBE17A44-3615-4889-8CF6-AAF4B5992DA9}"/>
  <tableColumns count="10">
    <tableColumn id="1" xr3:uid="{F6443666-9338-420A-860E-ED699D0C7994}" name="NOM" dataDxfId="27"/>
    <tableColumn id="2" xr3:uid="{0DFD8B4F-612C-4D82-AB8D-D48E102212F7}" name="FN°" dataDxfId="26"/>
    <tableColumn id="3" xr3:uid="{6F26993D-E7FB-45E8-9053-2ED386512114}" name="DATE" dataDxfId="25"/>
    <tableColumn id="4" xr3:uid="{5C460BCB-1BD2-4084-A190-6F08C74B4A6B}" name="ECHEANCE" dataDxfId="24"/>
    <tableColumn id="5" xr3:uid="{74C9720B-8117-48E4-B684-9B7028D3DDA6}" name="NB DE JOURS AVANT ECHEANCE" dataDxfId="23">
      <calculatedColumnFormula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calculatedColumnFormula>
    </tableColumn>
    <tableColumn id="6" xr3:uid="{07A4DDA3-C3BE-42BD-BF3D-DB6C7B83D80C}" name="HT" dataDxfId="22" dataCellStyle="Milliers"/>
    <tableColumn id="7" xr3:uid="{7BB7B49A-082E-4772-96ED-7EE9A58C061B}" name="TVA" dataDxfId="21" dataCellStyle="Milliers"/>
    <tableColumn id="8" xr3:uid="{72062EFA-EEC4-4FEA-BDF0-9095496FAD66}" name="TTC" dataDxfId="20" dataCellStyle="Milliers">
      <calculatedColumnFormula>Tableau1[[#This Row],[HT]]+Tableau1[[#This Row],[TVA]]</calculatedColumnFormula>
    </tableColumn>
    <tableColumn id="9" xr3:uid="{0AEB5EE8-54D9-42DA-A965-97227673A77D}" name="STATUT" dataDxfId="19">
      <calculatedColumnFormula>IF(Tableau1[[#This Row],[TTC]]=0,"",IF(Tableau1[[#This Row],[MODE DE REGLEMENT]]="","A réglée","Fac réglée"))</calculatedColumnFormula>
    </tableColumn>
    <tableColumn id="10" xr3:uid="{61C72D3A-C5A0-4EC3-AF54-35915D8B884D}" name="MODE DE REGLEMENT" dataDxfId="1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882E54-BA42-4117-A206-DBAB1271C438}" name="Tableau17" displayName="Tableau17" ref="A5:J88" totalsRowShown="0" headerRowDxfId="17" dataDxfId="16">
  <autoFilter ref="A5:J88" xr:uid="{CBE17A44-3615-4889-8CF6-AAF4B5992DA9}"/>
  <tableColumns count="10">
    <tableColumn id="1" xr3:uid="{BDD7212D-CFF2-490C-93F0-8ACA6623B215}" name="NOM" dataDxfId="15"/>
    <tableColumn id="2" xr3:uid="{96B4B66F-058F-44BA-9F6A-CC5EC5AB67D6}" name="FN°" dataDxfId="14"/>
    <tableColumn id="3" xr3:uid="{EF775955-A0EF-4A8B-A617-80FE4E472B7F}" name="DATE" dataDxfId="13"/>
    <tableColumn id="4" xr3:uid="{17B3467C-F0E0-4DDA-A0A2-DEBCD0737FD2}" name="ECHEANCE" dataDxfId="12"/>
    <tableColumn id="5" xr3:uid="{A5B528E4-9B17-4048-BB53-41395BE1E829}" name="NB DE JOURS AVANT ECHEANCE" dataDxfId="11">
      <calculatedColumnFormula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calculatedColumnFormula>
    </tableColumn>
    <tableColumn id="6" xr3:uid="{69068949-8440-44F3-83AB-4D286B520147}" name="HT" dataDxfId="10" dataCellStyle="Milliers"/>
    <tableColumn id="7" xr3:uid="{7725E583-3941-4E19-9190-4B7ACF211058}" name="TVA" dataDxfId="9" dataCellStyle="Milliers"/>
    <tableColumn id="8" xr3:uid="{2631E282-718F-4C03-8F6E-F0C85A7744F3}" name="TTC" dataDxfId="8" dataCellStyle="Milliers">
      <calculatedColumnFormula>Tableau17[[#This Row],[HT]]+Tableau17[[#This Row],[TVA]]</calculatedColumnFormula>
    </tableColumn>
    <tableColumn id="9" xr3:uid="{A2E55681-F92C-4FB5-A41E-DB84FD29CAC2}" name="STATUT" dataDxfId="7">
      <calculatedColumnFormula>IF(Tableau17[[#This Row],[TTC]]=0,"",IF(Tableau17[[#This Row],[MODE DE REGLEMENT]]="","A réglée","Fac réglée"))</calculatedColumnFormula>
    </tableColumn>
    <tableColumn id="10" xr3:uid="{07AD7815-6D47-4A4A-B59D-8F14FB383765}" name="MODE DE REGLEMENT" dataDxfId="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D1D3E3-2C17-479A-88DC-BC2FE61E7444}" name="Tableau2" displayName="Tableau2" ref="D3:D6" totalsRowShown="0">
  <autoFilter ref="D3:D6" xr:uid="{3DD1D3E3-2C17-479A-88DC-BC2FE61E7444}">
    <filterColumn colId="0" hiddenButton="1"/>
  </autoFilter>
  <tableColumns count="1">
    <tableColumn id="1" xr3:uid="{27072D75-A5F0-4961-8914-56944CC39BA3}" name="MODE DE REGLEMENT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F479B2-2A92-4628-BDDE-6735CD2EE6C5}" name="Tableau3" displayName="Tableau3" ref="B3:B22" totalsRowShown="0">
  <autoFilter ref="B3:B22" xr:uid="{C9F479B2-2A92-4628-BDDE-6735CD2EE6C5}">
    <filterColumn colId="0" hiddenButton="1"/>
  </autoFilter>
  <tableColumns count="1">
    <tableColumn id="1" xr3:uid="{9C5102EA-688D-42B7-9DE3-DE87DDB04A2A}" name="FOURNISSEU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7C2C-4F64-47B3-8E8A-7024EE736FCE}">
  <dimension ref="A1:L88"/>
  <sheetViews>
    <sheetView showGridLines="0" tabSelected="1" zoomScale="94" zoomScaleNormal="94" workbookViewId="0">
      <pane ySplit="5" topLeftCell="A6" activePane="bottomLeft" state="frozen"/>
      <selection pane="bottomLeft" activeCell="D17" sqref="D17"/>
    </sheetView>
  </sheetViews>
  <sheetFormatPr baseColWidth="10" defaultRowHeight="15" x14ac:dyDescent="0.25"/>
  <cols>
    <col min="1" max="1" width="23.7109375" customWidth="1"/>
    <col min="2" max="2" width="11.5703125" customWidth="1"/>
    <col min="3" max="3" width="22.7109375" customWidth="1"/>
    <col min="4" max="4" width="16.5703125" bestFit="1" customWidth="1"/>
    <col min="5" max="5" width="26.5703125" customWidth="1"/>
    <col min="6" max="6" width="17" customWidth="1"/>
    <col min="7" max="7" width="23.42578125" customWidth="1"/>
    <col min="8" max="8" width="11.5703125" customWidth="1"/>
    <col min="9" max="9" width="23.28515625" customWidth="1"/>
    <col min="10" max="10" width="21.5703125" customWidth="1"/>
    <col min="11" max="11" width="1.7109375" customWidth="1"/>
    <col min="12" max="12" width="23.7109375" customWidth="1"/>
  </cols>
  <sheetData>
    <row r="1" spans="1:12" ht="60.75" customHeight="1" thickTop="1" thickBot="1" x14ac:dyDescent="0.3">
      <c r="A1" s="26" t="s">
        <v>49</v>
      </c>
      <c r="B1" s="2"/>
      <c r="C1" s="6" t="s">
        <v>0</v>
      </c>
      <c r="D1" s="2"/>
      <c r="E1" s="6" t="s">
        <v>1</v>
      </c>
      <c r="F1" s="1"/>
      <c r="G1" s="6" t="s">
        <v>2</v>
      </c>
      <c r="H1" s="2"/>
      <c r="I1" s="6" t="s">
        <v>42</v>
      </c>
      <c r="J1" s="2"/>
      <c r="L1" s="6" t="s">
        <v>48</v>
      </c>
    </row>
    <row r="2" spans="1:12" ht="28.5" customHeight="1" thickBot="1" x14ac:dyDescent="0.3">
      <c r="A2" s="26"/>
      <c r="B2" s="2"/>
      <c r="C2" s="22">
        <f ca="1">SUMIF(Tableau1[NB DE JOURS AVANT ECHEANCE],"&lt;&gt;Fac payée",Tableau1[TTC])</f>
        <v>683962</v>
      </c>
      <c r="D2" s="2"/>
      <c r="E2" s="22">
        <f ca="1">SUMIF(Tableau1[NB DE JOURS AVANT ECHEANCE],"A réglée aujourd'huit",Tableau1[TTC])</f>
        <v>100302</v>
      </c>
      <c r="F2" s="2"/>
      <c r="G2" s="22">
        <f ca="1">SUMIF(Tableau1[NB DE JOURS AVANT ECHEANCE],"&lt;=7",Tableau1[TTC])</f>
        <v>207060</v>
      </c>
      <c r="H2" s="2"/>
      <c r="I2" s="22">
        <f ca="1">SUMIF(Tableau1[NB DE JOURS AVANT ECHEANCE],"Fac échue no réglée",Tableau1[TTC])</f>
        <v>280950</v>
      </c>
      <c r="J2" s="2"/>
      <c r="L2" s="22">
        <f>+SUM(Tableau1[TVA])</f>
        <v>4182</v>
      </c>
    </row>
    <row r="3" spans="1:12" ht="15.75" thickTop="1" x14ac:dyDescent="0.25">
      <c r="A3" s="26"/>
      <c r="B3" s="2"/>
      <c r="C3" s="2"/>
      <c r="D3" s="2"/>
      <c r="E3" s="2"/>
      <c r="F3" s="2"/>
      <c r="G3" s="2"/>
      <c r="H3" s="2"/>
      <c r="I3" s="2"/>
      <c r="J3" s="2"/>
    </row>
    <row r="4" spans="1:12" x14ac:dyDescent="0.25">
      <c r="A4" s="26"/>
      <c r="B4" s="2"/>
      <c r="C4" s="2"/>
      <c r="D4" s="2"/>
      <c r="E4" s="2"/>
      <c r="F4" s="2"/>
      <c r="G4" s="2"/>
      <c r="H4" s="2"/>
      <c r="I4" s="2"/>
      <c r="J4" s="2"/>
    </row>
    <row r="5" spans="1:12" s="3" customFormat="1" ht="50.25" customHeight="1" thickBot="1" x14ac:dyDescent="0.3">
      <c r="A5" s="4" t="s">
        <v>3</v>
      </c>
      <c r="B5" s="4" t="s">
        <v>4</v>
      </c>
      <c r="C5" s="4" t="s">
        <v>5</v>
      </c>
      <c r="D5" s="4" t="s">
        <v>41</v>
      </c>
      <c r="E5" s="5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5" t="s">
        <v>11</v>
      </c>
    </row>
    <row r="6" spans="1:12" ht="15.75" x14ac:dyDescent="0.25">
      <c r="A6" s="7" t="s">
        <v>16</v>
      </c>
      <c r="B6" s="8" t="s">
        <v>31</v>
      </c>
      <c r="C6" s="9">
        <v>45296</v>
      </c>
      <c r="D6" s="9">
        <v>45337</v>
      </c>
      <c r="E6" s="8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>Fac payée</v>
      </c>
      <c r="F6" s="15">
        <v>60000</v>
      </c>
      <c r="G6" s="15">
        <v>150</v>
      </c>
      <c r="H6" s="15">
        <f>Tableau1[[#This Row],[HT]]+Tableau1[[#This Row],[TVA]]</f>
        <v>60150</v>
      </c>
      <c r="I6" s="8" t="str">
        <f>IF(Tableau1[[#This Row],[TTC]]=0,"",IF(Tableau1[[#This Row],[MODE DE REGLEMENT]]="","A réglée","Fac réglée"))</f>
        <v>Fac réglée</v>
      </c>
      <c r="J6" s="20" t="s">
        <v>15</v>
      </c>
    </row>
    <row r="7" spans="1:12" ht="15.75" x14ac:dyDescent="0.25">
      <c r="A7" s="10" t="s">
        <v>17</v>
      </c>
      <c r="B7" s="11" t="s">
        <v>32</v>
      </c>
      <c r="C7" s="12">
        <v>45299</v>
      </c>
      <c r="D7" s="12">
        <v>45334</v>
      </c>
      <c r="E7" s="11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>7</v>
      </c>
      <c r="F7" s="16">
        <v>75000</v>
      </c>
      <c r="G7" s="16">
        <v>150</v>
      </c>
      <c r="H7" s="16">
        <f>Tableau1[[#This Row],[HT]]+Tableau1[[#This Row],[TVA]]</f>
        <v>75150</v>
      </c>
      <c r="I7" s="11" t="str">
        <f>IF(Tableau1[[#This Row],[TTC]]=0,"",IF(Tableau1[[#This Row],[MODE DE REGLEMENT]]="","A réglée","Fac réglée"))</f>
        <v>A réglée</v>
      </c>
      <c r="J7" s="21"/>
    </row>
    <row r="8" spans="1:12" ht="15.75" x14ac:dyDescent="0.25">
      <c r="A8" s="10" t="s">
        <v>18</v>
      </c>
      <c r="B8" s="11" t="s">
        <v>33</v>
      </c>
      <c r="C8" s="12">
        <v>45300</v>
      </c>
      <c r="D8" s="12">
        <v>45544</v>
      </c>
      <c r="E8" s="13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>Fac payée</v>
      </c>
      <c r="F8" s="16">
        <v>80000</v>
      </c>
      <c r="G8" s="16">
        <v>650</v>
      </c>
      <c r="H8" s="16">
        <f>Tableau1[[#This Row],[HT]]+Tableau1[[#This Row],[TVA]]</f>
        <v>80650</v>
      </c>
      <c r="I8" s="11" t="str">
        <f>IF(Tableau1[[#This Row],[TTC]]=0,"",IF(Tableau1[[#This Row],[MODE DE REGLEMENT]]="","A réglée","Fac réglée"))</f>
        <v>Fac réglée</v>
      </c>
      <c r="J8" s="21" t="s">
        <v>14</v>
      </c>
    </row>
    <row r="9" spans="1:12" ht="15.75" x14ac:dyDescent="0.25">
      <c r="A9" s="10" t="s">
        <v>19</v>
      </c>
      <c r="B9" s="11" t="s">
        <v>34</v>
      </c>
      <c r="C9" s="12">
        <v>45301</v>
      </c>
      <c r="D9" s="12">
        <v>45326</v>
      </c>
      <c r="E9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>Fac échue no réglée</v>
      </c>
      <c r="F9" s="16">
        <v>85000</v>
      </c>
      <c r="G9" s="16">
        <v>200</v>
      </c>
      <c r="H9" s="16">
        <f>Tableau1[[#This Row],[HT]]+Tableau1[[#This Row],[TVA]]</f>
        <v>85200</v>
      </c>
      <c r="I9" s="11" t="str">
        <f>IF(Tableau1[[#This Row],[TTC]]=0,"",IF(Tableau1[[#This Row],[MODE DE REGLEMENT]]="","A réglée","Fac réglée"))</f>
        <v>A réglée</v>
      </c>
      <c r="J9" s="21"/>
    </row>
    <row r="10" spans="1:12" ht="15.75" x14ac:dyDescent="0.25">
      <c r="A10" s="10" t="s">
        <v>20</v>
      </c>
      <c r="B10" s="11" t="s">
        <v>35</v>
      </c>
      <c r="C10" s="12">
        <v>45302</v>
      </c>
      <c r="D10" s="12">
        <v>45323</v>
      </c>
      <c r="E10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>Fac échue no réglée</v>
      </c>
      <c r="F10" s="16">
        <v>90000</v>
      </c>
      <c r="G10" s="16">
        <v>500</v>
      </c>
      <c r="H10" s="16">
        <f>Tableau1[[#This Row],[HT]]+Tableau1[[#This Row],[TVA]]</f>
        <v>90500</v>
      </c>
      <c r="I10" s="11" t="str">
        <f>IF(Tableau1[[#This Row],[TTC]]=0,"",IF(Tableau1[[#This Row],[MODE DE REGLEMENT]]="","A réglée","Fac réglée"))</f>
        <v>A réglée</v>
      </c>
      <c r="J10" s="21"/>
    </row>
    <row r="11" spans="1:12" ht="15.75" x14ac:dyDescent="0.25">
      <c r="A11" s="10" t="s">
        <v>21</v>
      </c>
      <c r="B11" s="11" t="s">
        <v>36</v>
      </c>
      <c r="C11" s="12">
        <v>45303</v>
      </c>
      <c r="D11" s="12">
        <v>45354</v>
      </c>
      <c r="E11" s="11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>27</v>
      </c>
      <c r="F11" s="16">
        <v>95000</v>
      </c>
      <c r="G11" s="16">
        <v>650</v>
      </c>
      <c r="H11" s="16">
        <f>Tableau1[[#This Row],[HT]]+Tableau1[[#This Row],[TVA]]</f>
        <v>95650</v>
      </c>
      <c r="I11" s="11" t="str">
        <f>IF(Tableau1[[#This Row],[TTC]]=0,"",IF(Tableau1[[#This Row],[MODE DE REGLEMENT]]="","A réglée","Fac réglée"))</f>
        <v>A réglée</v>
      </c>
      <c r="J11" s="21"/>
    </row>
    <row r="12" spans="1:12" ht="15.75" x14ac:dyDescent="0.25">
      <c r="A12" s="10" t="s">
        <v>22</v>
      </c>
      <c r="B12" s="11" t="s">
        <v>37</v>
      </c>
      <c r="C12" s="12">
        <v>45304</v>
      </c>
      <c r="D12" s="12">
        <v>45327</v>
      </c>
      <c r="E12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>A réglée aujourd'huit</v>
      </c>
      <c r="F12" s="16">
        <v>100000</v>
      </c>
      <c r="G12" s="16">
        <v>302</v>
      </c>
      <c r="H12" s="16">
        <f>Tableau1[[#This Row],[HT]]+Tableau1[[#This Row],[TVA]]</f>
        <v>100302</v>
      </c>
      <c r="I12" s="11" t="str">
        <f>IF(Tableau1[[#This Row],[TTC]]=0,"",IF(Tableau1[[#This Row],[MODE DE REGLEMENT]]="","A réglée","Fac réglée"))</f>
        <v>A réglée</v>
      </c>
      <c r="J12" s="21"/>
    </row>
    <row r="13" spans="1:12" ht="15.75" x14ac:dyDescent="0.25">
      <c r="A13" s="10" t="s">
        <v>23</v>
      </c>
      <c r="B13" s="11" t="s">
        <v>38</v>
      </c>
      <c r="C13" s="12">
        <v>45305</v>
      </c>
      <c r="D13" s="12">
        <v>45326</v>
      </c>
      <c r="E13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>Fac échue no réglée</v>
      </c>
      <c r="F13" s="16">
        <v>105000</v>
      </c>
      <c r="G13" s="16">
        <v>250</v>
      </c>
      <c r="H13" s="16">
        <f>Tableau1[[#This Row],[HT]]+Tableau1[[#This Row],[TVA]]</f>
        <v>105250</v>
      </c>
      <c r="I13" s="11" t="str">
        <f>IF(Tableau1[[#This Row],[TTC]]=0,"",IF(Tableau1[[#This Row],[MODE DE REGLEMENT]]="","A réglée","Fac réglée"))</f>
        <v>A réglée</v>
      </c>
      <c r="J13" s="21"/>
    </row>
    <row r="14" spans="1:12" ht="15.75" x14ac:dyDescent="0.25">
      <c r="A14" s="10" t="s">
        <v>24</v>
      </c>
      <c r="B14" s="11" t="s">
        <v>39</v>
      </c>
      <c r="C14" s="12">
        <v>45306</v>
      </c>
      <c r="D14" s="12">
        <v>45322</v>
      </c>
      <c r="E14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>Fac payée</v>
      </c>
      <c r="F14" s="16">
        <v>110000</v>
      </c>
      <c r="G14" s="16">
        <v>320</v>
      </c>
      <c r="H14" s="16">
        <f>Tableau1[[#This Row],[HT]]+Tableau1[[#This Row],[TVA]]</f>
        <v>110320</v>
      </c>
      <c r="I14" s="11" t="str">
        <f>IF(Tableau1[[#This Row],[TTC]]=0,"",IF(Tableau1[[#This Row],[MODE DE REGLEMENT]]="","A réglée","Fac réglée"))</f>
        <v>Fac réglée</v>
      </c>
      <c r="J14" s="21" t="s">
        <v>14</v>
      </c>
    </row>
    <row r="15" spans="1:12" ht="15.75" x14ac:dyDescent="0.25">
      <c r="A15" s="10" t="s">
        <v>25</v>
      </c>
      <c r="B15" s="11" t="s">
        <v>40</v>
      </c>
      <c r="C15" s="12">
        <v>45307</v>
      </c>
      <c r="D15" s="12">
        <v>45332</v>
      </c>
      <c r="E15" s="11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>5</v>
      </c>
      <c r="F15" s="16">
        <v>115000</v>
      </c>
      <c r="G15" s="16">
        <v>360</v>
      </c>
      <c r="H15" s="16">
        <f>Tableau1[[#This Row],[HT]]+Tableau1[[#This Row],[TVA]]</f>
        <v>115360</v>
      </c>
      <c r="I15" s="11" t="str">
        <f>IF(Tableau1[[#This Row],[TTC]]=0,"",IF(Tableau1[[#This Row],[MODE DE REGLEMENT]]="","A réglée","Fac réglée"))</f>
        <v>A réglée</v>
      </c>
      <c r="J15" s="21"/>
    </row>
    <row r="16" spans="1:12" x14ac:dyDescent="0.25">
      <c r="A16" s="14" t="s">
        <v>27</v>
      </c>
      <c r="B16" s="11" t="s">
        <v>47</v>
      </c>
      <c r="C16" s="12">
        <v>45308</v>
      </c>
      <c r="D16" s="12">
        <v>45333</v>
      </c>
      <c r="E16" s="11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>6</v>
      </c>
      <c r="F16" s="16">
        <v>15900</v>
      </c>
      <c r="G16" s="16">
        <v>650</v>
      </c>
      <c r="H16" s="16">
        <f>Tableau1[[#This Row],[HT]]+Tableau1[[#This Row],[TVA]]</f>
        <v>16550</v>
      </c>
      <c r="I16" s="11" t="str">
        <f>IF(Tableau1[[#This Row],[TTC]]=0,"",IF(Tableau1[[#This Row],[MODE DE REGLEMENT]]="","A réglée","Fac réglée"))</f>
        <v>A réglée</v>
      </c>
      <c r="J16" s="21"/>
    </row>
    <row r="17" spans="1:10" x14ac:dyDescent="0.25">
      <c r="A17" s="14"/>
      <c r="B17" s="11"/>
      <c r="C17" s="11"/>
      <c r="D17" s="11"/>
      <c r="E17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17" s="16"/>
      <c r="G17" s="16"/>
      <c r="H17" s="16">
        <f>Tableau1[[#This Row],[HT]]+Tableau1[[#This Row],[TVA]]</f>
        <v>0</v>
      </c>
      <c r="I17" s="11" t="str">
        <f>IF(Tableau1[[#This Row],[TTC]]=0,"",IF(Tableau1[[#This Row],[MODE DE REGLEMENT]]="","A réglée","Fac réglée"))</f>
        <v/>
      </c>
      <c r="J17" s="21"/>
    </row>
    <row r="18" spans="1:10" x14ac:dyDescent="0.25">
      <c r="A18" s="14"/>
      <c r="B18" s="11"/>
      <c r="C18" s="11"/>
      <c r="D18" s="11"/>
      <c r="E18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18" s="16"/>
      <c r="G18" s="16"/>
      <c r="H18" s="16">
        <f>Tableau1[[#This Row],[HT]]+Tableau1[[#This Row],[TVA]]</f>
        <v>0</v>
      </c>
      <c r="I18" s="11" t="str">
        <f>IF(Tableau1[[#This Row],[TTC]]=0,"",IF(Tableau1[[#This Row],[MODE DE REGLEMENT]]="","A réglée","Fac réglée"))</f>
        <v/>
      </c>
      <c r="J18" s="21"/>
    </row>
    <row r="19" spans="1:10" x14ac:dyDescent="0.25">
      <c r="A19" s="14"/>
      <c r="B19" s="11"/>
      <c r="C19" s="11"/>
      <c r="D19" s="11"/>
      <c r="E19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19" s="16"/>
      <c r="G19" s="16"/>
      <c r="H19" s="16">
        <f>Tableau1[[#This Row],[HT]]+Tableau1[[#This Row],[TVA]]</f>
        <v>0</v>
      </c>
      <c r="I19" s="11" t="str">
        <f>IF(Tableau1[[#This Row],[TTC]]=0,"",IF(Tableau1[[#This Row],[MODE DE REGLEMENT]]="","A réglée","Fac réglée"))</f>
        <v/>
      </c>
      <c r="J19" s="21"/>
    </row>
    <row r="20" spans="1:10" x14ac:dyDescent="0.25">
      <c r="A20" s="14"/>
      <c r="B20" s="11"/>
      <c r="C20" s="11"/>
      <c r="D20" s="11"/>
      <c r="E20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20" s="16"/>
      <c r="G20" s="16"/>
      <c r="H20" s="16">
        <f>Tableau1[[#This Row],[HT]]+Tableau1[[#This Row],[TVA]]</f>
        <v>0</v>
      </c>
      <c r="I20" s="11" t="str">
        <f>IF(Tableau1[[#This Row],[TTC]]=0,"",IF(Tableau1[[#This Row],[MODE DE REGLEMENT]]="","A réglée","Fac réglée"))</f>
        <v/>
      </c>
      <c r="J20" s="21"/>
    </row>
    <row r="21" spans="1:10" x14ac:dyDescent="0.25">
      <c r="A21" s="14"/>
      <c r="B21" s="11"/>
      <c r="C21" s="11"/>
      <c r="D21" s="11"/>
      <c r="E21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21" s="16"/>
      <c r="G21" s="16"/>
      <c r="H21" s="16">
        <f>Tableau1[[#This Row],[HT]]+Tableau1[[#This Row],[TVA]]</f>
        <v>0</v>
      </c>
      <c r="I21" s="11" t="str">
        <f>IF(Tableau1[[#This Row],[TTC]]=0,"",IF(Tableau1[[#This Row],[MODE DE REGLEMENT]]="","A réglée","Fac réglée"))</f>
        <v/>
      </c>
      <c r="J21" s="21"/>
    </row>
    <row r="22" spans="1:10" x14ac:dyDescent="0.25">
      <c r="A22" s="14"/>
      <c r="B22" s="11"/>
      <c r="C22" s="11"/>
      <c r="D22" s="11"/>
      <c r="E22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22" s="16"/>
      <c r="G22" s="16"/>
      <c r="H22" s="16">
        <f>Tableau1[[#This Row],[HT]]+Tableau1[[#This Row],[TVA]]</f>
        <v>0</v>
      </c>
      <c r="I22" s="11" t="str">
        <f>IF(Tableau1[[#This Row],[TTC]]=0,"",IF(Tableau1[[#This Row],[MODE DE REGLEMENT]]="","A réglée","Fac réglée"))</f>
        <v/>
      </c>
      <c r="J22" s="21"/>
    </row>
    <row r="23" spans="1:10" x14ac:dyDescent="0.25">
      <c r="A23" s="14"/>
      <c r="B23" s="11"/>
      <c r="C23" s="11"/>
      <c r="D23" s="11"/>
      <c r="E23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23" s="16"/>
      <c r="G23" s="16"/>
      <c r="H23" s="16">
        <f>Tableau1[[#This Row],[HT]]+Tableau1[[#This Row],[TVA]]</f>
        <v>0</v>
      </c>
      <c r="I23" s="11" t="str">
        <f>IF(Tableau1[[#This Row],[TTC]]=0,"",IF(Tableau1[[#This Row],[MODE DE REGLEMENT]]="","A réglée","Fac réglée"))</f>
        <v/>
      </c>
      <c r="J23" s="21"/>
    </row>
    <row r="24" spans="1:10" x14ac:dyDescent="0.25">
      <c r="A24" s="14"/>
      <c r="B24" s="11"/>
      <c r="C24" s="11"/>
      <c r="D24" s="11"/>
      <c r="E24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24" s="16"/>
      <c r="G24" s="16"/>
      <c r="H24" s="16">
        <f>Tableau1[[#This Row],[HT]]+Tableau1[[#This Row],[TVA]]</f>
        <v>0</v>
      </c>
      <c r="I24" s="11" t="str">
        <f>IF(Tableau1[[#This Row],[TTC]]=0,"",IF(Tableau1[[#This Row],[MODE DE REGLEMENT]]="","A réglée","Fac réglée"))</f>
        <v/>
      </c>
      <c r="J24" s="21"/>
    </row>
    <row r="25" spans="1:10" x14ac:dyDescent="0.25">
      <c r="A25" s="14"/>
      <c r="B25" s="11"/>
      <c r="C25" s="11"/>
      <c r="D25" s="11"/>
      <c r="E25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25" s="16"/>
      <c r="G25" s="16"/>
      <c r="H25" s="16">
        <f>Tableau1[[#This Row],[HT]]+Tableau1[[#This Row],[TVA]]</f>
        <v>0</v>
      </c>
      <c r="I25" s="11" t="str">
        <f>IF(Tableau1[[#This Row],[TTC]]=0,"",IF(Tableau1[[#This Row],[MODE DE REGLEMENT]]="","A réglée","Fac réglée"))</f>
        <v/>
      </c>
      <c r="J25" s="21"/>
    </row>
    <row r="26" spans="1:10" x14ac:dyDescent="0.25">
      <c r="A26" s="14"/>
      <c r="B26" s="11"/>
      <c r="C26" s="11"/>
      <c r="D26" s="11"/>
      <c r="E26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26" s="16"/>
      <c r="G26" s="16"/>
      <c r="H26" s="16">
        <f>Tableau1[[#This Row],[HT]]+Tableau1[[#This Row],[TVA]]</f>
        <v>0</v>
      </c>
      <c r="I26" s="11" t="str">
        <f>IF(Tableau1[[#This Row],[TTC]]=0,"",IF(Tableau1[[#This Row],[MODE DE REGLEMENT]]="","A réglée","Fac réglée"))</f>
        <v/>
      </c>
      <c r="J26" s="21"/>
    </row>
    <row r="27" spans="1:10" x14ac:dyDescent="0.25">
      <c r="A27" s="14"/>
      <c r="B27" s="11"/>
      <c r="C27" s="11"/>
      <c r="D27" s="11"/>
      <c r="E27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27" s="16"/>
      <c r="G27" s="16"/>
      <c r="H27" s="16">
        <f>Tableau1[[#This Row],[HT]]+Tableau1[[#This Row],[TVA]]</f>
        <v>0</v>
      </c>
      <c r="I27" s="11" t="str">
        <f>IF(Tableau1[[#This Row],[TTC]]=0,"",IF(Tableau1[[#This Row],[MODE DE REGLEMENT]]="","A réglée","Fac réglée"))</f>
        <v/>
      </c>
      <c r="J27" s="21"/>
    </row>
    <row r="28" spans="1:10" x14ac:dyDescent="0.25">
      <c r="A28" s="14"/>
      <c r="B28" s="11"/>
      <c r="C28" s="11"/>
      <c r="D28" s="11"/>
      <c r="E28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28" s="16"/>
      <c r="G28" s="16"/>
      <c r="H28" s="16">
        <f>Tableau1[[#This Row],[HT]]+Tableau1[[#This Row],[TVA]]</f>
        <v>0</v>
      </c>
      <c r="I28" s="11" t="str">
        <f>IF(Tableau1[[#This Row],[TTC]]=0,"",IF(Tableau1[[#This Row],[MODE DE REGLEMENT]]="","A réglée","Fac réglée"))</f>
        <v/>
      </c>
      <c r="J28" s="21"/>
    </row>
    <row r="29" spans="1:10" x14ac:dyDescent="0.25">
      <c r="A29" s="14"/>
      <c r="B29" s="11"/>
      <c r="C29" s="11"/>
      <c r="D29" s="11"/>
      <c r="E29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29" s="16"/>
      <c r="G29" s="16"/>
      <c r="H29" s="16">
        <f>Tableau1[[#This Row],[HT]]+Tableau1[[#This Row],[TVA]]</f>
        <v>0</v>
      </c>
      <c r="I29" s="11" t="str">
        <f>IF(Tableau1[[#This Row],[TTC]]=0,"",IF(Tableau1[[#This Row],[MODE DE REGLEMENT]]="","A réglée","Fac réglée"))</f>
        <v/>
      </c>
      <c r="J29" s="21"/>
    </row>
    <row r="30" spans="1:10" x14ac:dyDescent="0.25">
      <c r="A30" s="14"/>
      <c r="B30" s="11"/>
      <c r="C30" s="11"/>
      <c r="D30" s="11"/>
      <c r="E30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30" s="16"/>
      <c r="G30" s="16"/>
      <c r="H30" s="16">
        <f>Tableau1[[#This Row],[HT]]+Tableau1[[#This Row],[TVA]]</f>
        <v>0</v>
      </c>
      <c r="I30" s="11" t="str">
        <f>IF(Tableau1[[#This Row],[TTC]]=0,"",IF(Tableau1[[#This Row],[MODE DE REGLEMENT]]="","A réglée","Fac réglée"))</f>
        <v/>
      </c>
      <c r="J30" s="21"/>
    </row>
    <row r="31" spans="1:10" x14ac:dyDescent="0.25">
      <c r="A31" s="14"/>
      <c r="B31" s="11"/>
      <c r="C31" s="11"/>
      <c r="D31" s="11"/>
      <c r="E31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31" s="16"/>
      <c r="G31" s="16"/>
      <c r="H31" s="16">
        <f>Tableau1[[#This Row],[HT]]+Tableau1[[#This Row],[TVA]]</f>
        <v>0</v>
      </c>
      <c r="I31" s="11" t="str">
        <f>IF(Tableau1[[#This Row],[TTC]]=0,"",IF(Tableau1[[#This Row],[MODE DE REGLEMENT]]="","A réglée","Fac réglée"))</f>
        <v/>
      </c>
      <c r="J31" s="21"/>
    </row>
    <row r="32" spans="1:10" x14ac:dyDescent="0.25">
      <c r="A32" s="14"/>
      <c r="B32" s="11"/>
      <c r="C32" s="11"/>
      <c r="D32" s="11"/>
      <c r="E32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32" s="16"/>
      <c r="G32" s="16"/>
      <c r="H32" s="16">
        <f>Tableau1[[#This Row],[HT]]+Tableau1[[#This Row],[TVA]]</f>
        <v>0</v>
      </c>
      <c r="I32" s="11" t="str">
        <f>IF(Tableau1[[#This Row],[TTC]]=0,"",IF(Tableau1[[#This Row],[MODE DE REGLEMENT]]="","A réglée","Fac réglée"))</f>
        <v/>
      </c>
      <c r="J32" s="21"/>
    </row>
    <row r="33" spans="1:10" x14ac:dyDescent="0.25">
      <c r="A33" s="14"/>
      <c r="B33" s="11"/>
      <c r="C33" s="11"/>
      <c r="D33" s="11"/>
      <c r="E33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33" s="16"/>
      <c r="G33" s="16"/>
      <c r="H33" s="16">
        <f>Tableau1[[#This Row],[HT]]+Tableau1[[#This Row],[TVA]]</f>
        <v>0</v>
      </c>
      <c r="I33" s="11" t="str">
        <f>IF(Tableau1[[#This Row],[TTC]]=0,"",IF(Tableau1[[#This Row],[MODE DE REGLEMENT]]="","A réglée","Fac réglée"))</f>
        <v/>
      </c>
      <c r="J33" s="21"/>
    </row>
    <row r="34" spans="1:10" x14ac:dyDescent="0.25">
      <c r="A34" s="14"/>
      <c r="B34" s="11"/>
      <c r="C34" s="11"/>
      <c r="D34" s="11"/>
      <c r="E34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34" s="16"/>
      <c r="G34" s="16"/>
      <c r="H34" s="16">
        <f>Tableau1[[#This Row],[HT]]+Tableau1[[#This Row],[TVA]]</f>
        <v>0</v>
      </c>
      <c r="I34" s="11" t="str">
        <f>IF(Tableau1[[#This Row],[TTC]]=0,"",IF(Tableau1[[#This Row],[MODE DE REGLEMENT]]="","A réglée","Fac réglée"))</f>
        <v/>
      </c>
      <c r="J34" s="21"/>
    </row>
    <row r="35" spans="1:10" x14ac:dyDescent="0.25">
      <c r="A35" s="14"/>
      <c r="B35" s="11"/>
      <c r="C35" s="11"/>
      <c r="D35" s="11"/>
      <c r="E35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35" s="16"/>
      <c r="G35" s="16"/>
      <c r="H35" s="16">
        <f>Tableau1[[#This Row],[HT]]+Tableau1[[#This Row],[TVA]]</f>
        <v>0</v>
      </c>
      <c r="I35" s="11" t="str">
        <f>IF(Tableau1[[#This Row],[TTC]]=0,"",IF(Tableau1[[#This Row],[MODE DE REGLEMENT]]="","A réglée","Fac réglée"))</f>
        <v/>
      </c>
      <c r="J35" s="21"/>
    </row>
    <row r="36" spans="1:10" x14ac:dyDescent="0.25">
      <c r="A36" s="14"/>
      <c r="B36" s="11"/>
      <c r="C36" s="11"/>
      <c r="D36" s="11"/>
      <c r="E36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36" s="16"/>
      <c r="G36" s="16"/>
      <c r="H36" s="16">
        <f>Tableau1[[#This Row],[HT]]+Tableau1[[#This Row],[TVA]]</f>
        <v>0</v>
      </c>
      <c r="I36" s="11" t="str">
        <f>IF(Tableau1[[#This Row],[TTC]]=0,"",IF(Tableau1[[#This Row],[MODE DE REGLEMENT]]="","A réglée","Fac réglée"))</f>
        <v/>
      </c>
      <c r="J36" s="21"/>
    </row>
    <row r="37" spans="1:10" x14ac:dyDescent="0.25">
      <c r="A37" s="14"/>
      <c r="B37" s="11"/>
      <c r="C37" s="11"/>
      <c r="D37" s="11"/>
      <c r="E37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37" s="16"/>
      <c r="G37" s="16"/>
      <c r="H37" s="16">
        <f>Tableau1[[#This Row],[HT]]+Tableau1[[#This Row],[TVA]]</f>
        <v>0</v>
      </c>
      <c r="I37" s="11" t="str">
        <f>IF(Tableau1[[#This Row],[TTC]]=0,"",IF(Tableau1[[#This Row],[MODE DE REGLEMENT]]="","A réglée","Fac réglée"))</f>
        <v/>
      </c>
      <c r="J37" s="21"/>
    </row>
    <row r="38" spans="1:10" x14ac:dyDescent="0.25">
      <c r="A38" s="14"/>
      <c r="B38" s="11"/>
      <c r="C38" s="11"/>
      <c r="D38" s="11"/>
      <c r="E38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38" s="16"/>
      <c r="G38" s="16"/>
      <c r="H38" s="16">
        <f>Tableau1[[#This Row],[HT]]+Tableau1[[#This Row],[TVA]]</f>
        <v>0</v>
      </c>
      <c r="I38" s="11" t="str">
        <f>IF(Tableau1[[#This Row],[TTC]]=0,"",IF(Tableau1[[#This Row],[MODE DE REGLEMENT]]="","A réglée","Fac réglée"))</f>
        <v/>
      </c>
      <c r="J38" s="21"/>
    </row>
    <row r="39" spans="1:10" x14ac:dyDescent="0.25">
      <c r="A39" s="14"/>
      <c r="B39" s="11"/>
      <c r="C39" s="11"/>
      <c r="D39" s="11"/>
      <c r="E39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39" s="16"/>
      <c r="G39" s="16"/>
      <c r="H39" s="16">
        <f>Tableau1[[#This Row],[HT]]+Tableau1[[#This Row],[TVA]]</f>
        <v>0</v>
      </c>
      <c r="I39" s="11" t="str">
        <f>IF(Tableau1[[#This Row],[TTC]]=0,"",IF(Tableau1[[#This Row],[MODE DE REGLEMENT]]="","A réglée","Fac réglée"))</f>
        <v/>
      </c>
      <c r="J39" s="21"/>
    </row>
    <row r="40" spans="1:10" x14ac:dyDescent="0.25">
      <c r="A40" s="14"/>
      <c r="B40" s="11"/>
      <c r="C40" s="11"/>
      <c r="D40" s="11"/>
      <c r="E40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40" s="16"/>
      <c r="G40" s="16"/>
      <c r="H40" s="16">
        <f>Tableau1[[#This Row],[HT]]+Tableau1[[#This Row],[TVA]]</f>
        <v>0</v>
      </c>
      <c r="I40" s="11" t="str">
        <f>IF(Tableau1[[#This Row],[TTC]]=0,"",IF(Tableau1[[#This Row],[MODE DE REGLEMENT]]="","A réglée","Fac réglée"))</f>
        <v/>
      </c>
      <c r="J40" s="21"/>
    </row>
    <row r="41" spans="1:10" x14ac:dyDescent="0.25">
      <c r="A41" s="14"/>
      <c r="B41" s="11"/>
      <c r="C41" s="11"/>
      <c r="D41" s="11"/>
      <c r="E41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41" s="16"/>
      <c r="G41" s="16"/>
      <c r="H41" s="16">
        <f>Tableau1[[#This Row],[HT]]+Tableau1[[#This Row],[TVA]]</f>
        <v>0</v>
      </c>
      <c r="I41" s="11" t="str">
        <f>IF(Tableau1[[#This Row],[TTC]]=0,"",IF(Tableau1[[#This Row],[MODE DE REGLEMENT]]="","A réglée","Fac réglée"))</f>
        <v/>
      </c>
      <c r="J41" s="21"/>
    </row>
    <row r="42" spans="1:10" x14ac:dyDescent="0.25">
      <c r="A42" s="14"/>
      <c r="B42" s="11"/>
      <c r="C42" s="11"/>
      <c r="D42" s="11"/>
      <c r="E42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42" s="16"/>
      <c r="G42" s="16"/>
      <c r="H42" s="16">
        <f>Tableau1[[#This Row],[HT]]+Tableau1[[#This Row],[TVA]]</f>
        <v>0</v>
      </c>
      <c r="I42" s="11" t="str">
        <f>IF(Tableau1[[#This Row],[TTC]]=0,"",IF(Tableau1[[#This Row],[MODE DE REGLEMENT]]="","A réglée","Fac réglée"))</f>
        <v/>
      </c>
      <c r="J42" s="21"/>
    </row>
    <row r="43" spans="1:10" x14ac:dyDescent="0.25">
      <c r="A43" s="14"/>
      <c r="B43" s="11"/>
      <c r="C43" s="11"/>
      <c r="D43" s="11"/>
      <c r="E43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43" s="16"/>
      <c r="G43" s="16"/>
      <c r="H43" s="16">
        <f>Tableau1[[#This Row],[HT]]+Tableau1[[#This Row],[TVA]]</f>
        <v>0</v>
      </c>
      <c r="I43" s="11" t="str">
        <f>IF(Tableau1[[#This Row],[TTC]]=0,"",IF(Tableau1[[#This Row],[MODE DE REGLEMENT]]="","A réglée","Fac réglée"))</f>
        <v/>
      </c>
      <c r="J43" s="21"/>
    </row>
    <row r="44" spans="1:10" x14ac:dyDescent="0.25">
      <c r="A44" s="14"/>
      <c r="B44" s="11"/>
      <c r="C44" s="11"/>
      <c r="D44" s="11"/>
      <c r="E44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44" s="16"/>
      <c r="G44" s="16"/>
      <c r="H44" s="16">
        <f>Tableau1[[#This Row],[HT]]+Tableau1[[#This Row],[TVA]]</f>
        <v>0</v>
      </c>
      <c r="I44" s="11" t="str">
        <f>IF(Tableau1[[#This Row],[TTC]]=0,"",IF(Tableau1[[#This Row],[MODE DE REGLEMENT]]="","A réglée","Fac réglée"))</f>
        <v/>
      </c>
      <c r="J44" s="21"/>
    </row>
    <row r="45" spans="1:10" x14ac:dyDescent="0.25">
      <c r="A45" s="14"/>
      <c r="B45" s="11"/>
      <c r="C45" s="11"/>
      <c r="D45" s="11"/>
      <c r="E45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45" s="16"/>
      <c r="G45" s="16"/>
      <c r="H45" s="16">
        <f>Tableau1[[#This Row],[HT]]+Tableau1[[#This Row],[TVA]]</f>
        <v>0</v>
      </c>
      <c r="I45" s="11" t="str">
        <f>IF(Tableau1[[#This Row],[TTC]]=0,"",IF(Tableau1[[#This Row],[MODE DE REGLEMENT]]="","A réglée","Fac réglée"))</f>
        <v/>
      </c>
      <c r="J45" s="21"/>
    </row>
    <row r="46" spans="1:10" x14ac:dyDescent="0.25">
      <c r="A46" s="14"/>
      <c r="B46" s="11"/>
      <c r="C46" s="11"/>
      <c r="D46" s="11"/>
      <c r="E46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46" s="16"/>
      <c r="G46" s="16"/>
      <c r="H46" s="16">
        <f>Tableau1[[#This Row],[HT]]+Tableau1[[#This Row],[TVA]]</f>
        <v>0</v>
      </c>
      <c r="I46" s="11" t="str">
        <f>IF(Tableau1[[#This Row],[TTC]]=0,"",IF(Tableau1[[#This Row],[MODE DE REGLEMENT]]="","A réglée","Fac réglée"))</f>
        <v/>
      </c>
      <c r="J46" s="21"/>
    </row>
    <row r="47" spans="1:10" x14ac:dyDescent="0.25">
      <c r="A47" s="14"/>
      <c r="B47" s="11"/>
      <c r="C47" s="11"/>
      <c r="D47" s="11"/>
      <c r="E47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47" s="16"/>
      <c r="G47" s="16"/>
      <c r="H47" s="16">
        <f>Tableau1[[#This Row],[HT]]+Tableau1[[#This Row],[TVA]]</f>
        <v>0</v>
      </c>
      <c r="I47" s="11" t="str">
        <f>IF(Tableau1[[#This Row],[TTC]]=0,"",IF(Tableau1[[#This Row],[MODE DE REGLEMENT]]="","A réglée","Fac réglée"))</f>
        <v/>
      </c>
      <c r="J47" s="21"/>
    </row>
    <row r="48" spans="1:10" x14ac:dyDescent="0.25">
      <c r="A48" s="14"/>
      <c r="B48" s="11"/>
      <c r="C48" s="11"/>
      <c r="D48" s="11"/>
      <c r="E48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48" s="16"/>
      <c r="G48" s="16"/>
      <c r="H48" s="16">
        <f>Tableau1[[#This Row],[HT]]+Tableau1[[#This Row],[TVA]]</f>
        <v>0</v>
      </c>
      <c r="I48" s="11" t="str">
        <f>IF(Tableau1[[#This Row],[TTC]]=0,"",IF(Tableau1[[#This Row],[MODE DE REGLEMENT]]="","A réglée","Fac réglée"))</f>
        <v/>
      </c>
      <c r="J48" s="21"/>
    </row>
    <row r="49" spans="1:10" x14ac:dyDescent="0.25">
      <c r="A49" s="14"/>
      <c r="B49" s="11"/>
      <c r="C49" s="11"/>
      <c r="D49" s="11"/>
      <c r="E49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49" s="16"/>
      <c r="G49" s="16"/>
      <c r="H49" s="16">
        <f>Tableau1[[#This Row],[HT]]+Tableau1[[#This Row],[TVA]]</f>
        <v>0</v>
      </c>
      <c r="I49" s="11" t="str">
        <f>IF(Tableau1[[#This Row],[TTC]]=0,"",IF(Tableau1[[#This Row],[MODE DE REGLEMENT]]="","A réglée","Fac réglée"))</f>
        <v/>
      </c>
      <c r="J49" s="21"/>
    </row>
    <row r="50" spans="1:10" x14ac:dyDescent="0.25">
      <c r="A50" s="14"/>
      <c r="B50" s="11"/>
      <c r="C50" s="11"/>
      <c r="D50" s="11"/>
      <c r="E50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50" s="16"/>
      <c r="G50" s="16"/>
      <c r="H50" s="16">
        <f>Tableau1[[#This Row],[HT]]+Tableau1[[#This Row],[TVA]]</f>
        <v>0</v>
      </c>
      <c r="I50" s="11" t="str">
        <f>IF(Tableau1[[#This Row],[TTC]]=0,"",IF(Tableau1[[#This Row],[MODE DE REGLEMENT]]="","A réglée","Fac réglée"))</f>
        <v/>
      </c>
      <c r="J50" s="21"/>
    </row>
    <row r="51" spans="1:10" x14ac:dyDescent="0.25">
      <c r="A51" s="14"/>
      <c r="B51" s="11"/>
      <c r="C51" s="11"/>
      <c r="D51" s="11"/>
      <c r="E51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51" s="16"/>
      <c r="G51" s="16"/>
      <c r="H51" s="16">
        <f>Tableau1[[#This Row],[HT]]+Tableau1[[#This Row],[TVA]]</f>
        <v>0</v>
      </c>
      <c r="I51" s="11" t="str">
        <f>IF(Tableau1[[#This Row],[TTC]]=0,"",IF(Tableau1[[#This Row],[MODE DE REGLEMENT]]="","A réglée","Fac réglée"))</f>
        <v/>
      </c>
      <c r="J51" s="21"/>
    </row>
    <row r="52" spans="1:10" x14ac:dyDescent="0.25">
      <c r="A52" s="14"/>
      <c r="B52" s="11"/>
      <c r="C52" s="11"/>
      <c r="D52" s="11"/>
      <c r="E52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52" s="16"/>
      <c r="G52" s="16"/>
      <c r="H52" s="16">
        <f>Tableau1[[#This Row],[HT]]+Tableau1[[#This Row],[TVA]]</f>
        <v>0</v>
      </c>
      <c r="I52" s="11" t="str">
        <f>IF(Tableau1[[#This Row],[TTC]]=0,"",IF(Tableau1[[#This Row],[MODE DE REGLEMENT]]="","A réglée","Fac réglée"))</f>
        <v/>
      </c>
      <c r="J52" s="21"/>
    </row>
    <row r="53" spans="1:10" x14ac:dyDescent="0.25">
      <c r="A53" s="14"/>
      <c r="B53" s="11"/>
      <c r="C53" s="11"/>
      <c r="D53" s="11"/>
      <c r="E53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53" s="16"/>
      <c r="G53" s="16"/>
      <c r="H53" s="16">
        <f>Tableau1[[#This Row],[HT]]+Tableau1[[#This Row],[TVA]]</f>
        <v>0</v>
      </c>
      <c r="I53" s="11" t="str">
        <f>IF(Tableau1[[#This Row],[TTC]]=0,"",IF(Tableau1[[#This Row],[MODE DE REGLEMENT]]="","A réglée","Fac réglée"))</f>
        <v/>
      </c>
      <c r="J53" s="21"/>
    </row>
    <row r="54" spans="1:10" x14ac:dyDescent="0.25">
      <c r="A54" s="14"/>
      <c r="B54" s="11"/>
      <c r="C54" s="11"/>
      <c r="D54" s="11"/>
      <c r="E54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54" s="16"/>
      <c r="G54" s="16"/>
      <c r="H54" s="16">
        <f>Tableau1[[#This Row],[HT]]+Tableau1[[#This Row],[TVA]]</f>
        <v>0</v>
      </c>
      <c r="I54" s="11" t="str">
        <f>IF(Tableau1[[#This Row],[TTC]]=0,"",IF(Tableau1[[#This Row],[MODE DE REGLEMENT]]="","A réglée","Fac réglée"))</f>
        <v/>
      </c>
      <c r="J54" s="21"/>
    </row>
    <row r="55" spans="1:10" x14ac:dyDescent="0.25">
      <c r="A55" s="14"/>
      <c r="B55" s="11"/>
      <c r="C55" s="11"/>
      <c r="D55" s="11"/>
      <c r="E55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55" s="16"/>
      <c r="G55" s="16"/>
      <c r="H55" s="16">
        <f>Tableau1[[#This Row],[HT]]+Tableau1[[#This Row],[TVA]]</f>
        <v>0</v>
      </c>
      <c r="I55" s="11" t="str">
        <f>IF(Tableau1[[#This Row],[TTC]]=0,"",IF(Tableau1[[#This Row],[MODE DE REGLEMENT]]="","A réglée","Fac réglée"))</f>
        <v/>
      </c>
      <c r="J55" s="21"/>
    </row>
    <row r="56" spans="1:10" x14ac:dyDescent="0.25">
      <c r="A56" s="14"/>
      <c r="B56" s="11"/>
      <c r="C56" s="11"/>
      <c r="D56" s="11"/>
      <c r="E56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56" s="16"/>
      <c r="G56" s="16"/>
      <c r="H56" s="16">
        <f>Tableau1[[#This Row],[HT]]+Tableau1[[#This Row],[TVA]]</f>
        <v>0</v>
      </c>
      <c r="I56" s="11" t="str">
        <f>IF(Tableau1[[#This Row],[TTC]]=0,"",IF(Tableau1[[#This Row],[MODE DE REGLEMENT]]="","A réglée","Fac réglée"))</f>
        <v/>
      </c>
      <c r="J56" s="21"/>
    </row>
    <row r="57" spans="1:10" x14ac:dyDescent="0.25">
      <c r="A57" s="14"/>
      <c r="B57" s="11"/>
      <c r="C57" s="11"/>
      <c r="D57" s="11"/>
      <c r="E57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57" s="16"/>
      <c r="G57" s="16"/>
      <c r="H57" s="16">
        <f>Tableau1[[#This Row],[HT]]+Tableau1[[#This Row],[TVA]]</f>
        <v>0</v>
      </c>
      <c r="I57" s="11" t="str">
        <f>IF(Tableau1[[#This Row],[TTC]]=0,"",IF(Tableau1[[#This Row],[MODE DE REGLEMENT]]="","A réglée","Fac réglée"))</f>
        <v/>
      </c>
      <c r="J57" s="21"/>
    </row>
    <row r="58" spans="1:10" x14ac:dyDescent="0.25">
      <c r="A58" s="14"/>
      <c r="B58" s="11"/>
      <c r="C58" s="11"/>
      <c r="D58" s="11"/>
      <c r="E58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58" s="16"/>
      <c r="G58" s="16"/>
      <c r="H58" s="16">
        <f>Tableau1[[#This Row],[HT]]+Tableau1[[#This Row],[TVA]]</f>
        <v>0</v>
      </c>
      <c r="I58" s="11" t="str">
        <f>IF(Tableau1[[#This Row],[TTC]]=0,"",IF(Tableau1[[#This Row],[MODE DE REGLEMENT]]="","A réglée","Fac réglée"))</f>
        <v/>
      </c>
      <c r="J58" s="21"/>
    </row>
    <row r="59" spans="1:10" x14ac:dyDescent="0.25">
      <c r="A59" s="14"/>
      <c r="B59" s="11"/>
      <c r="C59" s="11"/>
      <c r="D59" s="11"/>
      <c r="E59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59" s="16"/>
      <c r="G59" s="16"/>
      <c r="H59" s="16">
        <f>Tableau1[[#This Row],[HT]]+Tableau1[[#This Row],[TVA]]</f>
        <v>0</v>
      </c>
      <c r="I59" s="11" t="str">
        <f>IF(Tableau1[[#This Row],[TTC]]=0,"",IF(Tableau1[[#This Row],[MODE DE REGLEMENT]]="","A réglée","Fac réglée"))</f>
        <v/>
      </c>
      <c r="J59" s="21"/>
    </row>
    <row r="60" spans="1:10" x14ac:dyDescent="0.25">
      <c r="A60" s="14"/>
      <c r="B60" s="11"/>
      <c r="C60" s="11"/>
      <c r="D60" s="11"/>
      <c r="E60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60" s="16"/>
      <c r="G60" s="16"/>
      <c r="H60" s="16">
        <f>Tableau1[[#This Row],[HT]]+Tableau1[[#This Row],[TVA]]</f>
        <v>0</v>
      </c>
      <c r="I60" s="11" t="str">
        <f>IF(Tableau1[[#This Row],[TTC]]=0,"",IF(Tableau1[[#This Row],[MODE DE REGLEMENT]]="","A réglée","Fac réglée"))</f>
        <v/>
      </c>
      <c r="J60" s="21"/>
    </row>
    <row r="61" spans="1:10" x14ac:dyDescent="0.25">
      <c r="A61" s="14"/>
      <c r="B61" s="11"/>
      <c r="C61" s="11"/>
      <c r="D61" s="11"/>
      <c r="E61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61" s="16"/>
      <c r="G61" s="16"/>
      <c r="H61" s="16">
        <f>Tableau1[[#This Row],[HT]]+Tableau1[[#This Row],[TVA]]</f>
        <v>0</v>
      </c>
      <c r="I61" s="11" t="str">
        <f>IF(Tableau1[[#This Row],[TTC]]=0,"",IF(Tableau1[[#This Row],[MODE DE REGLEMENT]]="","A réglée","Fac réglée"))</f>
        <v/>
      </c>
      <c r="J61" s="21"/>
    </row>
    <row r="62" spans="1:10" x14ac:dyDescent="0.25">
      <c r="A62" s="14"/>
      <c r="B62" s="11"/>
      <c r="C62" s="11"/>
      <c r="D62" s="11"/>
      <c r="E62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62" s="16"/>
      <c r="G62" s="16"/>
      <c r="H62" s="16">
        <f>Tableau1[[#This Row],[HT]]+Tableau1[[#This Row],[TVA]]</f>
        <v>0</v>
      </c>
      <c r="I62" s="11" t="str">
        <f>IF(Tableau1[[#This Row],[TTC]]=0,"",IF(Tableau1[[#This Row],[MODE DE REGLEMENT]]="","A réglée","Fac réglée"))</f>
        <v/>
      </c>
      <c r="J62" s="21"/>
    </row>
    <row r="63" spans="1:10" x14ac:dyDescent="0.25">
      <c r="A63" s="14"/>
      <c r="B63" s="11"/>
      <c r="C63" s="11"/>
      <c r="D63" s="11"/>
      <c r="E63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63" s="16"/>
      <c r="G63" s="16"/>
      <c r="H63" s="16">
        <f>Tableau1[[#This Row],[HT]]+Tableau1[[#This Row],[TVA]]</f>
        <v>0</v>
      </c>
      <c r="I63" s="11" t="str">
        <f>IF(Tableau1[[#This Row],[TTC]]=0,"",IF(Tableau1[[#This Row],[MODE DE REGLEMENT]]="","A réglée","Fac réglée"))</f>
        <v/>
      </c>
      <c r="J63" s="21"/>
    </row>
    <row r="64" spans="1:10" x14ac:dyDescent="0.25">
      <c r="A64" s="14"/>
      <c r="B64" s="11"/>
      <c r="C64" s="11"/>
      <c r="D64" s="11"/>
      <c r="E64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64" s="16"/>
      <c r="G64" s="16"/>
      <c r="H64" s="16">
        <f>Tableau1[[#This Row],[HT]]+Tableau1[[#This Row],[TVA]]</f>
        <v>0</v>
      </c>
      <c r="I64" s="11" t="str">
        <f>IF(Tableau1[[#This Row],[TTC]]=0,"",IF(Tableau1[[#This Row],[MODE DE REGLEMENT]]="","A réglée","Fac réglée"))</f>
        <v/>
      </c>
      <c r="J64" s="21"/>
    </row>
    <row r="65" spans="1:10" x14ac:dyDescent="0.25">
      <c r="A65" s="14"/>
      <c r="B65" s="11"/>
      <c r="C65" s="11"/>
      <c r="D65" s="11"/>
      <c r="E65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65" s="16"/>
      <c r="G65" s="16"/>
      <c r="H65" s="16">
        <f>Tableau1[[#This Row],[HT]]+Tableau1[[#This Row],[TVA]]</f>
        <v>0</v>
      </c>
      <c r="I65" s="11" t="str">
        <f>IF(Tableau1[[#This Row],[TTC]]=0,"",IF(Tableau1[[#This Row],[MODE DE REGLEMENT]]="","A réglée","Fac réglée"))</f>
        <v/>
      </c>
      <c r="J65" s="21"/>
    </row>
    <row r="66" spans="1:10" x14ac:dyDescent="0.25">
      <c r="A66" s="14"/>
      <c r="B66" s="11"/>
      <c r="C66" s="11"/>
      <c r="D66" s="11"/>
      <c r="E66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66" s="16"/>
      <c r="G66" s="16"/>
      <c r="H66" s="16">
        <f>Tableau1[[#This Row],[HT]]+Tableau1[[#This Row],[TVA]]</f>
        <v>0</v>
      </c>
      <c r="I66" s="11" t="str">
        <f>IF(Tableau1[[#This Row],[TTC]]=0,"",IF(Tableau1[[#This Row],[MODE DE REGLEMENT]]="","A réglée","Fac réglée"))</f>
        <v/>
      </c>
      <c r="J66" s="21"/>
    </row>
    <row r="67" spans="1:10" x14ac:dyDescent="0.25">
      <c r="A67" s="14"/>
      <c r="B67" s="11"/>
      <c r="C67" s="11"/>
      <c r="D67" s="11"/>
      <c r="E67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67" s="16"/>
      <c r="G67" s="16"/>
      <c r="H67" s="16">
        <f>Tableau1[[#This Row],[HT]]+Tableau1[[#This Row],[TVA]]</f>
        <v>0</v>
      </c>
      <c r="I67" s="11" t="str">
        <f>IF(Tableau1[[#This Row],[TTC]]=0,"",IF(Tableau1[[#This Row],[MODE DE REGLEMENT]]="","A réglée","Fac réglée"))</f>
        <v/>
      </c>
      <c r="J67" s="21"/>
    </row>
    <row r="68" spans="1:10" x14ac:dyDescent="0.25">
      <c r="A68" s="14"/>
      <c r="B68" s="11"/>
      <c r="C68" s="11"/>
      <c r="D68" s="11"/>
      <c r="E68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68" s="16"/>
      <c r="G68" s="16"/>
      <c r="H68" s="16">
        <f>Tableau1[[#This Row],[HT]]+Tableau1[[#This Row],[TVA]]</f>
        <v>0</v>
      </c>
      <c r="I68" s="11" t="str">
        <f>IF(Tableau1[[#This Row],[TTC]]=0,"",IF(Tableau1[[#This Row],[MODE DE REGLEMENT]]="","A réglée","Fac réglée"))</f>
        <v/>
      </c>
      <c r="J68" s="21"/>
    </row>
    <row r="69" spans="1:10" x14ac:dyDescent="0.25">
      <c r="A69" s="14"/>
      <c r="B69" s="11"/>
      <c r="C69" s="11"/>
      <c r="D69" s="11"/>
      <c r="E69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69" s="16"/>
      <c r="G69" s="16"/>
      <c r="H69" s="16">
        <f>Tableau1[[#This Row],[HT]]+Tableau1[[#This Row],[TVA]]</f>
        <v>0</v>
      </c>
      <c r="I69" s="11" t="str">
        <f>IF(Tableau1[[#This Row],[TTC]]=0,"",IF(Tableau1[[#This Row],[MODE DE REGLEMENT]]="","A réglée","Fac réglée"))</f>
        <v/>
      </c>
      <c r="J69" s="21"/>
    </row>
    <row r="70" spans="1:10" x14ac:dyDescent="0.25">
      <c r="A70" s="14"/>
      <c r="B70" s="11"/>
      <c r="C70" s="11"/>
      <c r="D70" s="11"/>
      <c r="E70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70" s="16"/>
      <c r="G70" s="16"/>
      <c r="H70" s="16">
        <f>Tableau1[[#This Row],[HT]]+Tableau1[[#This Row],[TVA]]</f>
        <v>0</v>
      </c>
      <c r="I70" s="11" t="str">
        <f>IF(Tableau1[[#This Row],[TTC]]=0,"",IF(Tableau1[[#This Row],[MODE DE REGLEMENT]]="","A réglée","Fac réglée"))</f>
        <v/>
      </c>
      <c r="J70" s="21"/>
    </row>
    <row r="71" spans="1:10" x14ac:dyDescent="0.25">
      <c r="A71" s="14"/>
      <c r="B71" s="11"/>
      <c r="C71" s="11"/>
      <c r="D71" s="11"/>
      <c r="E71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71" s="16"/>
      <c r="G71" s="16"/>
      <c r="H71" s="16">
        <f>Tableau1[[#This Row],[HT]]+Tableau1[[#This Row],[TVA]]</f>
        <v>0</v>
      </c>
      <c r="I71" s="11" t="str">
        <f>IF(Tableau1[[#This Row],[TTC]]=0,"",IF(Tableau1[[#This Row],[MODE DE REGLEMENT]]="","A réglée","Fac réglée"))</f>
        <v/>
      </c>
      <c r="J71" s="21"/>
    </row>
    <row r="72" spans="1:10" x14ac:dyDescent="0.25">
      <c r="A72" s="14"/>
      <c r="B72" s="11"/>
      <c r="C72" s="11"/>
      <c r="D72" s="11"/>
      <c r="E72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72" s="16"/>
      <c r="G72" s="16"/>
      <c r="H72" s="16">
        <f>Tableau1[[#This Row],[HT]]+Tableau1[[#This Row],[TVA]]</f>
        <v>0</v>
      </c>
      <c r="I72" s="11" t="str">
        <f>IF(Tableau1[[#This Row],[TTC]]=0,"",IF(Tableau1[[#This Row],[MODE DE REGLEMENT]]="","A réglée","Fac réglée"))</f>
        <v/>
      </c>
      <c r="J72" s="21"/>
    </row>
    <row r="73" spans="1:10" x14ac:dyDescent="0.25">
      <c r="A73" s="14"/>
      <c r="B73" s="11"/>
      <c r="C73" s="11"/>
      <c r="D73" s="11"/>
      <c r="E73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73" s="16"/>
      <c r="G73" s="16"/>
      <c r="H73" s="16">
        <f>Tableau1[[#This Row],[HT]]+Tableau1[[#This Row],[TVA]]</f>
        <v>0</v>
      </c>
      <c r="I73" s="11" t="str">
        <f>IF(Tableau1[[#This Row],[TTC]]=0,"",IF(Tableau1[[#This Row],[MODE DE REGLEMENT]]="","A réglée","Fac réglée"))</f>
        <v/>
      </c>
      <c r="J73" s="21"/>
    </row>
    <row r="74" spans="1:10" x14ac:dyDescent="0.25">
      <c r="A74" s="14"/>
      <c r="B74" s="11"/>
      <c r="C74" s="11"/>
      <c r="D74" s="11"/>
      <c r="E74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74" s="16"/>
      <c r="G74" s="16"/>
      <c r="H74" s="16">
        <f>Tableau1[[#This Row],[HT]]+Tableau1[[#This Row],[TVA]]</f>
        <v>0</v>
      </c>
      <c r="I74" s="11" t="str">
        <f>IF(Tableau1[[#This Row],[TTC]]=0,"",IF(Tableau1[[#This Row],[MODE DE REGLEMENT]]="","A réglée","Fac réglée"))</f>
        <v/>
      </c>
      <c r="J74" s="21"/>
    </row>
    <row r="75" spans="1:10" x14ac:dyDescent="0.25">
      <c r="A75" s="14"/>
      <c r="B75" s="11"/>
      <c r="C75" s="11"/>
      <c r="D75" s="11"/>
      <c r="E75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75" s="16"/>
      <c r="G75" s="16"/>
      <c r="H75" s="16">
        <f>Tableau1[[#This Row],[HT]]+Tableau1[[#This Row],[TVA]]</f>
        <v>0</v>
      </c>
      <c r="I75" s="11" t="str">
        <f>IF(Tableau1[[#This Row],[TTC]]=0,"",IF(Tableau1[[#This Row],[MODE DE REGLEMENT]]="","A réglée","Fac réglée"))</f>
        <v/>
      </c>
      <c r="J75" s="21"/>
    </row>
    <row r="76" spans="1:10" x14ac:dyDescent="0.25">
      <c r="A76" s="14"/>
      <c r="B76" s="11"/>
      <c r="C76" s="11"/>
      <c r="D76" s="11"/>
      <c r="E76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76" s="16"/>
      <c r="G76" s="16"/>
      <c r="H76" s="16">
        <f>Tableau1[[#This Row],[HT]]+Tableau1[[#This Row],[TVA]]</f>
        <v>0</v>
      </c>
      <c r="I76" s="11" t="str">
        <f>IF(Tableau1[[#This Row],[TTC]]=0,"",IF(Tableau1[[#This Row],[MODE DE REGLEMENT]]="","A réglée","Fac réglée"))</f>
        <v/>
      </c>
      <c r="J76" s="21"/>
    </row>
    <row r="77" spans="1:10" x14ac:dyDescent="0.25">
      <c r="A77" s="14"/>
      <c r="B77" s="11"/>
      <c r="C77" s="11"/>
      <c r="D77" s="11"/>
      <c r="E77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77" s="16"/>
      <c r="G77" s="16"/>
      <c r="H77" s="16">
        <f>Tableau1[[#This Row],[HT]]+Tableau1[[#This Row],[TVA]]</f>
        <v>0</v>
      </c>
      <c r="I77" s="11" t="str">
        <f>IF(Tableau1[[#This Row],[TTC]]=0,"",IF(Tableau1[[#This Row],[MODE DE REGLEMENT]]="","A réglée","Fac réglée"))</f>
        <v/>
      </c>
      <c r="J77" s="21"/>
    </row>
    <row r="78" spans="1:10" x14ac:dyDescent="0.25">
      <c r="A78" s="14"/>
      <c r="B78" s="11"/>
      <c r="C78" s="11"/>
      <c r="D78" s="11"/>
      <c r="E78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78" s="16"/>
      <c r="G78" s="16"/>
      <c r="H78" s="16">
        <f>Tableau1[[#This Row],[HT]]+Tableau1[[#This Row],[TVA]]</f>
        <v>0</v>
      </c>
      <c r="I78" s="11" t="str">
        <f>IF(Tableau1[[#This Row],[TTC]]=0,"",IF(Tableau1[[#This Row],[MODE DE REGLEMENT]]="","A réglée","Fac réglée"))</f>
        <v/>
      </c>
      <c r="J78" s="21"/>
    </row>
    <row r="79" spans="1:10" x14ac:dyDescent="0.25">
      <c r="A79" s="14"/>
      <c r="B79" s="11"/>
      <c r="C79" s="11"/>
      <c r="D79" s="11"/>
      <c r="E79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79" s="16"/>
      <c r="G79" s="16"/>
      <c r="H79" s="16">
        <f>Tableau1[[#This Row],[HT]]+Tableau1[[#This Row],[TVA]]</f>
        <v>0</v>
      </c>
      <c r="I79" s="11" t="str">
        <f>IF(Tableau1[[#This Row],[TTC]]=0,"",IF(Tableau1[[#This Row],[MODE DE REGLEMENT]]="","A réglée","Fac réglée"))</f>
        <v/>
      </c>
      <c r="J79" s="21"/>
    </row>
    <row r="80" spans="1:10" x14ac:dyDescent="0.25">
      <c r="A80" s="14"/>
      <c r="B80" s="11"/>
      <c r="C80" s="11"/>
      <c r="D80" s="11"/>
      <c r="E80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80" s="16"/>
      <c r="G80" s="16"/>
      <c r="H80" s="16">
        <f>Tableau1[[#This Row],[HT]]+Tableau1[[#This Row],[TVA]]</f>
        <v>0</v>
      </c>
      <c r="I80" s="11" t="str">
        <f>IF(Tableau1[[#This Row],[TTC]]=0,"",IF(Tableau1[[#This Row],[MODE DE REGLEMENT]]="","A réglée","Fac réglée"))</f>
        <v/>
      </c>
      <c r="J80" s="21"/>
    </row>
    <row r="81" spans="1:10" x14ac:dyDescent="0.25">
      <c r="A81" s="14"/>
      <c r="B81" s="11"/>
      <c r="C81" s="11"/>
      <c r="D81" s="11"/>
      <c r="E81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81" s="16"/>
      <c r="G81" s="16"/>
      <c r="H81" s="16">
        <f>Tableau1[[#This Row],[HT]]+Tableau1[[#This Row],[TVA]]</f>
        <v>0</v>
      </c>
      <c r="I81" s="11" t="str">
        <f>IF(Tableau1[[#This Row],[TTC]]=0,"",IF(Tableau1[[#This Row],[MODE DE REGLEMENT]]="","A réglée","Fac réglée"))</f>
        <v/>
      </c>
      <c r="J81" s="21"/>
    </row>
    <row r="82" spans="1:10" x14ac:dyDescent="0.25">
      <c r="A82" s="14"/>
      <c r="B82" s="11"/>
      <c r="C82" s="11"/>
      <c r="D82" s="11"/>
      <c r="E82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82" s="16"/>
      <c r="G82" s="16"/>
      <c r="H82" s="16">
        <f>Tableau1[[#This Row],[HT]]+Tableau1[[#This Row],[TVA]]</f>
        <v>0</v>
      </c>
      <c r="I82" s="11" t="str">
        <f>IF(Tableau1[[#This Row],[TTC]]=0,"",IF(Tableau1[[#This Row],[MODE DE REGLEMENT]]="","A réglée","Fac réglée"))</f>
        <v/>
      </c>
      <c r="J82" s="21"/>
    </row>
    <row r="83" spans="1:10" x14ac:dyDescent="0.25">
      <c r="A83" s="14"/>
      <c r="B83" s="11"/>
      <c r="C83" s="11"/>
      <c r="D83" s="11"/>
      <c r="E83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83" s="16"/>
      <c r="G83" s="16"/>
      <c r="H83" s="16">
        <f>Tableau1[[#This Row],[HT]]+Tableau1[[#This Row],[TVA]]</f>
        <v>0</v>
      </c>
      <c r="I83" s="11" t="str">
        <f>IF(Tableau1[[#This Row],[TTC]]=0,"",IF(Tableau1[[#This Row],[MODE DE REGLEMENT]]="","A réglée","Fac réglée"))</f>
        <v/>
      </c>
      <c r="J83" s="21"/>
    </row>
    <row r="84" spans="1:10" x14ac:dyDescent="0.25">
      <c r="A84" s="14"/>
      <c r="B84" s="11"/>
      <c r="C84" s="11"/>
      <c r="D84" s="11"/>
      <c r="E84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84" s="16"/>
      <c r="G84" s="16"/>
      <c r="H84" s="16">
        <f>Tableau1[[#This Row],[HT]]+Tableau1[[#This Row],[TVA]]</f>
        <v>0</v>
      </c>
      <c r="I84" s="11" t="str">
        <f>IF(Tableau1[[#This Row],[TTC]]=0,"",IF(Tableau1[[#This Row],[MODE DE REGLEMENT]]="","A réglée","Fac réglée"))</f>
        <v/>
      </c>
      <c r="J84" s="21"/>
    </row>
    <row r="85" spans="1:10" x14ac:dyDescent="0.25">
      <c r="A85" s="14"/>
      <c r="B85" s="11"/>
      <c r="C85" s="11"/>
      <c r="D85" s="11"/>
      <c r="E85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85" s="16"/>
      <c r="G85" s="16"/>
      <c r="H85" s="16">
        <f>Tableau1[[#This Row],[HT]]+Tableau1[[#This Row],[TVA]]</f>
        <v>0</v>
      </c>
      <c r="I85" s="11" t="str">
        <f>IF(Tableau1[[#This Row],[TTC]]=0,"",IF(Tableau1[[#This Row],[MODE DE REGLEMENT]]="","A réglée","Fac réglée"))</f>
        <v/>
      </c>
      <c r="J85" s="21"/>
    </row>
    <row r="86" spans="1:10" x14ac:dyDescent="0.25">
      <c r="A86" s="14"/>
      <c r="B86" s="11"/>
      <c r="C86" s="11"/>
      <c r="D86" s="11"/>
      <c r="E86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86" s="16"/>
      <c r="G86" s="16"/>
      <c r="H86" s="16">
        <f>Tableau1[[#This Row],[HT]]+Tableau1[[#This Row],[TVA]]</f>
        <v>0</v>
      </c>
      <c r="I86" s="11" t="str">
        <f>IF(Tableau1[[#This Row],[TTC]]=0,"",IF(Tableau1[[#This Row],[MODE DE REGLEMENT]]="","A réglée","Fac réglée"))</f>
        <v/>
      </c>
      <c r="J86" s="21"/>
    </row>
    <row r="87" spans="1:10" x14ac:dyDescent="0.25">
      <c r="A87" s="14"/>
      <c r="B87" s="11"/>
      <c r="C87" s="11"/>
      <c r="D87" s="11"/>
      <c r="E87" s="11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87" s="16"/>
      <c r="G87" s="16"/>
      <c r="H87" s="16">
        <f>Tableau1[[#This Row],[HT]]+Tableau1[[#This Row],[TVA]]</f>
        <v>0</v>
      </c>
      <c r="I87" s="11" t="str">
        <f>IF(Tableau1[[#This Row],[TTC]]=0,"",IF(Tableau1[[#This Row],[MODE DE REGLEMENT]]="","A réglée","Fac réglée"))</f>
        <v/>
      </c>
      <c r="J87" s="21"/>
    </row>
    <row r="88" spans="1:10" x14ac:dyDescent="0.25">
      <c r="A88" s="17"/>
      <c r="B88" s="18"/>
      <c r="C88" s="18"/>
      <c r="D88" s="18"/>
      <c r="E88" s="18" t="str">
        <f ca="1">IF(Tableau1[[#This Row],[ECHEANCE]]="","",IF(Tableau1[[#This Row],[STATUT]]="Fac réglée","Fac payée",IF(Tableau1[[#This Row],[ECHEANCE]]=TODAY(),"A réglée aujourd'huit",IF(Tableau1[[#This Row],[ECHEANCE]]&gt;TODAY(),Tableau1[[#This Row],[ECHEANCE]]-TODAY(),IF(Tableau1[[#This Row],[ECHEANCE]]&lt;TODAY(),"Fac échue no réglée","")))))</f>
        <v/>
      </c>
      <c r="F88" s="19"/>
      <c r="G88" s="19"/>
      <c r="H88" s="19">
        <f>Tableau1[[#This Row],[HT]]+Tableau1[[#This Row],[TVA]]</f>
        <v>0</v>
      </c>
      <c r="I88" s="18" t="str">
        <f>IF(Tableau1[[#This Row],[TTC]]=0,"",IF(Tableau1[[#This Row],[MODE DE REGLEMENT]]="","A réglée","Fac réglée"))</f>
        <v/>
      </c>
      <c r="J88" s="23"/>
    </row>
  </sheetData>
  <mergeCells count="1">
    <mergeCell ref="A1:A4"/>
  </mergeCells>
  <phoneticPr fontId="4" type="noConversion"/>
  <conditionalFormatting sqref="A6:J88">
    <cfRule type="expression" dxfId="5" priority="1">
      <formula>$E6="Fac payée"</formula>
    </cfRule>
  </conditionalFormatting>
  <conditionalFormatting sqref="E6:E88">
    <cfRule type="cellIs" dxfId="4" priority="2" operator="equal">
      <formula>"Fac échue no réglée"</formula>
    </cfRule>
    <cfRule type="cellIs" dxfId="3" priority="3" operator="equal">
      <formula>"A réglée aujourd'huit"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DA6EEFE-9B1D-4D9C-A2E7-CBDA5FDF2E7F}">
          <x14:formula1>
            <xm:f>BDD!$B$4:$B$51</xm:f>
          </x14:formula1>
          <xm:sqref>A6:A88</xm:sqref>
        </x14:dataValidation>
        <x14:dataValidation type="list" allowBlank="1" showInputMessage="1" showErrorMessage="1" xr:uid="{03F0F419-FA85-44DD-9093-EDFB1C0505B4}">
          <x14:formula1>
            <xm:f>BDD!$D$4:$D$6</xm:f>
          </x14:formula1>
          <xm:sqref>J6:J88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45BC-A97E-4FC2-9A4C-635D602251A0}">
  <dimension ref="A1:L88"/>
  <sheetViews>
    <sheetView showGridLines="0" zoomScale="94" zoomScaleNormal="94" workbookViewId="0">
      <pane ySplit="5" topLeftCell="A6" activePane="bottomLeft" state="frozen"/>
      <selection pane="bottomLeft" activeCell="D10" sqref="D10"/>
    </sheetView>
  </sheetViews>
  <sheetFormatPr baseColWidth="10" defaultRowHeight="15" x14ac:dyDescent="0.25"/>
  <cols>
    <col min="1" max="1" width="23.7109375" customWidth="1"/>
    <col min="2" max="2" width="11.5703125" customWidth="1"/>
    <col min="3" max="3" width="22.7109375" customWidth="1"/>
    <col min="4" max="4" width="16.5703125" bestFit="1" customWidth="1"/>
    <col min="5" max="5" width="26.5703125" customWidth="1"/>
    <col min="6" max="6" width="17" customWidth="1"/>
    <col min="7" max="7" width="23.42578125" customWidth="1"/>
    <col min="8" max="8" width="11.5703125" customWidth="1"/>
    <col min="9" max="9" width="23.28515625" customWidth="1"/>
    <col min="10" max="10" width="21.5703125" customWidth="1"/>
    <col min="11" max="11" width="1.7109375" customWidth="1"/>
    <col min="12" max="12" width="23.7109375" customWidth="1"/>
  </cols>
  <sheetData>
    <row r="1" spans="1:12" ht="60.75" customHeight="1" thickTop="1" thickBot="1" x14ac:dyDescent="0.3">
      <c r="A1" s="26" t="s">
        <v>50</v>
      </c>
      <c r="B1" s="2"/>
      <c r="C1" s="6" t="s">
        <v>0</v>
      </c>
      <c r="D1" s="2"/>
      <c r="E1" s="6" t="s">
        <v>1</v>
      </c>
      <c r="F1" s="1"/>
      <c r="G1" s="6" t="s">
        <v>2</v>
      </c>
      <c r="H1" s="2"/>
      <c r="I1" s="6" t="s">
        <v>42</v>
      </c>
      <c r="J1" s="2"/>
      <c r="L1" s="6" t="s">
        <v>48</v>
      </c>
    </row>
    <row r="2" spans="1:12" ht="28.5" customHeight="1" thickBot="1" x14ac:dyDescent="0.3">
      <c r="A2" s="26"/>
      <c r="B2" s="2"/>
      <c r="C2" s="22">
        <f ca="1">SUMIF(Tableau17[NB DE JOURS AVANT ECHEANCE],"&lt;&gt;Fac payée",Tableau17[TTC])</f>
        <v>0</v>
      </c>
      <c r="D2" s="2"/>
      <c r="E2" s="22">
        <f ca="1">SUMIF(Tableau17[NB DE JOURS AVANT ECHEANCE],"A réglée aujourd'huit",Tableau17[TTC])</f>
        <v>0</v>
      </c>
      <c r="F2" s="2"/>
      <c r="G2" s="22">
        <f ca="1">SUMIF(Tableau17[NB DE JOURS AVANT ECHEANCE],"&lt;=7",Tableau17[TTC])</f>
        <v>0</v>
      </c>
      <c r="H2" s="2"/>
      <c r="I2" s="22">
        <f ca="1">SUMIF(Tableau17[NB DE JOURS AVANT ECHEANCE],"Fac échue no réglée",Tableau17[TTC])</f>
        <v>0</v>
      </c>
      <c r="J2" s="2"/>
      <c r="L2" s="22">
        <f>+SUM(Tableau17[TVA])</f>
        <v>0</v>
      </c>
    </row>
    <row r="3" spans="1:12" ht="15.75" thickTop="1" x14ac:dyDescent="0.25">
      <c r="A3" s="26"/>
      <c r="B3" s="2"/>
      <c r="C3" s="2"/>
      <c r="D3" s="2"/>
      <c r="E3" s="2"/>
      <c r="F3" s="2"/>
      <c r="G3" s="2"/>
      <c r="H3" s="2"/>
      <c r="I3" s="2"/>
      <c r="J3" s="2"/>
    </row>
    <row r="4" spans="1:12" x14ac:dyDescent="0.25">
      <c r="A4" s="26"/>
      <c r="B4" s="2"/>
      <c r="C4" s="2"/>
      <c r="D4" s="2"/>
      <c r="E4" s="2"/>
      <c r="F4" s="2"/>
      <c r="G4" s="2"/>
      <c r="H4" s="2"/>
      <c r="I4" s="2"/>
      <c r="J4" s="2"/>
    </row>
    <row r="5" spans="1:12" s="3" customFormat="1" ht="50.25" customHeight="1" thickBot="1" x14ac:dyDescent="0.3">
      <c r="A5" s="4" t="s">
        <v>3</v>
      </c>
      <c r="B5" s="4" t="s">
        <v>4</v>
      </c>
      <c r="C5" s="4" t="s">
        <v>5</v>
      </c>
      <c r="D5" s="4" t="s">
        <v>41</v>
      </c>
      <c r="E5" s="25" t="s">
        <v>6</v>
      </c>
      <c r="F5" s="4" t="s">
        <v>7</v>
      </c>
      <c r="G5" s="4" t="s">
        <v>8</v>
      </c>
      <c r="H5" s="24" t="s">
        <v>9</v>
      </c>
      <c r="I5" s="24" t="s">
        <v>10</v>
      </c>
      <c r="J5" s="5" t="s">
        <v>11</v>
      </c>
    </row>
    <row r="6" spans="1:12" ht="15.75" x14ac:dyDescent="0.25">
      <c r="A6" s="7"/>
      <c r="B6" s="8"/>
      <c r="C6" s="9"/>
      <c r="D6" s="9"/>
      <c r="E6" s="8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6" s="15"/>
      <c r="G6" s="15"/>
      <c r="H6" s="15">
        <f>Tableau17[[#This Row],[HT]]+Tableau17[[#This Row],[TVA]]</f>
        <v>0</v>
      </c>
      <c r="I6" s="8" t="str">
        <f>IF(Tableau17[[#This Row],[TTC]]=0,"",IF(Tableau17[[#This Row],[MODE DE REGLEMENT]]="","A réglée","Fac réglée"))</f>
        <v/>
      </c>
      <c r="J6" s="20"/>
    </row>
    <row r="7" spans="1:12" ht="15.75" x14ac:dyDescent="0.25">
      <c r="A7" s="10"/>
      <c r="B7" s="11"/>
      <c r="C7" s="12"/>
      <c r="D7" s="12"/>
      <c r="E7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7" s="16"/>
      <c r="G7" s="16"/>
      <c r="H7" s="16">
        <f>Tableau17[[#This Row],[HT]]+Tableau17[[#This Row],[TVA]]</f>
        <v>0</v>
      </c>
      <c r="I7" s="11" t="str">
        <f>IF(Tableau17[[#This Row],[TTC]]=0,"",IF(Tableau17[[#This Row],[MODE DE REGLEMENT]]="","A réglée","Fac réglée"))</f>
        <v/>
      </c>
      <c r="J7" s="21"/>
    </row>
    <row r="8" spans="1:12" ht="15.75" x14ac:dyDescent="0.25">
      <c r="A8" s="10"/>
      <c r="B8" s="11"/>
      <c r="C8" s="12"/>
      <c r="D8" s="12"/>
      <c r="E8" s="13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8" s="16"/>
      <c r="G8" s="16"/>
      <c r="H8" s="16">
        <f>Tableau17[[#This Row],[HT]]+Tableau17[[#This Row],[TVA]]</f>
        <v>0</v>
      </c>
      <c r="I8" s="11" t="str">
        <f>IF(Tableau17[[#This Row],[TTC]]=0,"",IF(Tableau17[[#This Row],[MODE DE REGLEMENT]]="","A réglée","Fac réglée"))</f>
        <v/>
      </c>
      <c r="J8" s="21"/>
    </row>
    <row r="9" spans="1:12" ht="15.75" x14ac:dyDescent="0.25">
      <c r="A9" s="10"/>
      <c r="B9" s="11"/>
      <c r="C9" s="12"/>
      <c r="D9" s="12"/>
      <c r="E9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9" s="16"/>
      <c r="G9" s="16"/>
      <c r="H9" s="16">
        <f>Tableau17[[#This Row],[HT]]+Tableau17[[#This Row],[TVA]]</f>
        <v>0</v>
      </c>
      <c r="I9" s="11" t="str">
        <f>IF(Tableau17[[#This Row],[TTC]]=0,"",IF(Tableau17[[#This Row],[MODE DE REGLEMENT]]="","A réglée","Fac réglée"))</f>
        <v/>
      </c>
      <c r="J9" s="21"/>
    </row>
    <row r="10" spans="1:12" ht="15.75" x14ac:dyDescent="0.25">
      <c r="A10" s="10"/>
      <c r="B10" s="11"/>
      <c r="C10" s="12"/>
      <c r="D10" s="12"/>
      <c r="E10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10" s="16"/>
      <c r="G10" s="16"/>
      <c r="H10" s="16">
        <f>Tableau17[[#This Row],[HT]]+Tableau17[[#This Row],[TVA]]</f>
        <v>0</v>
      </c>
      <c r="I10" s="11" t="str">
        <f>IF(Tableau17[[#This Row],[TTC]]=0,"",IF(Tableau17[[#This Row],[MODE DE REGLEMENT]]="","A réglée","Fac réglée"))</f>
        <v/>
      </c>
      <c r="J10" s="21"/>
    </row>
    <row r="11" spans="1:12" ht="15.75" x14ac:dyDescent="0.25">
      <c r="A11" s="10"/>
      <c r="B11" s="11"/>
      <c r="C11" s="12"/>
      <c r="D11" s="12"/>
      <c r="E11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11" s="16"/>
      <c r="G11" s="16"/>
      <c r="H11" s="16">
        <f>Tableau17[[#This Row],[HT]]+Tableau17[[#This Row],[TVA]]</f>
        <v>0</v>
      </c>
      <c r="I11" s="11" t="str">
        <f>IF(Tableau17[[#This Row],[TTC]]=0,"",IF(Tableau17[[#This Row],[MODE DE REGLEMENT]]="","A réglée","Fac réglée"))</f>
        <v/>
      </c>
      <c r="J11" s="21"/>
    </row>
    <row r="12" spans="1:12" ht="15.75" x14ac:dyDescent="0.25">
      <c r="A12" s="10"/>
      <c r="B12" s="11"/>
      <c r="C12" s="12"/>
      <c r="D12" s="12"/>
      <c r="E12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12" s="16"/>
      <c r="G12" s="16"/>
      <c r="H12" s="16">
        <f>Tableau17[[#This Row],[HT]]+Tableau17[[#This Row],[TVA]]</f>
        <v>0</v>
      </c>
      <c r="I12" s="11" t="str">
        <f>IF(Tableau17[[#This Row],[TTC]]=0,"",IF(Tableau17[[#This Row],[MODE DE REGLEMENT]]="","A réglée","Fac réglée"))</f>
        <v/>
      </c>
      <c r="J12" s="21"/>
    </row>
    <row r="13" spans="1:12" ht="15.75" x14ac:dyDescent="0.25">
      <c r="A13" s="10"/>
      <c r="B13" s="11"/>
      <c r="C13" s="12"/>
      <c r="D13" s="12"/>
      <c r="E13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13" s="16"/>
      <c r="G13" s="16"/>
      <c r="H13" s="16">
        <f>Tableau17[[#This Row],[HT]]+Tableau17[[#This Row],[TVA]]</f>
        <v>0</v>
      </c>
      <c r="I13" s="11" t="str">
        <f>IF(Tableau17[[#This Row],[TTC]]=0,"",IF(Tableau17[[#This Row],[MODE DE REGLEMENT]]="","A réglée","Fac réglée"))</f>
        <v/>
      </c>
      <c r="J13" s="21"/>
    </row>
    <row r="14" spans="1:12" ht="15.75" x14ac:dyDescent="0.25">
      <c r="A14" s="10"/>
      <c r="B14" s="11"/>
      <c r="C14" s="12"/>
      <c r="D14" s="12"/>
      <c r="E14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14" s="16"/>
      <c r="G14" s="16"/>
      <c r="H14" s="16">
        <f>Tableau17[[#This Row],[HT]]+Tableau17[[#This Row],[TVA]]</f>
        <v>0</v>
      </c>
      <c r="I14" s="11" t="str">
        <f>IF(Tableau17[[#This Row],[TTC]]=0,"",IF(Tableau17[[#This Row],[MODE DE REGLEMENT]]="","A réglée","Fac réglée"))</f>
        <v/>
      </c>
      <c r="J14" s="21"/>
    </row>
    <row r="15" spans="1:12" ht="15.75" x14ac:dyDescent="0.25">
      <c r="A15" s="10"/>
      <c r="B15" s="11"/>
      <c r="C15" s="12"/>
      <c r="D15" s="12"/>
      <c r="E15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15" s="16"/>
      <c r="G15" s="16"/>
      <c r="H15" s="16">
        <f>Tableau17[[#This Row],[HT]]+Tableau17[[#This Row],[TVA]]</f>
        <v>0</v>
      </c>
      <c r="I15" s="11" t="str">
        <f>IF(Tableau17[[#This Row],[TTC]]=0,"",IF(Tableau17[[#This Row],[MODE DE REGLEMENT]]="","A réglée","Fac réglée"))</f>
        <v/>
      </c>
      <c r="J15" s="21"/>
    </row>
    <row r="16" spans="1:12" x14ac:dyDescent="0.25">
      <c r="A16" s="14"/>
      <c r="B16" s="11"/>
      <c r="C16" s="12"/>
      <c r="D16" s="12"/>
      <c r="E16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16" s="16"/>
      <c r="G16" s="16"/>
      <c r="H16" s="16">
        <f>Tableau17[[#This Row],[HT]]+Tableau17[[#This Row],[TVA]]</f>
        <v>0</v>
      </c>
      <c r="I16" s="11" t="str">
        <f>IF(Tableau17[[#This Row],[TTC]]=0,"",IF(Tableau17[[#This Row],[MODE DE REGLEMENT]]="","A réglée","Fac réglée"))</f>
        <v/>
      </c>
      <c r="J16" s="21"/>
    </row>
    <row r="17" spans="1:10" x14ac:dyDescent="0.25">
      <c r="A17" s="14"/>
      <c r="B17" s="11"/>
      <c r="C17" s="11"/>
      <c r="D17" s="11"/>
      <c r="E17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17" s="16"/>
      <c r="G17" s="16"/>
      <c r="H17" s="16">
        <f>Tableau17[[#This Row],[HT]]+Tableau17[[#This Row],[TVA]]</f>
        <v>0</v>
      </c>
      <c r="I17" s="11" t="str">
        <f>IF(Tableau17[[#This Row],[TTC]]=0,"",IF(Tableau17[[#This Row],[MODE DE REGLEMENT]]="","A réglée","Fac réglée"))</f>
        <v/>
      </c>
      <c r="J17" s="21"/>
    </row>
    <row r="18" spans="1:10" x14ac:dyDescent="0.25">
      <c r="A18" s="14"/>
      <c r="B18" s="11"/>
      <c r="C18" s="11"/>
      <c r="D18" s="11"/>
      <c r="E18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18" s="16"/>
      <c r="G18" s="16"/>
      <c r="H18" s="16">
        <f>Tableau17[[#This Row],[HT]]+Tableau17[[#This Row],[TVA]]</f>
        <v>0</v>
      </c>
      <c r="I18" s="11" t="str">
        <f>IF(Tableau17[[#This Row],[TTC]]=0,"",IF(Tableau17[[#This Row],[MODE DE REGLEMENT]]="","A réglée","Fac réglée"))</f>
        <v/>
      </c>
      <c r="J18" s="21"/>
    </row>
    <row r="19" spans="1:10" x14ac:dyDescent="0.25">
      <c r="A19" s="14"/>
      <c r="B19" s="11"/>
      <c r="C19" s="11"/>
      <c r="D19" s="11"/>
      <c r="E19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19" s="16"/>
      <c r="G19" s="16"/>
      <c r="H19" s="16">
        <f>Tableau17[[#This Row],[HT]]+Tableau17[[#This Row],[TVA]]</f>
        <v>0</v>
      </c>
      <c r="I19" s="11" t="str">
        <f>IF(Tableau17[[#This Row],[TTC]]=0,"",IF(Tableau17[[#This Row],[MODE DE REGLEMENT]]="","A réglée","Fac réglée"))</f>
        <v/>
      </c>
      <c r="J19" s="21"/>
    </row>
    <row r="20" spans="1:10" x14ac:dyDescent="0.25">
      <c r="A20" s="14"/>
      <c r="B20" s="11"/>
      <c r="C20" s="11"/>
      <c r="D20" s="11"/>
      <c r="E20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20" s="16"/>
      <c r="G20" s="16"/>
      <c r="H20" s="16">
        <f>Tableau17[[#This Row],[HT]]+Tableau17[[#This Row],[TVA]]</f>
        <v>0</v>
      </c>
      <c r="I20" s="11" t="str">
        <f>IF(Tableau17[[#This Row],[TTC]]=0,"",IF(Tableau17[[#This Row],[MODE DE REGLEMENT]]="","A réglée","Fac réglée"))</f>
        <v/>
      </c>
      <c r="J20" s="21"/>
    </row>
    <row r="21" spans="1:10" x14ac:dyDescent="0.25">
      <c r="A21" s="14"/>
      <c r="B21" s="11"/>
      <c r="C21" s="11"/>
      <c r="D21" s="11"/>
      <c r="E21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21" s="16"/>
      <c r="G21" s="16"/>
      <c r="H21" s="16">
        <f>Tableau17[[#This Row],[HT]]+Tableau17[[#This Row],[TVA]]</f>
        <v>0</v>
      </c>
      <c r="I21" s="11" t="str">
        <f>IF(Tableau17[[#This Row],[TTC]]=0,"",IF(Tableau17[[#This Row],[MODE DE REGLEMENT]]="","A réglée","Fac réglée"))</f>
        <v/>
      </c>
      <c r="J21" s="21"/>
    </row>
    <row r="22" spans="1:10" x14ac:dyDescent="0.25">
      <c r="A22" s="14"/>
      <c r="B22" s="11"/>
      <c r="C22" s="11"/>
      <c r="D22" s="11"/>
      <c r="E22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22" s="16"/>
      <c r="G22" s="16"/>
      <c r="H22" s="16">
        <f>Tableau17[[#This Row],[HT]]+Tableau17[[#This Row],[TVA]]</f>
        <v>0</v>
      </c>
      <c r="I22" s="11" t="str">
        <f>IF(Tableau17[[#This Row],[TTC]]=0,"",IF(Tableau17[[#This Row],[MODE DE REGLEMENT]]="","A réglée","Fac réglée"))</f>
        <v/>
      </c>
      <c r="J22" s="21"/>
    </row>
    <row r="23" spans="1:10" x14ac:dyDescent="0.25">
      <c r="A23" s="14"/>
      <c r="B23" s="11"/>
      <c r="C23" s="11"/>
      <c r="D23" s="11"/>
      <c r="E23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23" s="16"/>
      <c r="G23" s="16"/>
      <c r="H23" s="16">
        <f>Tableau17[[#This Row],[HT]]+Tableau17[[#This Row],[TVA]]</f>
        <v>0</v>
      </c>
      <c r="I23" s="11" t="str">
        <f>IF(Tableau17[[#This Row],[TTC]]=0,"",IF(Tableau17[[#This Row],[MODE DE REGLEMENT]]="","A réglée","Fac réglée"))</f>
        <v/>
      </c>
      <c r="J23" s="21"/>
    </row>
    <row r="24" spans="1:10" x14ac:dyDescent="0.25">
      <c r="A24" s="14"/>
      <c r="B24" s="11"/>
      <c r="C24" s="11"/>
      <c r="D24" s="11"/>
      <c r="E24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24" s="16"/>
      <c r="G24" s="16"/>
      <c r="H24" s="16">
        <f>Tableau17[[#This Row],[HT]]+Tableau17[[#This Row],[TVA]]</f>
        <v>0</v>
      </c>
      <c r="I24" s="11" t="str">
        <f>IF(Tableau17[[#This Row],[TTC]]=0,"",IF(Tableau17[[#This Row],[MODE DE REGLEMENT]]="","A réglée","Fac réglée"))</f>
        <v/>
      </c>
      <c r="J24" s="21"/>
    </row>
    <row r="25" spans="1:10" x14ac:dyDescent="0.25">
      <c r="A25" s="14"/>
      <c r="B25" s="11"/>
      <c r="C25" s="11"/>
      <c r="D25" s="11"/>
      <c r="E25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25" s="16"/>
      <c r="G25" s="16"/>
      <c r="H25" s="16">
        <f>Tableau17[[#This Row],[HT]]+Tableau17[[#This Row],[TVA]]</f>
        <v>0</v>
      </c>
      <c r="I25" s="11" t="str">
        <f>IF(Tableau17[[#This Row],[TTC]]=0,"",IF(Tableau17[[#This Row],[MODE DE REGLEMENT]]="","A réglée","Fac réglée"))</f>
        <v/>
      </c>
      <c r="J25" s="21"/>
    </row>
    <row r="26" spans="1:10" x14ac:dyDescent="0.25">
      <c r="A26" s="14"/>
      <c r="B26" s="11"/>
      <c r="C26" s="11"/>
      <c r="D26" s="11"/>
      <c r="E26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26" s="16"/>
      <c r="G26" s="16"/>
      <c r="H26" s="16">
        <f>Tableau17[[#This Row],[HT]]+Tableau17[[#This Row],[TVA]]</f>
        <v>0</v>
      </c>
      <c r="I26" s="11" t="str">
        <f>IF(Tableau17[[#This Row],[TTC]]=0,"",IF(Tableau17[[#This Row],[MODE DE REGLEMENT]]="","A réglée","Fac réglée"))</f>
        <v/>
      </c>
      <c r="J26" s="21"/>
    </row>
    <row r="27" spans="1:10" x14ac:dyDescent="0.25">
      <c r="A27" s="14"/>
      <c r="B27" s="11"/>
      <c r="C27" s="11"/>
      <c r="D27" s="11"/>
      <c r="E27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27" s="16"/>
      <c r="G27" s="16"/>
      <c r="H27" s="16">
        <f>Tableau17[[#This Row],[HT]]+Tableau17[[#This Row],[TVA]]</f>
        <v>0</v>
      </c>
      <c r="I27" s="11" t="str">
        <f>IF(Tableau17[[#This Row],[TTC]]=0,"",IF(Tableau17[[#This Row],[MODE DE REGLEMENT]]="","A réglée","Fac réglée"))</f>
        <v/>
      </c>
      <c r="J27" s="21"/>
    </row>
    <row r="28" spans="1:10" x14ac:dyDescent="0.25">
      <c r="A28" s="14"/>
      <c r="B28" s="11"/>
      <c r="C28" s="11"/>
      <c r="D28" s="11"/>
      <c r="E28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28" s="16"/>
      <c r="G28" s="16"/>
      <c r="H28" s="16">
        <f>Tableau17[[#This Row],[HT]]+Tableau17[[#This Row],[TVA]]</f>
        <v>0</v>
      </c>
      <c r="I28" s="11" t="str">
        <f>IF(Tableau17[[#This Row],[TTC]]=0,"",IF(Tableau17[[#This Row],[MODE DE REGLEMENT]]="","A réglée","Fac réglée"))</f>
        <v/>
      </c>
      <c r="J28" s="21"/>
    </row>
    <row r="29" spans="1:10" x14ac:dyDescent="0.25">
      <c r="A29" s="14"/>
      <c r="B29" s="11"/>
      <c r="C29" s="11"/>
      <c r="D29" s="11"/>
      <c r="E29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29" s="16"/>
      <c r="G29" s="16"/>
      <c r="H29" s="16">
        <f>Tableau17[[#This Row],[HT]]+Tableau17[[#This Row],[TVA]]</f>
        <v>0</v>
      </c>
      <c r="I29" s="11" t="str">
        <f>IF(Tableau17[[#This Row],[TTC]]=0,"",IF(Tableau17[[#This Row],[MODE DE REGLEMENT]]="","A réglée","Fac réglée"))</f>
        <v/>
      </c>
      <c r="J29" s="21"/>
    </row>
    <row r="30" spans="1:10" x14ac:dyDescent="0.25">
      <c r="A30" s="14"/>
      <c r="B30" s="11"/>
      <c r="C30" s="11"/>
      <c r="D30" s="11"/>
      <c r="E30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30" s="16"/>
      <c r="G30" s="16"/>
      <c r="H30" s="16">
        <f>Tableau17[[#This Row],[HT]]+Tableau17[[#This Row],[TVA]]</f>
        <v>0</v>
      </c>
      <c r="I30" s="11" t="str">
        <f>IF(Tableau17[[#This Row],[TTC]]=0,"",IF(Tableau17[[#This Row],[MODE DE REGLEMENT]]="","A réglée","Fac réglée"))</f>
        <v/>
      </c>
      <c r="J30" s="21"/>
    </row>
    <row r="31" spans="1:10" x14ac:dyDescent="0.25">
      <c r="A31" s="14"/>
      <c r="B31" s="11"/>
      <c r="C31" s="11"/>
      <c r="D31" s="11"/>
      <c r="E31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31" s="16"/>
      <c r="G31" s="16"/>
      <c r="H31" s="16">
        <f>Tableau17[[#This Row],[HT]]+Tableau17[[#This Row],[TVA]]</f>
        <v>0</v>
      </c>
      <c r="I31" s="11" t="str">
        <f>IF(Tableau17[[#This Row],[TTC]]=0,"",IF(Tableau17[[#This Row],[MODE DE REGLEMENT]]="","A réglée","Fac réglée"))</f>
        <v/>
      </c>
      <c r="J31" s="21"/>
    </row>
    <row r="32" spans="1:10" x14ac:dyDescent="0.25">
      <c r="A32" s="14"/>
      <c r="B32" s="11"/>
      <c r="C32" s="11"/>
      <c r="D32" s="11"/>
      <c r="E32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32" s="16"/>
      <c r="G32" s="16"/>
      <c r="H32" s="16">
        <f>Tableau17[[#This Row],[HT]]+Tableau17[[#This Row],[TVA]]</f>
        <v>0</v>
      </c>
      <c r="I32" s="11" t="str">
        <f>IF(Tableau17[[#This Row],[TTC]]=0,"",IF(Tableau17[[#This Row],[MODE DE REGLEMENT]]="","A réglée","Fac réglée"))</f>
        <v/>
      </c>
      <c r="J32" s="21"/>
    </row>
    <row r="33" spans="1:10" x14ac:dyDescent="0.25">
      <c r="A33" s="14"/>
      <c r="B33" s="11"/>
      <c r="C33" s="11"/>
      <c r="D33" s="11"/>
      <c r="E33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33" s="16"/>
      <c r="G33" s="16"/>
      <c r="H33" s="16">
        <f>Tableau17[[#This Row],[HT]]+Tableau17[[#This Row],[TVA]]</f>
        <v>0</v>
      </c>
      <c r="I33" s="11" t="str">
        <f>IF(Tableau17[[#This Row],[TTC]]=0,"",IF(Tableau17[[#This Row],[MODE DE REGLEMENT]]="","A réglée","Fac réglée"))</f>
        <v/>
      </c>
      <c r="J33" s="21"/>
    </row>
    <row r="34" spans="1:10" x14ac:dyDescent="0.25">
      <c r="A34" s="14"/>
      <c r="B34" s="11"/>
      <c r="C34" s="11"/>
      <c r="D34" s="11"/>
      <c r="E34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34" s="16"/>
      <c r="G34" s="16"/>
      <c r="H34" s="16">
        <f>Tableau17[[#This Row],[HT]]+Tableau17[[#This Row],[TVA]]</f>
        <v>0</v>
      </c>
      <c r="I34" s="11" t="str">
        <f>IF(Tableau17[[#This Row],[TTC]]=0,"",IF(Tableau17[[#This Row],[MODE DE REGLEMENT]]="","A réglée","Fac réglée"))</f>
        <v/>
      </c>
      <c r="J34" s="21"/>
    </row>
    <row r="35" spans="1:10" x14ac:dyDescent="0.25">
      <c r="A35" s="14"/>
      <c r="B35" s="11"/>
      <c r="C35" s="11"/>
      <c r="D35" s="11"/>
      <c r="E35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35" s="16"/>
      <c r="G35" s="16"/>
      <c r="H35" s="16">
        <f>Tableau17[[#This Row],[HT]]+Tableau17[[#This Row],[TVA]]</f>
        <v>0</v>
      </c>
      <c r="I35" s="11" t="str">
        <f>IF(Tableau17[[#This Row],[TTC]]=0,"",IF(Tableau17[[#This Row],[MODE DE REGLEMENT]]="","A réglée","Fac réglée"))</f>
        <v/>
      </c>
      <c r="J35" s="21"/>
    </row>
    <row r="36" spans="1:10" x14ac:dyDescent="0.25">
      <c r="A36" s="14"/>
      <c r="B36" s="11"/>
      <c r="C36" s="11"/>
      <c r="D36" s="11"/>
      <c r="E36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36" s="16"/>
      <c r="G36" s="16"/>
      <c r="H36" s="16">
        <f>Tableau17[[#This Row],[HT]]+Tableau17[[#This Row],[TVA]]</f>
        <v>0</v>
      </c>
      <c r="I36" s="11" t="str">
        <f>IF(Tableau17[[#This Row],[TTC]]=0,"",IF(Tableau17[[#This Row],[MODE DE REGLEMENT]]="","A réglée","Fac réglée"))</f>
        <v/>
      </c>
      <c r="J36" s="21"/>
    </row>
    <row r="37" spans="1:10" x14ac:dyDescent="0.25">
      <c r="A37" s="14"/>
      <c r="B37" s="11"/>
      <c r="C37" s="11"/>
      <c r="D37" s="11"/>
      <c r="E37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37" s="16"/>
      <c r="G37" s="16"/>
      <c r="H37" s="16">
        <f>Tableau17[[#This Row],[HT]]+Tableau17[[#This Row],[TVA]]</f>
        <v>0</v>
      </c>
      <c r="I37" s="11" t="str">
        <f>IF(Tableau17[[#This Row],[TTC]]=0,"",IF(Tableau17[[#This Row],[MODE DE REGLEMENT]]="","A réglée","Fac réglée"))</f>
        <v/>
      </c>
      <c r="J37" s="21"/>
    </row>
    <row r="38" spans="1:10" x14ac:dyDescent="0.25">
      <c r="A38" s="14"/>
      <c r="B38" s="11"/>
      <c r="C38" s="11"/>
      <c r="D38" s="11"/>
      <c r="E38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38" s="16"/>
      <c r="G38" s="16"/>
      <c r="H38" s="16">
        <f>Tableau17[[#This Row],[HT]]+Tableau17[[#This Row],[TVA]]</f>
        <v>0</v>
      </c>
      <c r="I38" s="11" t="str">
        <f>IF(Tableau17[[#This Row],[TTC]]=0,"",IF(Tableau17[[#This Row],[MODE DE REGLEMENT]]="","A réglée","Fac réglée"))</f>
        <v/>
      </c>
      <c r="J38" s="21"/>
    </row>
    <row r="39" spans="1:10" x14ac:dyDescent="0.25">
      <c r="A39" s="14"/>
      <c r="B39" s="11"/>
      <c r="C39" s="11"/>
      <c r="D39" s="11"/>
      <c r="E39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39" s="16"/>
      <c r="G39" s="16"/>
      <c r="H39" s="16">
        <f>Tableau17[[#This Row],[HT]]+Tableau17[[#This Row],[TVA]]</f>
        <v>0</v>
      </c>
      <c r="I39" s="11" t="str">
        <f>IF(Tableau17[[#This Row],[TTC]]=0,"",IF(Tableau17[[#This Row],[MODE DE REGLEMENT]]="","A réglée","Fac réglée"))</f>
        <v/>
      </c>
      <c r="J39" s="21"/>
    </row>
    <row r="40" spans="1:10" x14ac:dyDescent="0.25">
      <c r="A40" s="14"/>
      <c r="B40" s="11"/>
      <c r="C40" s="11"/>
      <c r="D40" s="11"/>
      <c r="E40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40" s="16"/>
      <c r="G40" s="16"/>
      <c r="H40" s="16">
        <f>Tableau17[[#This Row],[HT]]+Tableau17[[#This Row],[TVA]]</f>
        <v>0</v>
      </c>
      <c r="I40" s="11" t="str">
        <f>IF(Tableau17[[#This Row],[TTC]]=0,"",IF(Tableau17[[#This Row],[MODE DE REGLEMENT]]="","A réglée","Fac réglée"))</f>
        <v/>
      </c>
      <c r="J40" s="21"/>
    </row>
    <row r="41" spans="1:10" x14ac:dyDescent="0.25">
      <c r="A41" s="14"/>
      <c r="B41" s="11"/>
      <c r="C41" s="11"/>
      <c r="D41" s="11"/>
      <c r="E41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41" s="16"/>
      <c r="G41" s="16"/>
      <c r="H41" s="16">
        <f>Tableau17[[#This Row],[HT]]+Tableau17[[#This Row],[TVA]]</f>
        <v>0</v>
      </c>
      <c r="I41" s="11" t="str">
        <f>IF(Tableau17[[#This Row],[TTC]]=0,"",IF(Tableau17[[#This Row],[MODE DE REGLEMENT]]="","A réglée","Fac réglée"))</f>
        <v/>
      </c>
      <c r="J41" s="21"/>
    </row>
    <row r="42" spans="1:10" x14ac:dyDescent="0.25">
      <c r="A42" s="14"/>
      <c r="B42" s="11"/>
      <c r="C42" s="11"/>
      <c r="D42" s="11"/>
      <c r="E42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42" s="16"/>
      <c r="G42" s="16"/>
      <c r="H42" s="16">
        <f>Tableau17[[#This Row],[HT]]+Tableau17[[#This Row],[TVA]]</f>
        <v>0</v>
      </c>
      <c r="I42" s="11" t="str">
        <f>IF(Tableau17[[#This Row],[TTC]]=0,"",IF(Tableau17[[#This Row],[MODE DE REGLEMENT]]="","A réglée","Fac réglée"))</f>
        <v/>
      </c>
      <c r="J42" s="21"/>
    </row>
    <row r="43" spans="1:10" x14ac:dyDescent="0.25">
      <c r="A43" s="14"/>
      <c r="B43" s="11"/>
      <c r="C43" s="11"/>
      <c r="D43" s="11"/>
      <c r="E43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43" s="16"/>
      <c r="G43" s="16"/>
      <c r="H43" s="16">
        <f>Tableau17[[#This Row],[HT]]+Tableau17[[#This Row],[TVA]]</f>
        <v>0</v>
      </c>
      <c r="I43" s="11" t="str">
        <f>IF(Tableau17[[#This Row],[TTC]]=0,"",IF(Tableau17[[#This Row],[MODE DE REGLEMENT]]="","A réglée","Fac réglée"))</f>
        <v/>
      </c>
      <c r="J43" s="21"/>
    </row>
    <row r="44" spans="1:10" x14ac:dyDescent="0.25">
      <c r="A44" s="14"/>
      <c r="B44" s="11"/>
      <c r="C44" s="11"/>
      <c r="D44" s="11"/>
      <c r="E44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44" s="16"/>
      <c r="G44" s="16"/>
      <c r="H44" s="16">
        <f>Tableau17[[#This Row],[HT]]+Tableau17[[#This Row],[TVA]]</f>
        <v>0</v>
      </c>
      <c r="I44" s="11" t="str">
        <f>IF(Tableau17[[#This Row],[TTC]]=0,"",IF(Tableau17[[#This Row],[MODE DE REGLEMENT]]="","A réglée","Fac réglée"))</f>
        <v/>
      </c>
      <c r="J44" s="21"/>
    </row>
    <row r="45" spans="1:10" x14ac:dyDescent="0.25">
      <c r="A45" s="14"/>
      <c r="B45" s="11"/>
      <c r="C45" s="11"/>
      <c r="D45" s="11"/>
      <c r="E45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45" s="16"/>
      <c r="G45" s="16"/>
      <c r="H45" s="16">
        <f>Tableau17[[#This Row],[HT]]+Tableau17[[#This Row],[TVA]]</f>
        <v>0</v>
      </c>
      <c r="I45" s="11" t="str">
        <f>IF(Tableau17[[#This Row],[TTC]]=0,"",IF(Tableau17[[#This Row],[MODE DE REGLEMENT]]="","A réglée","Fac réglée"))</f>
        <v/>
      </c>
      <c r="J45" s="21"/>
    </row>
    <row r="46" spans="1:10" x14ac:dyDescent="0.25">
      <c r="A46" s="14"/>
      <c r="B46" s="11"/>
      <c r="C46" s="11"/>
      <c r="D46" s="11"/>
      <c r="E46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46" s="16"/>
      <c r="G46" s="16"/>
      <c r="H46" s="16">
        <f>Tableau17[[#This Row],[HT]]+Tableau17[[#This Row],[TVA]]</f>
        <v>0</v>
      </c>
      <c r="I46" s="11" t="str">
        <f>IF(Tableau17[[#This Row],[TTC]]=0,"",IF(Tableau17[[#This Row],[MODE DE REGLEMENT]]="","A réglée","Fac réglée"))</f>
        <v/>
      </c>
      <c r="J46" s="21"/>
    </row>
    <row r="47" spans="1:10" x14ac:dyDescent="0.25">
      <c r="A47" s="14"/>
      <c r="B47" s="11"/>
      <c r="C47" s="11"/>
      <c r="D47" s="11"/>
      <c r="E47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47" s="16"/>
      <c r="G47" s="16"/>
      <c r="H47" s="16">
        <f>Tableau17[[#This Row],[HT]]+Tableau17[[#This Row],[TVA]]</f>
        <v>0</v>
      </c>
      <c r="I47" s="11" t="str">
        <f>IF(Tableau17[[#This Row],[TTC]]=0,"",IF(Tableau17[[#This Row],[MODE DE REGLEMENT]]="","A réglée","Fac réglée"))</f>
        <v/>
      </c>
      <c r="J47" s="21"/>
    </row>
    <row r="48" spans="1:10" x14ac:dyDescent="0.25">
      <c r="A48" s="14"/>
      <c r="B48" s="11"/>
      <c r="C48" s="11"/>
      <c r="D48" s="11"/>
      <c r="E48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48" s="16"/>
      <c r="G48" s="16"/>
      <c r="H48" s="16">
        <f>Tableau17[[#This Row],[HT]]+Tableau17[[#This Row],[TVA]]</f>
        <v>0</v>
      </c>
      <c r="I48" s="11" t="str">
        <f>IF(Tableau17[[#This Row],[TTC]]=0,"",IF(Tableau17[[#This Row],[MODE DE REGLEMENT]]="","A réglée","Fac réglée"))</f>
        <v/>
      </c>
      <c r="J48" s="21"/>
    </row>
    <row r="49" spans="1:10" x14ac:dyDescent="0.25">
      <c r="A49" s="14"/>
      <c r="B49" s="11"/>
      <c r="C49" s="11"/>
      <c r="D49" s="11"/>
      <c r="E49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49" s="16"/>
      <c r="G49" s="16"/>
      <c r="H49" s="16">
        <f>Tableau17[[#This Row],[HT]]+Tableau17[[#This Row],[TVA]]</f>
        <v>0</v>
      </c>
      <c r="I49" s="11" t="str">
        <f>IF(Tableau17[[#This Row],[TTC]]=0,"",IF(Tableau17[[#This Row],[MODE DE REGLEMENT]]="","A réglée","Fac réglée"))</f>
        <v/>
      </c>
      <c r="J49" s="21"/>
    </row>
    <row r="50" spans="1:10" x14ac:dyDescent="0.25">
      <c r="A50" s="14"/>
      <c r="B50" s="11"/>
      <c r="C50" s="11"/>
      <c r="D50" s="11"/>
      <c r="E50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50" s="16"/>
      <c r="G50" s="16"/>
      <c r="H50" s="16">
        <f>Tableau17[[#This Row],[HT]]+Tableau17[[#This Row],[TVA]]</f>
        <v>0</v>
      </c>
      <c r="I50" s="11" t="str">
        <f>IF(Tableau17[[#This Row],[TTC]]=0,"",IF(Tableau17[[#This Row],[MODE DE REGLEMENT]]="","A réglée","Fac réglée"))</f>
        <v/>
      </c>
      <c r="J50" s="21"/>
    </row>
    <row r="51" spans="1:10" x14ac:dyDescent="0.25">
      <c r="A51" s="14"/>
      <c r="B51" s="11"/>
      <c r="C51" s="11"/>
      <c r="D51" s="11"/>
      <c r="E51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51" s="16"/>
      <c r="G51" s="16"/>
      <c r="H51" s="16">
        <f>Tableau17[[#This Row],[HT]]+Tableau17[[#This Row],[TVA]]</f>
        <v>0</v>
      </c>
      <c r="I51" s="11" t="str">
        <f>IF(Tableau17[[#This Row],[TTC]]=0,"",IF(Tableau17[[#This Row],[MODE DE REGLEMENT]]="","A réglée","Fac réglée"))</f>
        <v/>
      </c>
      <c r="J51" s="21"/>
    </row>
    <row r="52" spans="1:10" x14ac:dyDescent="0.25">
      <c r="A52" s="14"/>
      <c r="B52" s="11"/>
      <c r="C52" s="11"/>
      <c r="D52" s="11"/>
      <c r="E52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52" s="16"/>
      <c r="G52" s="16"/>
      <c r="H52" s="16">
        <f>Tableau17[[#This Row],[HT]]+Tableau17[[#This Row],[TVA]]</f>
        <v>0</v>
      </c>
      <c r="I52" s="11" t="str">
        <f>IF(Tableau17[[#This Row],[TTC]]=0,"",IF(Tableau17[[#This Row],[MODE DE REGLEMENT]]="","A réglée","Fac réglée"))</f>
        <v/>
      </c>
      <c r="J52" s="21"/>
    </row>
    <row r="53" spans="1:10" x14ac:dyDescent="0.25">
      <c r="A53" s="14"/>
      <c r="B53" s="11"/>
      <c r="C53" s="11"/>
      <c r="D53" s="11"/>
      <c r="E53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53" s="16"/>
      <c r="G53" s="16"/>
      <c r="H53" s="16">
        <f>Tableau17[[#This Row],[HT]]+Tableau17[[#This Row],[TVA]]</f>
        <v>0</v>
      </c>
      <c r="I53" s="11" t="str">
        <f>IF(Tableau17[[#This Row],[TTC]]=0,"",IF(Tableau17[[#This Row],[MODE DE REGLEMENT]]="","A réglée","Fac réglée"))</f>
        <v/>
      </c>
      <c r="J53" s="21"/>
    </row>
    <row r="54" spans="1:10" x14ac:dyDescent="0.25">
      <c r="A54" s="14"/>
      <c r="B54" s="11"/>
      <c r="C54" s="11"/>
      <c r="D54" s="11"/>
      <c r="E54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54" s="16"/>
      <c r="G54" s="16"/>
      <c r="H54" s="16">
        <f>Tableau17[[#This Row],[HT]]+Tableau17[[#This Row],[TVA]]</f>
        <v>0</v>
      </c>
      <c r="I54" s="11" t="str">
        <f>IF(Tableau17[[#This Row],[TTC]]=0,"",IF(Tableau17[[#This Row],[MODE DE REGLEMENT]]="","A réglée","Fac réglée"))</f>
        <v/>
      </c>
      <c r="J54" s="21"/>
    </row>
    <row r="55" spans="1:10" x14ac:dyDescent="0.25">
      <c r="A55" s="14"/>
      <c r="B55" s="11"/>
      <c r="C55" s="11"/>
      <c r="D55" s="11"/>
      <c r="E55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55" s="16"/>
      <c r="G55" s="16"/>
      <c r="H55" s="16">
        <f>Tableau17[[#This Row],[HT]]+Tableau17[[#This Row],[TVA]]</f>
        <v>0</v>
      </c>
      <c r="I55" s="11" t="str">
        <f>IF(Tableau17[[#This Row],[TTC]]=0,"",IF(Tableau17[[#This Row],[MODE DE REGLEMENT]]="","A réglée","Fac réglée"))</f>
        <v/>
      </c>
      <c r="J55" s="21"/>
    </row>
    <row r="56" spans="1:10" x14ac:dyDescent="0.25">
      <c r="A56" s="14"/>
      <c r="B56" s="11"/>
      <c r="C56" s="11"/>
      <c r="D56" s="11"/>
      <c r="E56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56" s="16"/>
      <c r="G56" s="16"/>
      <c r="H56" s="16">
        <f>Tableau17[[#This Row],[HT]]+Tableau17[[#This Row],[TVA]]</f>
        <v>0</v>
      </c>
      <c r="I56" s="11" t="str">
        <f>IF(Tableau17[[#This Row],[TTC]]=0,"",IF(Tableau17[[#This Row],[MODE DE REGLEMENT]]="","A réglée","Fac réglée"))</f>
        <v/>
      </c>
      <c r="J56" s="21"/>
    </row>
    <row r="57" spans="1:10" x14ac:dyDescent="0.25">
      <c r="A57" s="14"/>
      <c r="B57" s="11"/>
      <c r="C57" s="11"/>
      <c r="D57" s="11"/>
      <c r="E57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57" s="16"/>
      <c r="G57" s="16"/>
      <c r="H57" s="16">
        <f>Tableau17[[#This Row],[HT]]+Tableau17[[#This Row],[TVA]]</f>
        <v>0</v>
      </c>
      <c r="I57" s="11" t="str">
        <f>IF(Tableau17[[#This Row],[TTC]]=0,"",IF(Tableau17[[#This Row],[MODE DE REGLEMENT]]="","A réglée","Fac réglée"))</f>
        <v/>
      </c>
      <c r="J57" s="21"/>
    </row>
    <row r="58" spans="1:10" x14ac:dyDescent="0.25">
      <c r="A58" s="14"/>
      <c r="B58" s="11"/>
      <c r="C58" s="11"/>
      <c r="D58" s="11"/>
      <c r="E58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58" s="16"/>
      <c r="G58" s="16"/>
      <c r="H58" s="16">
        <f>Tableau17[[#This Row],[HT]]+Tableau17[[#This Row],[TVA]]</f>
        <v>0</v>
      </c>
      <c r="I58" s="11" t="str">
        <f>IF(Tableau17[[#This Row],[TTC]]=0,"",IF(Tableau17[[#This Row],[MODE DE REGLEMENT]]="","A réglée","Fac réglée"))</f>
        <v/>
      </c>
      <c r="J58" s="21"/>
    </row>
    <row r="59" spans="1:10" x14ac:dyDescent="0.25">
      <c r="A59" s="14"/>
      <c r="B59" s="11"/>
      <c r="C59" s="11"/>
      <c r="D59" s="11"/>
      <c r="E59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59" s="16"/>
      <c r="G59" s="16"/>
      <c r="H59" s="16">
        <f>Tableau17[[#This Row],[HT]]+Tableau17[[#This Row],[TVA]]</f>
        <v>0</v>
      </c>
      <c r="I59" s="11" t="str">
        <f>IF(Tableau17[[#This Row],[TTC]]=0,"",IF(Tableau17[[#This Row],[MODE DE REGLEMENT]]="","A réglée","Fac réglée"))</f>
        <v/>
      </c>
      <c r="J59" s="21"/>
    </row>
    <row r="60" spans="1:10" x14ac:dyDescent="0.25">
      <c r="A60" s="14"/>
      <c r="B60" s="11"/>
      <c r="C60" s="11"/>
      <c r="D60" s="11"/>
      <c r="E60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60" s="16"/>
      <c r="G60" s="16"/>
      <c r="H60" s="16">
        <f>Tableau17[[#This Row],[HT]]+Tableau17[[#This Row],[TVA]]</f>
        <v>0</v>
      </c>
      <c r="I60" s="11" t="str">
        <f>IF(Tableau17[[#This Row],[TTC]]=0,"",IF(Tableau17[[#This Row],[MODE DE REGLEMENT]]="","A réglée","Fac réglée"))</f>
        <v/>
      </c>
      <c r="J60" s="21"/>
    </row>
    <row r="61" spans="1:10" x14ac:dyDescent="0.25">
      <c r="A61" s="14"/>
      <c r="B61" s="11"/>
      <c r="C61" s="11"/>
      <c r="D61" s="11"/>
      <c r="E61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61" s="16"/>
      <c r="G61" s="16"/>
      <c r="H61" s="16">
        <f>Tableau17[[#This Row],[HT]]+Tableau17[[#This Row],[TVA]]</f>
        <v>0</v>
      </c>
      <c r="I61" s="11" t="str">
        <f>IF(Tableau17[[#This Row],[TTC]]=0,"",IF(Tableau17[[#This Row],[MODE DE REGLEMENT]]="","A réglée","Fac réglée"))</f>
        <v/>
      </c>
      <c r="J61" s="21"/>
    </row>
    <row r="62" spans="1:10" x14ac:dyDescent="0.25">
      <c r="A62" s="14"/>
      <c r="B62" s="11"/>
      <c r="C62" s="11"/>
      <c r="D62" s="11"/>
      <c r="E62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62" s="16"/>
      <c r="G62" s="16"/>
      <c r="H62" s="16">
        <f>Tableau17[[#This Row],[HT]]+Tableau17[[#This Row],[TVA]]</f>
        <v>0</v>
      </c>
      <c r="I62" s="11" t="str">
        <f>IF(Tableau17[[#This Row],[TTC]]=0,"",IF(Tableau17[[#This Row],[MODE DE REGLEMENT]]="","A réglée","Fac réglée"))</f>
        <v/>
      </c>
      <c r="J62" s="21"/>
    </row>
    <row r="63" spans="1:10" x14ac:dyDescent="0.25">
      <c r="A63" s="14"/>
      <c r="B63" s="11"/>
      <c r="C63" s="11"/>
      <c r="D63" s="11"/>
      <c r="E63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63" s="16"/>
      <c r="G63" s="16"/>
      <c r="H63" s="16">
        <f>Tableau17[[#This Row],[HT]]+Tableau17[[#This Row],[TVA]]</f>
        <v>0</v>
      </c>
      <c r="I63" s="11" t="str">
        <f>IF(Tableau17[[#This Row],[TTC]]=0,"",IF(Tableau17[[#This Row],[MODE DE REGLEMENT]]="","A réglée","Fac réglée"))</f>
        <v/>
      </c>
      <c r="J63" s="21"/>
    </row>
    <row r="64" spans="1:10" x14ac:dyDescent="0.25">
      <c r="A64" s="14"/>
      <c r="B64" s="11"/>
      <c r="C64" s="11"/>
      <c r="D64" s="11"/>
      <c r="E64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64" s="16"/>
      <c r="G64" s="16"/>
      <c r="H64" s="16">
        <f>Tableau17[[#This Row],[HT]]+Tableau17[[#This Row],[TVA]]</f>
        <v>0</v>
      </c>
      <c r="I64" s="11" t="str">
        <f>IF(Tableau17[[#This Row],[TTC]]=0,"",IF(Tableau17[[#This Row],[MODE DE REGLEMENT]]="","A réglée","Fac réglée"))</f>
        <v/>
      </c>
      <c r="J64" s="21"/>
    </row>
    <row r="65" spans="1:10" x14ac:dyDescent="0.25">
      <c r="A65" s="14"/>
      <c r="B65" s="11"/>
      <c r="C65" s="11"/>
      <c r="D65" s="11"/>
      <c r="E65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65" s="16"/>
      <c r="G65" s="16"/>
      <c r="H65" s="16">
        <f>Tableau17[[#This Row],[HT]]+Tableau17[[#This Row],[TVA]]</f>
        <v>0</v>
      </c>
      <c r="I65" s="11" t="str">
        <f>IF(Tableau17[[#This Row],[TTC]]=0,"",IF(Tableau17[[#This Row],[MODE DE REGLEMENT]]="","A réglée","Fac réglée"))</f>
        <v/>
      </c>
      <c r="J65" s="21"/>
    </row>
    <row r="66" spans="1:10" x14ac:dyDescent="0.25">
      <c r="A66" s="14"/>
      <c r="B66" s="11"/>
      <c r="C66" s="11"/>
      <c r="D66" s="11"/>
      <c r="E66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66" s="16"/>
      <c r="G66" s="16"/>
      <c r="H66" s="16">
        <f>Tableau17[[#This Row],[HT]]+Tableau17[[#This Row],[TVA]]</f>
        <v>0</v>
      </c>
      <c r="I66" s="11" t="str">
        <f>IF(Tableau17[[#This Row],[TTC]]=0,"",IF(Tableau17[[#This Row],[MODE DE REGLEMENT]]="","A réglée","Fac réglée"))</f>
        <v/>
      </c>
      <c r="J66" s="21"/>
    </row>
    <row r="67" spans="1:10" x14ac:dyDescent="0.25">
      <c r="A67" s="14"/>
      <c r="B67" s="11"/>
      <c r="C67" s="11"/>
      <c r="D67" s="11"/>
      <c r="E67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67" s="16"/>
      <c r="G67" s="16"/>
      <c r="H67" s="16">
        <f>Tableau17[[#This Row],[HT]]+Tableau17[[#This Row],[TVA]]</f>
        <v>0</v>
      </c>
      <c r="I67" s="11" t="str">
        <f>IF(Tableau17[[#This Row],[TTC]]=0,"",IF(Tableau17[[#This Row],[MODE DE REGLEMENT]]="","A réglée","Fac réglée"))</f>
        <v/>
      </c>
      <c r="J67" s="21"/>
    </row>
    <row r="68" spans="1:10" x14ac:dyDescent="0.25">
      <c r="A68" s="14"/>
      <c r="B68" s="11"/>
      <c r="C68" s="11"/>
      <c r="D68" s="11"/>
      <c r="E68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68" s="16"/>
      <c r="G68" s="16"/>
      <c r="H68" s="16">
        <f>Tableau17[[#This Row],[HT]]+Tableau17[[#This Row],[TVA]]</f>
        <v>0</v>
      </c>
      <c r="I68" s="11" t="str">
        <f>IF(Tableau17[[#This Row],[TTC]]=0,"",IF(Tableau17[[#This Row],[MODE DE REGLEMENT]]="","A réglée","Fac réglée"))</f>
        <v/>
      </c>
      <c r="J68" s="21"/>
    </row>
    <row r="69" spans="1:10" x14ac:dyDescent="0.25">
      <c r="A69" s="14"/>
      <c r="B69" s="11"/>
      <c r="C69" s="11"/>
      <c r="D69" s="11"/>
      <c r="E69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69" s="16"/>
      <c r="G69" s="16"/>
      <c r="H69" s="16">
        <f>Tableau17[[#This Row],[HT]]+Tableau17[[#This Row],[TVA]]</f>
        <v>0</v>
      </c>
      <c r="I69" s="11" t="str">
        <f>IF(Tableau17[[#This Row],[TTC]]=0,"",IF(Tableau17[[#This Row],[MODE DE REGLEMENT]]="","A réglée","Fac réglée"))</f>
        <v/>
      </c>
      <c r="J69" s="21"/>
    </row>
    <row r="70" spans="1:10" x14ac:dyDescent="0.25">
      <c r="A70" s="14"/>
      <c r="B70" s="11"/>
      <c r="C70" s="11"/>
      <c r="D70" s="11"/>
      <c r="E70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70" s="16"/>
      <c r="G70" s="16"/>
      <c r="H70" s="16">
        <f>Tableau17[[#This Row],[HT]]+Tableau17[[#This Row],[TVA]]</f>
        <v>0</v>
      </c>
      <c r="I70" s="11" t="str">
        <f>IF(Tableau17[[#This Row],[TTC]]=0,"",IF(Tableau17[[#This Row],[MODE DE REGLEMENT]]="","A réglée","Fac réglée"))</f>
        <v/>
      </c>
      <c r="J70" s="21"/>
    </row>
    <row r="71" spans="1:10" x14ac:dyDescent="0.25">
      <c r="A71" s="14"/>
      <c r="B71" s="11"/>
      <c r="C71" s="11"/>
      <c r="D71" s="11"/>
      <c r="E71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71" s="16"/>
      <c r="G71" s="16"/>
      <c r="H71" s="16">
        <f>Tableau17[[#This Row],[HT]]+Tableau17[[#This Row],[TVA]]</f>
        <v>0</v>
      </c>
      <c r="I71" s="11" t="str">
        <f>IF(Tableau17[[#This Row],[TTC]]=0,"",IF(Tableau17[[#This Row],[MODE DE REGLEMENT]]="","A réglée","Fac réglée"))</f>
        <v/>
      </c>
      <c r="J71" s="21"/>
    </row>
    <row r="72" spans="1:10" x14ac:dyDescent="0.25">
      <c r="A72" s="14"/>
      <c r="B72" s="11"/>
      <c r="C72" s="11"/>
      <c r="D72" s="11"/>
      <c r="E72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72" s="16"/>
      <c r="G72" s="16"/>
      <c r="H72" s="16">
        <f>Tableau17[[#This Row],[HT]]+Tableau17[[#This Row],[TVA]]</f>
        <v>0</v>
      </c>
      <c r="I72" s="11" t="str">
        <f>IF(Tableau17[[#This Row],[TTC]]=0,"",IF(Tableau17[[#This Row],[MODE DE REGLEMENT]]="","A réglée","Fac réglée"))</f>
        <v/>
      </c>
      <c r="J72" s="21"/>
    </row>
    <row r="73" spans="1:10" x14ac:dyDescent="0.25">
      <c r="A73" s="14"/>
      <c r="B73" s="11"/>
      <c r="C73" s="11"/>
      <c r="D73" s="11"/>
      <c r="E73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73" s="16"/>
      <c r="G73" s="16"/>
      <c r="H73" s="16">
        <f>Tableau17[[#This Row],[HT]]+Tableau17[[#This Row],[TVA]]</f>
        <v>0</v>
      </c>
      <c r="I73" s="11" t="str">
        <f>IF(Tableau17[[#This Row],[TTC]]=0,"",IF(Tableau17[[#This Row],[MODE DE REGLEMENT]]="","A réglée","Fac réglée"))</f>
        <v/>
      </c>
      <c r="J73" s="21"/>
    </row>
    <row r="74" spans="1:10" x14ac:dyDescent="0.25">
      <c r="A74" s="14"/>
      <c r="B74" s="11"/>
      <c r="C74" s="11"/>
      <c r="D74" s="11"/>
      <c r="E74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74" s="16"/>
      <c r="G74" s="16"/>
      <c r="H74" s="16">
        <f>Tableau17[[#This Row],[HT]]+Tableau17[[#This Row],[TVA]]</f>
        <v>0</v>
      </c>
      <c r="I74" s="11" t="str">
        <f>IF(Tableau17[[#This Row],[TTC]]=0,"",IF(Tableau17[[#This Row],[MODE DE REGLEMENT]]="","A réglée","Fac réglée"))</f>
        <v/>
      </c>
      <c r="J74" s="21"/>
    </row>
    <row r="75" spans="1:10" x14ac:dyDescent="0.25">
      <c r="A75" s="14"/>
      <c r="B75" s="11"/>
      <c r="C75" s="11"/>
      <c r="D75" s="11"/>
      <c r="E75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75" s="16"/>
      <c r="G75" s="16"/>
      <c r="H75" s="16">
        <f>Tableau17[[#This Row],[HT]]+Tableau17[[#This Row],[TVA]]</f>
        <v>0</v>
      </c>
      <c r="I75" s="11" t="str">
        <f>IF(Tableau17[[#This Row],[TTC]]=0,"",IF(Tableau17[[#This Row],[MODE DE REGLEMENT]]="","A réglée","Fac réglée"))</f>
        <v/>
      </c>
      <c r="J75" s="21"/>
    </row>
    <row r="76" spans="1:10" x14ac:dyDescent="0.25">
      <c r="A76" s="14"/>
      <c r="B76" s="11"/>
      <c r="C76" s="11"/>
      <c r="D76" s="11"/>
      <c r="E76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76" s="16"/>
      <c r="G76" s="16"/>
      <c r="H76" s="16">
        <f>Tableau17[[#This Row],[HT]]+Tableau17[[#This Row],[TVA]]</f>
        <v>0</v>
      </c>
      <c r="I76" s="11" t="str">
        <f>IF(Tableau17[[#This Row],[TTC]]=0,"",IF(Tableau17[[#This Row],[MODE DE REGLEMENT]]="","A réglée","Fac réglée"))</f>
        <v/>
      </c>
      <c r="J76" s="21"/>
    </row>
    <row r="77" spans="1:10" x14ac:dyDescent="0.25">
      <c r="A77" s="14"/>
      <c r="B77" s="11"/>
      <c r="C77" s="11"/>
      <c r="D77" s="11"/>
      <c r="E77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77" s="16"/>
      <c r="G77" s="16"/>
      <c r="H77" s="16">
        <f>Tableau17[[#This Row],[HT]]+Tableau17[[#This Row],[TVA]]</f>
        <v>0</v>
      </c>
      <c r="I77" s="11" t="str">
        <f>IF(Tableau17[[#This Row],[TTC]]=0,"",IF(Tableau17[[#This Row],[MODE DE REGLEMENT]]="","A réglée","Fac réglée"))</f>
        <v/>
      </c>
      <c r="J77" s="21"/>
    </row>
    <row r="78" spans="1:10" x14ac:dyDescent="0.25">
      <c r="A78" s="14"/>
      <c r="B78" s="11"/>
      <c r="C78" s="11"/>
      <c r="D78" s="11"/>
      <c r="E78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78" s="16"/>
      <c r="G78" s="16"/>
      <c r="H78" s="16">
        <f>Tableau17[[#This Row],[HT]]+Tableau17[[#This Row],[TVA]]</f>
        <v>0</v>
      </c>
      <c r="I78" s="11" t="str">
        <f>IF(Tableau17[[#This Row],[TTC]]=0,"",IF(Tableau17[[#This Row],[MODE DE REGLEMENT]]="","A réglée","Fac réglée"))</f>
        <v/>
      </c>
      <c r="J78" s="21"/>
    </row>
    <row r="79" spans="1:10" x14ac:dyDescent="0.25">
      <c r="A79" s="14"/>
      <c r="B79" s="11"/>
      <c r="C79" s="11"/>
      <c r="D79" s="11"/>
      <c r="E79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79" s="16"/>
      <c r="G79" s="16"/>
      <c r="H79" s="16">
        <f>Tableau17[[#This Row],[HT]]+Tableau17[[#This Row],[TVA]]</f>
        <v>0</v>
      </c>
      <c r="I79" s="11" t="str">
        <f>IF(Tableau17[[#This Row],[TTC]]=0,"",IF(Tableau17[[#This Row],[MODE DE REGLEMENT]]="","A réglée","Fac réglée"))</f>
        <v/>
      </c>
      <c r="J79" s="21"/>
    </row>
    <row r="80" spans="1:10" x14ac:dyDescent="0.25">
      <c r="A80" s="14"/>
      <c r="B80" s="11"/>
      <c r="C80" s="11"/>
      <c r="D80" s="11"/>
      <c r="E80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80" s="16"/>
      <c r="G80" s="16"/>
      <c r="H80" s="16">
        <f>Tableau17[[#This Row],[HT]]+Tableau17[[#This Row],[TVA]]</f>
        <v>0</v>
      </c>
      <c r="I80" s="11" t="str">
        <f>IF(Tableau17[[#This Row],[TTC]]=0,"",IF(Tableau17[[#This Row],[MODE DE REGLEMENT]]="","A réglée","Fac réglée"))</f>
        <v/>
      </c>
      <c r="J80" s="21"/>
    </row>
    <row r="81" spans="1:10" x14ac:dyDescent="0.25">
      <c r="A81" s="14"/>
      <c r="B81" s="11"/>
      <c r="C81" s="11"/>
      <c r="D81" s="11"/>
      <c r="E81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81" s="16"/>
      <c r="G81" s="16"/>
      <c r="H81" s="16">
        <f>Tableau17[[#This Row],[HT]]+Tableau17[[#This Row],[TVA]]</f>
        <v>0</v>
      </c>
      <c r="I81" s="11" t="str">
        <f>IF(Tableau17[[#This Row],[TTC]]=0,"",IF(Tableau17[[#This Row],[MODE DE REGLEMENT]]="","A réglée","Fac réglée"))</f>
        <v/>
      </c>
      <c r="J81" s="21"/>
    </row>
    <row r="82" spans="1:10" x14ac:dyDescent="0.25">
      <c r="A82" s="14"/>
      <c r="B82" s="11"/>
      <c r="C82" s="11"/>
      <c r="D82" s="11"/>
      <c r="E82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82" s="16"/>
      <c r="G82" s="16"/>
      <c r="H82" s="16">
        <f>Tableau17[[#This Row],[HT]]+Tableau17[[#This Row],[TVA]]</f>
        <v>0</v>
      </c>
      <c r="I82" s="11" t="str">
        <f>IF(Tableau17[[#This Row],[TTC]]=0,"",IF(Tableau17[[#This Row],[MODE DE REGLEMENT]]="","A réglée","Fac réglée"))</f>
        <v/>
      </c>
      <c r="J82" s="21"/>
    </row>
    <row r="83" spans="1:10" x14ac:dyDescent="0.25">
      <c r="A83" s="14"/>
      <c r="B83" s="11"/>
      <c r="C83" s="11"/>
      <c r="D83" s="11"/>
      <c r="E83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83" s="16"/>
      <c r="G83" s="16"/>
      <c r="H83" s="16">
        <f>Tableau17[[#This Row],[HT]]+Tableau17[[#This Row],[TVA]]</f>
        <v>0</v>
      </c>
      <c r="I83" s="11" t="str">
        <f>IF(Tableau17[[#This Row],[TTC]]=0,"",IF(Tableau17[[#This Row],[MODE DE REGLEMENT]]="","A réglée","Fac réglée"))</f>
        <v/>
      </c>
      <c r="J83" s="21"/>
    </row>
    <row r="84" spans="1:10" x14ac:dyDescent="0.25">
      <c r="A84" s="14"/>
      <c r="B84" s="11"/>
      <c r="C84" s="11"/>
      <c r="D84" s="11"/>
      <c r="E84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84" s="16"/>
      <c r="G84" s="16"/>
      <c r="H84" s="16">
        <f>Tableau17[[#This Row],[HT]]+Tableau17[[#This Row],[TVA]]</f>
        <v>0</v>
      </c>
      <c r="I84" s="11" t="str">
        <f>IF(Tableau17[[#This Row],[TTC]]=0,"",IF(Tableau17[[#This Row],[MODE DE REGLEMENT]]="","A réglée","Fac réglée"))</f>
        <v/>
      </c>
      <c r="J84" s="21"/>
    </row>
    <row r="85" spans="1:10" x14ac:dyDescent="0.25">
      <c r="A85" s="14"/>
      <c r="B85" s="11"/>
      <c r="C85" s="11"/>
      <c r="D85" s="11"/>
      <c r="E85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85" s="16"/>
      <c r="G85" s="16"/>
      <c r="H85" s="16">
        <f>Tableau17[[#This Row],[HT]]+Tableau17[[#This Row],[TVA]]</f>
        <v>0</v>
      </c>
      <c r="I85" s="11" t="str">
        <f>IF(Tableau17[[#This Row],[TTC]]=0,"",IF(Tableau17[[#This Row],[MODE DE REGLEMENT]]="","A réglée","Fac réglée"))</f>
        <v/>
      </c>
      <c r="J85" s="21"/>
    </row>
    <row r="86" spans="1:10" x14ac:dyDescent="0.25">
      <c r="A86" s="14"/>
      <c r="B86" s="11"/>
      <c r="C86" s="11"/>
      <c r="D86" s="11"/>
      <c r="E86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86" s="16"/>
      <c r="G86" s="16"/>
      <c r="H86" s="16">
        <f>Tableau17[[#This Row],[HT]]+Tableau17[[#This Row],[TVA]]</f>
        <v>0</v>
      </c>
      <c r="I86" s="11" t="str">
        <f>IF(Tableau17[[#This Row],[TTC]]=0,"",IF(Tableau17[[#This Row],[MODE DE REGLEMENT]]="","A réglée","Fac réglée"))</f>
        <v/>
      </c>
      <c r="J86" s="21"/>
    </row>
    <row r="87" spans="1:10" x14ac:dyDescent="0.25">
      <c r="A87" s="14"/>
      <c r="B87" s="11"/>
      <c r="C87" s="11"/>
      <c r="D87" s="11"/>
      <c r="E87" s="11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87" s="16"/>
      <c r="G87" s="16"/>
      <c r="H87" s="16">
        <f>Tableau17[[#This Row],[HT]]+Tableau17[[#This Row],[TVA]]</f>
        <v>0</v>
      </c>
      <c r="I87" s="11" t="str">
        <f>IF(Tableau17[[#This Row],[TTC]]=0,"",IF(Tableau17[[#This Row],[MODE DE REGLEMENT]]="","A réglée","Fac réglée"))</f>
        <v/>
      </c>
      <c r="J87" s="21"/>
    </row>
    <row r="88" spans="1:10" x14ac:dyDescent="0.25">
      <c r="A88" s="17"/>
      <c r="B88" s="18"/>
      <c r="C88" s="18"/>
      <c r="D88" s="18"/>
      <c r="E88" s="18" t="str">
        <f ca="1">IF(Tableau17[[#This Row],[ECHEANCE]]="","",IF(Tableau17[[#This Row],[STATUT]]="Fac réglée","Fac payée",IF(Tableau17[[#This Row],[ECHEANCE]]=TODAY(),"A réglée aujourd'huit",IF(Tableau17[[#This Row],[ECHEANCE]]&gt;TODAY(),Tableau17[[#This Row],[ECHEANCE]]-TODAY(),IF(Tableau17[[#This Row],[ECHEANCE]]&lt;TODAY(),"Fac échue no réglée","")))))</f>
        <v/>
      </c>
      <c r="F88" s="19"/>
      <c r="G88" s="19"/>
      <c r="H88" s="19">
        <f>Tableau17[[#This Row],[HT]]+Tableau17[[#This Row],[TVA]]</f>
        <v>0</v>
      </c>
      <c r="I88" s="18" t="str">
        <f>IF(Tableau17[[#This Row],[TTC]]=0,"",IF(Tableau17[[#This Row],[MODE DE REGLEMENT]]="","A réglée","Fac réglée"))</f>
        <v/>
      </c>
      <c r="J88" s="23"/>
    </row>
  </sheetData>
  <mergeCells count="1">
    <mergeCell ref="A1:A4"/>
  </mergeCells>
  <conditionalFormatting sqref="A6:J88">
    <cfRule type="expression" dxfId="2" priority="1">
      <formula>$E6="Fac payée"</formula>
    </cfRule>
  </conditionalFormatting>
  <conditionalFormatting sqref="E6:E88">
    <cfRule type="cellIs" dxfId="1" priority="2" operator="equal">
      <formula>"Fac échue no réglée"</formula>
    </cfRule>
    <cfRule type="cellIs" dxfId="0" priority="3" operator="equal">
      <formula>"A réglée aujourd'huit"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E5AFA29-62A1-40DB-B4F2-BB9A92F6B5B5}">
          <x14:formula1>
            <xm:f>BDD!$D$4:$D$6</xm:f>
          </x14:formula1>
          <xm:sqref>J6:J88</xm:sqref>
        </x14:dataValidation>
        <x14:dataValidation type="list" allowBlank="1" showInputMessage="1" showErrorMessage="1" xr:uid="{56AA4F6C-31A1-4547-833A-3EFF4D04BD40}">
          <x14:formula1>
            <xm:f>BDD!$B$4:$B$51</xm:f>
          </x14:formula1>
          <xm:sqref>A6:A88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8576-C898-4D90-B3B2-8D39D905E46D}">
  <dimension ref="B3:D22"/>
  <sheetViews>
    <sheetView topLeftCell="A18" workbookViewId="0">
      <selection activeCell="B18" sqref="B18:B22"/>
    </sheetView>
  </sheetViews>
  <sheetFormatPr baseColWidth="10" defaultRowHeight="15" x14ac:dyDescent="0.25"/>
  <cols>
    <col min="2" max="2" width="26" customWidth="1"/>
    <col min="3" max="3" width="3.5703125" customWidth="1"/>
    <col min="4" max="4" width="22.5703125" customWidth="1"/>
  </cols>
  <sheetData>
    <row r="3" spans="2:4" x14ac:dyDescent="0.25">
      <c r="B3" t="s">
        <v>12</v>
      </c>
      <c r="D3" t="s">
        <v>11</v>
      </c>
    </row>
    <row r="4" spans="2:4" x14ac:dyDescent="0.25">
      <c r="B4" t="s">
        <v>16</v>
      </c>
      <c r="D4" t="s">
        <v>13</v>
      </c>
    </row>
    <row r="5" spans="2:4" x14ac:dyDescent="0.25">
      <c r="B5" t="s">
        <v>17</v>
      </c>
      <c r="D5" t="s">
        <v>14</v>
      </c>
    </row>
    <row r="6" spans="2:4" x14ac:dyDescent="0.25">
      <c r="B6" t="s">
        <v>18</v>
      </c>
      <c r="D6" t="s">
        <v>15</v>
      </c>
    </row>
    <row r="7" spans="2:4" x14ac:dyDescent="0.25">
      <c r="B7" t="s">
        <v>19</v>
      </c>
    </row>
    <row r="8" spans="2:4" x14ac:dyDescent="0.25">
      <c r="B8" t="s">
        <v>20</v>
      </c>
    </row>
    <row r="9" spans="2:4" x14ac:dyDescent="0.25">
      <c r="B9" t="s">
        <v>21</v>
      </c>
    </row>
    <row r="10" spans="2:4" x14ac:dyDescent="0.25">
      <c r="B10" t="s">
        <v>22</v>
      </c>
    </row>
    <row r="11" spans="2:4" x14ac:dyDescent="0.25">
      <c r="B11" t="s">
        <v>23</v>
      </c>
    </row>
    <row r="12" spans="2:4" x14ac:dyDescent="0.25">
      <c r="B12" t="s">
        <v>24</v>
      </c>
    </row>
    <row r="13" spans="2:4" x14ac:dyDescent="0.25">
      <c r="B13" t="s">
        <v>25</v>
      </c>
    </row>
    <row r="14" spans="2:4" x14ac:dyDescent="0.25">
      <c r="B14" t="s">
        <v>26</v>
      </c>
    </row>
    <row r="15" spans="2:4" x14ac:dyDescent="0.25">
      <c r="B15" t="s">
        <v>27</v>
      </c>
    </row>
    <row r="16" spans="2:4" x14ac:dyDescent="0.25">
      <c r="B16" t="s">
        <v>28</v>
      </c>
    </row>
    <row r="17" spans="2:2" x14ac:dyDescent="0.25">
      <c r="B17" t="s">
        <v>29</v>
      </c>
    </row>
    <row r="18" spans="2:2" x14ac:dyDescent="0.25">
      <c r="B18" t="s">
        <v>30</v>
      </c>
    </row>
    <row r="19" spans="2:2" x14ac:dyDescent="0.25">
      <c r="B19" t="s">
        <v>43</v>
      </c>
    </row>
    <row r="20" spans="2:2" x14ac:dyDescent="0.25">
      <c r="B20" t="s">
        <v>44</v>
      </c>
    </row>
    <row r="21" spans="2:2" x14ac:dyDescent="0.25">
      <c r="B21" t="s">
        <v>45</v>
      </c>
    </row>
    <row r="22" spans="2:2" x14ac:dyDescent="0.25">
      <c r="B22" t="s">
        <v>46</v>
      </c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JANVIER</vt:lpstr>
      <vt:lpstr>FEVRIER</vt:lpstr>
      <vt:lpstr>BDD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Bouziane Zineddine</cp:lastModifiedBy>
  <dcterms:created xsi:type="dcterms:W3CDTF">2015-06-05T18:17:20Z</dcterms:created>
  <dcterms:modified xsi:type="dcterms:W3CDTF">2024-02-05T16:09:07Z</dcterms:modified>
</cp:coreProperties>
</file>