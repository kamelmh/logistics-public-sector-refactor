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\Desktop\"/>
    </mc:Choice>
  </mc:AlternateContent>
  <xr:revisionPtr revIDLastSave="0" documentId="13_ncr:1_{B72A4000-D9E0-4C49-B9D9-5FBD2D365D18}" xr6:coauthVersionLast="47" xr6:coauthVersionMax="47" xr10:uidLastSave="{00000000-0000-0000-0000-000000000000}"/>
  <bookViews>
    <workbookView xWindow="-110" yWindow="-110" windowWidth="19420" windowHeight="10300" tabRatio="0" xr2:uid="{F1ADB02F-6E61-41EF-A66B-0AACAB276E0C}"/>
  </bookViews>
  <sheets>
    <sheet name="Menu" sheetId="11" r:id="rId1"/>
    <sheet name="Création" sheetId="1" r:id="rId2"/>
    <sheet name="Clients" sheetId="4" r:id="rId3"/>
    <sheet name="Fournisseurs" sheetId="8" r:id="rId4"/>
    <sheet name="Articles" sheetId="5" r:id="rId5"/>
    <sheet name="FactureBD" sheetId="2" r:id="rId6"/>
    <sheet name="ArticleFactureBD" sheetId="3" r:id="rId7"/>
    <sheet name="BL" sheetId="9" r:id="rId8"/>
    <sheet name="ArticleBL" sheetId="10" r:id="rId9"/>
    <sheet name="FactureProBD" sheetId="6" r:id="rId10"/>
    <sheet name="ArticleFactureProBD" sheetId="7" r:id="rId11"/>
    <sheet name="BC" sheetId="12" r:id="rId12"/>
    <sheet name="ArticleBC" sheetId="13" r:id="rId13"/>
  </sheets>
  <functionGroups builtInGroupCount="19"/>
  <definedNames>
    <definedName name="_xlnm._FilterDatabase" localSheetId="8" hidden="1">ArticleBL!$A$3:$H$5</definedName>
    <definedName name="_xlnm._FilterDatabase" localSheetId="6" hidden="1">ArticleFactureBD!$A$3:$H$7</definedName>
    <definedName name="_xlnm._FilterDatabase" localSheetId="10" hidden="1">ArticleFactureProBD!$A$3:$H$4</definedName>
    <definedName name="_xleta.SUM" hidden="1" xlm="1">#NAME?</definedName>
    <definedName name="BLn" localSheetId="7">OFFSET(BL!$A$3,1,,COUNTA(BL!$A$3:$A$9997)-1,1)</definedName>
    <definedName name="_xlnm.Criteria" localSheetId="8">ArticleBL!$N$2:$N$3</definedName>
    <definedName name="_xlnm.Criteria" localSheetId="6">ArticleFactureBD!$N$2:$N$3</definedName>
    <definedName name="_xlnm.Criteria" localSheetId="10">ArticleFactureProBD!$N$2:$N$3</definedName>
    <definedName name="Cust_Names">OFFSET(Clients!$A$3,1,,COUNTA(Clients!$A$3:$A$9999)-1,1)</definedName>
    <definedName name="_xlnm.Extract" localSheetId="8">ArticleBL!$Q$2:$V$2</definedName>
    <definedName name="_xlnm.Extract" localSheetId="6">ArticleFactureBD!$Q$2:$V$2</definedName>
    <definedName name="_xlnm.Extract" localSheetId="10">ArticleFactureProBD!$Q$2:$V$2</definedName>
    <definedName name="Fournisseur">OFFSET(Fournisseurs!$A$3,1,,COUNTA(Fournisseurs!$A$3:$A$9999)-1,1)</definedName>
    <definedName name="Item_Names">OFFSET(Articles!$A$3,1,,COUNTA(Articles!$A$3:$A$9999)-1,1)</definedName>
    <definedName name="N_FacPro">OFFSET(FactureProBD!$A$3,1,,COUNTA(FactureProBD!$A$3:$A$9997)-1,1)</definedName>
    <definedName name="Rec_ID">OFFSET(FactureBD!$A$3,1,,COUNTA(FactureBD!$A$3:$A$9995)-1,1)</definedName>
    <definedName name="_xlnm.Print_Area" localSheetId="1">Création!$B$1:$F$44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3" l="1"/>
  <c r="H7" i="3"/>
  <c r="H6" i="3"/>
  <c r="H5" i="3"/>
  <c r="H5" i="10"/>
  <c r="H4" i="3"/>
  <c r="H4" i="10" l="1"/>
  <c r="B4" i="1"/>
  <c r="N3" i="7"/>
  <c r="N3" i="10"/>
  <c r="H4" i="1" l="1"/>
  <c r="E4" i="1"/>
  <c r="B3" i="1"/>
  <c r="F13" i="1" l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12" i="1"/>
  <c r="F40" i="1" l="1"/>
  <c r="N3" i="3"/>
  <c r="F41" i="1" l="1"/>
  <c r="F42" i="1" s="1"/>
  <c r="B42" i="1" a="1"/>
  <c r="B4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<sst xmlns="http://schemas.openxmlformats.org/spreadsheetml/2006/main" count="174" uniqueCount="60">
  <si>
    <t>Total</t>
  </si>
  <si>
    <t>CRITERIA</t>
  </si>
  <si>
    <t>RESULT</t>
  </si>
  <si>
    <t>Code</t>
  </si>
  <si>
    <t>Qté</t>
  </si>
  <si>
    <t>Prix U.</t>
  </si>
  <si>
    <t>Désignation</t>
  </si>
  <si>
    <t>Prix Unitaire</t>
  </si>
  <si>
    <t>Articles</t>
  </si>
  <si>
    <t>Clients</t>
  </si>
  <si>
    <t>Client</t>
  </si>
  <si>
    <t>N°Facture</t>
  </si>
  <si>
    <t>Ligne Facture</t>
  </si>
  <si>
    <t>Ligne BD</t>
  </si>
  <si>
    <t>Date:</t>
  </si>
  <si>
    <t>Date</t>
  </si>
  <si>
    <t>Facture</t>
  </si>
  <si>
    <t>Articles des factures</t>
  </si>
  <si>
    <t>RC</t>
  </si>
  <si>
    <t>NIF</t>
  </si>
  <si>
    <t>Adresse</t>
  </si>
  <si>
    <t>RC:</t>
  </si>
  <si>
    <t>NIF:</t>
  </si>
  <si>
    <t>123A</t>
  </si>
  <si>
    <t>Article 1</t>
  </si>
  <si>
    <t>AI:</t>
  </si>
  <si>
    <t>Adresse:</t>
  </si>
  <si>
    <t>Agrément:</t>
  </si>
  <si>
    <t>N° de téléphone:</t>
  </si>
  <si>
    <t>Paiement:</t>
  </si>
  <si>
    <t>AI</t>
  </si>
  <si>
    <t>Agrément</t>
  </si>
  <si>
    <t>Paiement</t>
  </si>
  <si>
    <t>Remarque</t>
  </si>
  <si>
    <t>Facture proforma</t>
  </si>
  <si>
    <t>N°Facture proforma</t>
  </si>
  <si>
    <t>Ligne F Proforma</t>
  </si>
  <si>
    <t>Articles des factures proforma</t>
  </si>
  <si>
    <t>Email:</t>
  </si>
  <si>
    <t>E-mail</t>
  </si>
  <si>
    <t>Fournisseurs</t>
  </si>
  <si>
    <t>Fournisseur</t>
  </si>
  <si>
    <t>N°BL</t>
  </si>
  <si>
    <t>Créer :</t>
  </si>
  <si>
    <t>Ligne BL</t>
  </si>
  <si>
    <t>Articles de bon de livraison</t>
  </si>
  <si>
    <t>Bon de livraison</t>
  </si>
  <si>
    <t>N°BC</t>
  </si>
  <si>
    <t>Ligne BC</t>
  </si>
  <si>
    <t>Articles des BC</t>
  </si>
  <si>
    <t>Bon de commande</t>
  </si>
  <si>
    <t>N° de téléphone</t>
  </si>
  <si>
    <t>Total HT</t>
  </si>
  <si>
    <t>Total HT:</t>
  </si>
  <si>
    <t>TVA</t>
  </si>
  <si>
    <t>Total TTC</t>
  </si>
  <si>
    <t>A</t>
  </si>
  <si>
    <t>B</t>
  </si>
  <si>
    <t>TVA:</t>
  </si>
  <si>
    <t>Total TTC: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</si>
</sst>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\(&quot;$&quot;#,##0.00\)"/>
    <numFmt numFmtId="165" formatCode="&quot;$&quot;#,##0.00_);[Red]\(&quot;$&quot;#,##0.00\)"/>
    <numFmt numFmtId="166" formatCode=";;"/>
    <numFmt numFmtId="167" formatCode="#,##0.00\ [$DA-85F]"/>
    <numFmt numFmtId="168" formatCode="#,##0.00\ _€"/>
  </numFmts>
  <fonts count="1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sz val="9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A753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165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14" fontId="0" fillId="0" borderId="0" xfId="0" applyNumberFormat="1"/>
    <xf numFmtId="166" fontId="0" fillId="0" borderId="0" xfId="0" applyNumberFormat="1"/>
    <xf numFmtId="0" fontId="1" fillId="2" borderId="2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49" fontId="0" fillId="0" borderId="0" xfId="0" applyNumberFormat="1"/>
    <xf numFmtId="49" fontId="1" fillId="2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2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7" fillId="3" borderId="1" xfId="0" applyFont="1" applyFill="1" applyBorder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68" fontId="5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top"/>
    </xf>
    <xf numFmtId="16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4" fillId="0" borderId="7" xfId="0" applyFont="1" applyBorder="1" applyAlignment="1">
      <alignment horizontal="right" vertical="center" wrapText="1"/>
    </xf>
    <xf numFmtId="167" fontId="4" fillId="0" borderId="8" xfId="0" applyNumberFormat="1" applyFont="1" applyBorder="1" applyAlignment="1">
      <alignment horizontal="right" vertical="center" wrapText="1"/>
    </xf>
    <xf numFmtId="168" fontId="5" fillId="0" borderId="10" xfId="0" applyNumberFormat="1" applyFont="1" applyBorder="1" applyAlignment="1">
      <alignment horizontal="right" vertical="center"/>
    </xf>
    <xf numFmtId="168" fontId="5" fillId="0" borderId="6" xfId="0" applyNumberFormat="1" applyFont="1" applyBorder="1" applyAlignment="1">
      <alignment horizontal="right" vertical="center"/>
    </xf>
    <xf numFmtId="0" fontId="0" fillId="4" borderId="1" xfId="0" applyFill="1" applyBorder="1" applyAlignment="1">
      <alignment horizontal="center"/>
    </xf>
    <xf numFmtId="0" fontId="9" fillId="0" borderId="0" xfId="1"/>
    <xf numFmtId="0" fontId="5" fillId="0" borderId="0" xfId="0" applyFont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 vertical="center"/>
      <protection locked="0"/>
    </xf>
    <xf numFmtId="0" fontId="5" fillId="0" borderId="6" xfId="0" applyFont="1" applyBorder="1" applyAlignment="1" applyProtection="1">
      <alignment horizontal="left" vertical="center"/>
      <protection locked="0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49" fontId="5" fillId="0" borderId="0" xfId="0" applyNumberFormat="1" applyFont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168" fontId="5" fillId="0" borderId="10" xfId="0" applyNumberFormat="1" applyFont="1" applyBorder="1" applyAlignment="1" applyProtection="1">
      <alignment horizontal="right" vertical="center"/>
      <protection locked="0"/>
    </xf>
    <xf numFmtId="168" fontId="5" fillId="0" borderId="6" xfId="0" applyNumberFormat="1" applyFont="1" applyBorder="1" applyAlignment="1" applyProtection="1">
      <alignment horizontal="right" vertical="center"/>
      <protection locked="0"/>
    </xf>
    <xf numFmtId="0" fontId="5" fillId="0" borderId="10" xfId="0" applyFont="1" applyBorder="1" applyAlignment="1" applyProtection="1">
      <alignment horizontal="left" vertical="center" wrapText="1"/>
      <protection locked="0"/>
    </xf>
    <xf numFmtId="0" fontId="5" fillId="0" borderId="6" xfId="0" applyFont="1" applyBorder="1" applyAlignment="1" applyProtection="1">
      <alignment horizontal="left" vertical="center" wrapText="1"/>
      <protection locked="0"/>
    </xf>
    <xf numFmtId="0" fontId="1" fillId="2" borderId="10" xfId="0" applyFont="1" applyFill="1" applyBorder="1" applyAlignment="1">
      <alignment horizontal="center" vertical="center"/>
    </xf>
    <xf numFmtId="9" fontId="0" fillId="0" borderId="3" xfId="0" applyNumberForma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top"/>
    </xf>
    <xf numFmtId="0" fontId="6" fillId="0" borderId="0" xfId="0" applyFont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0" xfId="0" applyFont="1" applyAlignment="1" applyProtection="1">
      <alignment horizontal="left" vertical="top" wrapText="1"/>
      <protection locked="0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1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right/>
        <top/>
        <bottom/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bottom style="hair">
          <color auto="1"/>
        </bottom>
        <vertical/>
        <horizontal/>
      </border>
    </dxf>
  </dxfs>
  <tableStyles count="0" defaultTableStyle="TableStyleMedium2" defaultPivotStyle="PivotStyleLight16"/>
  <colors>
    <mruColors>
      <color rgb="FF0A753D"/>
      <color rgb="FFFFE9A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BL!A2"/><Relationship Id="rId7" Type="http://schemas.openxmlformats.org/officeDocument/2006/relationships/hyperlink" Target="#BC!A2"/><Relationship Id="rId2" Type="http://schemas.openxmlformats.org/officeDocument/2006/relationships/hyperlink" Target="#FactureProBD!A2"/><Relationship Id="rId1" Type="http://schemas.openxmlformats.org/officeDocument/2006/relationships/hyperlink" Target="#FactureBD!A2"/><Relationship Id="rId6" Type="http://schemas.openxmlformats.org/officeDocument/2006/relationships/hyperlink" Target="#Articles!A2"/><Relationship Id="rId5" Type="http://schemas.openxmlformats.org/officeDocument/2006/relationships/hyperlink" Target="#Fournisseurs!A2"/><Relationship Id="rId4" Type="http://schemas.openxmlformats.org/officeDocument/2006/relationships/hyperlink" Target="#Clients!A2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png"/><Relationship Id="rId7" Type="http://schemas.openxmlformats.org/officeDocument/2006/relationships/hyperlink" Target="#Menu!C13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svg"/><Relationship Id="rId2" Type="http://schemas.openxmlformats.org/officeDocument/2006/relationships/image" Target="../media/image8.png"/><Relationship Id="rId1" Type="http://schemas.openxmlformats.org/officeDocument/2006/relationships/hyperlink" Target="#Menu!C1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7</xdr:row>
      <xdr:rowOff>74789</xdr:rowOff>
    </xdr:from>
    <xdr:to>
      <xdr:col>3</xdr:col>
      <xdr:colOff>336550</xdr:colOff>
      <xdr:row>9</xdr:row>
      <xdr:rowOff>144639</xdr:rowOff>
    </xdr:to>
    <xdr:sp macro="[0]!Menu_Factur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F33C15-9FBD-5FA0-C66C-FEA8FC3FD23A}"/>
            </a:ext>
          </a:extLst>
        </xdr:cNvPr>
        <xdr:cNvSpPr/>
      </xdr:nvSpPr>
      <xdr:spPr>
        <a:xfrm>
          <a:off x="444500" y="1363839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Facture</a:t>
          </a:r>
          <a:endParaRPr lang="fr-FR" sz="1100" b="1" kern="1200"/>
        </a:p>
      </xdr:txBody>
    </xdr:sp>
    <xdr:clientData/>
  </xdr:twoCellAnchor>
  <xdr:twoCellAnchor>
    <xdr:from>
      <xdr:col>0</xdr:col>
      <xdr:colOff>444500</xdr:colOff>
      <xdr:row>11</xdr:row>
      <xdr:rowOff>33867</xdr:rowOff>
    </xdr:from>
    <xdr:to>
      <xdr:col>3</xdr:col>
      <xdr:colOff>336550</xdr:colOff>
      <xdr:row>13</xdr:row>
      <xdr:rowOff>103717</xdr:rowOff>
    </xdr:to>
    <xdr:sp macro="[0]!Menu_FactureProforma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CAABC97-F32D-574E-8804-F889EB9B773D}"/>
            </a:ext>
          </a:extLst>
        </xdr:cNvPr>
        <xdr:cNvSpPr/>
      </xdr:nvSpPr>
      <xdr:spPr>
        <a:xfrm>
          <a:off x="444500" y="2059517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Facture Proforma</a:t>
          </a:r>
          <a:endParaRPr lang="fr-FR" sz="1000" b="1" kern="1200"/>
        </a:p>
      </xdr:txBody>
    </xdr:sp>
    <xdr:clientData/>
  </xdr:twoCellAnchor>
  <xdr:twoCellAnchor>
    <xdr:from>
      <xdr:col>0</xdr:col>
      <xdr:colOff>444500</xdr:colOff>
      <xdr:row>14</xdr:row>
      <xdr:rowOff>177095</xdr:rowOff>
    </xdr:from>
    <xdr:to>
      <xdr:col>3</xdr:col>
      <xdr:colOff>336550</xdr:colOff>
      <xdr:row>17</xdr:row>
      <xdr:rowOff>62795</xdr:rowOff>
    </xdr:to>
    <xdr:sp macro="[0]!Menu_B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B1FF9969-F4A4-C126-3EF9-2457F2879AF2}"/>
            </a:ext>
          </a:extLst>
        </xdr:cNvPr>
        <xdr:cNvSpPr/>
      </xdr:nvSpPr>
      <xdr:spPr>
        <a:xfrm>
          <a:off x="444500" y="2755195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Bon</a:t>
          </a:r>
          <a:r>
            <a:rPr lang="fr-FR" sz="1600" b="1" kern="1200" baseline="0"/>
            <a:t> de livraison</a:t>
          </a:r>
          <a:endParaRPr lang="fr-FR" sz="1000" b="1" kern="1200"/>
        </a:p>
      </xdr:txBody>
    </xdr:sp>
    <xdr:clientData/>
  </xdr:twoCellAnchor>
  <xdr:twoCellAnchor>
    <xdr:from>
      <xdr:col>0</xdr:col>
      <xdr:colOff>444500</xdr:colOff>
      <xdr:row>18</xdr:row>
      <xdr:rowOff>136173</xdr:rowOff>
    </xdr:from>
    <xdr:to>
      <xdr:col>3</xdr:col>
      <xdr:colOff>336550</xdr:colOff>
      <xdr:row>21</xdr:row>
      <xdr:rowOff>21873</xdr:rowOff>
    </xdr:to>
    <xdr:sp macro="[0]!Menu_DemandeProforma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D30DFF05-358B-AB72-61E1-2AB50CD3B8D7}"/>
            </a:ext>
          </a:extLst>
        </xdr:cNvPr>
        <xdr:cNvSpPr/>
      </xdr:nvSpPr>
      <xdr:spPr>
        <a:xfrm>
          <a:off x="444500" y="3450873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Demande</a:t>
          </a:r>
          <a:r>
            <a:rPr lang="fr-FR" sz="1600" b="1" kern="1200" baseline="0"/>
            <a:t> de proforma</a:t>
          </a:r>
          <a:endParaRPr lang="fr-FR" sz="1000" b="1" kern="1200"/>
        </a:p>
      </xdr:txBody>
    </xdr:sp>
    <xdr:clientData/>
  </xdr:twoCellAnchor>
  <xdr:twoCellAnchor>
    <xdr:from>
      <xdr:col>0</xdr:col>
      <xdr:colOff>444500</xdr:colOff>
      <xdr:row>22</xdr:row>
      <xdr:rowOff>95250</xdr:rowOff>
    </xdr:from>
    <xdr:to>
      <xdr:col>3</xdr:col>
      <xdr:colOff>336550</xdr:colOff>
      <xdr:row>24</xdr:row>
      <xdr:rowOff>165100</xdr:rowOff>
    </xdr:to>
    <xdr:sp macro="[0]!Menu_BC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6052FF9-BC6D-19DB-AF4E-8247389656A0}"/>
            </a:ext>
          </a:extLst>
        </xdr:cNvPr>
        <xdr:cNvSpPr/>
      </xdr:nvSpPr>
      <xdr:spPr>
        <a:xfrm>
          <a:off x="444500" y="4146550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Bon de commande</a:t>
          </a:r>
          <a:endParaRPr lang="fr-FR" sz="1000" b="1" kern="1200"/>
        </a:p>
      </xdr:txBody>
    </xdr:sp>
    <xdr:clientData/>
  </xdr:twoCellAnchor>
  <xdr:twoCellAnchor>
    <xdr:from>
      <xdr:col>12</xdr:col>
      <xdr:colOff>139700</xdr:colOff>
      <xdr:row>6</xdr:row>
      <xdr:rowOff>133350</xdr:rowOff>
    </xdr:from>
    <xdr:to>
      <xdr:col>15</xdr:col>
      <xdr:colOff>31750</xdr:colOff>
      <xdr:row>9</xdr:row>
      <xdr:rowOff>19050</xdr:rowOff>
    </xdr:to>
    <xdr:sp macro="" textlink="">
      <xdr:nvSpPr>
        <xdr:cNvPr id="8" name="Rectangle : coins arrondi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C5573F-2B67-D96E-E97C-E663BDA39F3F}"/>
            </a:ext>
          </a:extLst>
        </xdr:cNvPr>
        <xdr:cNvSpPr/>
      </xdr:nvSpPr>
      <xdr:spPr>
        <a:xfrm>
          <a:off x="9283700" y="1238250"/>
          <a:ext cx="2178050" cy="438150"/>
        </a:xfrm>
        <a:prstGeom prst="roundRect">
          <a:avLst>
            <a:gd name="adj" fmla="val 21015"/>
          </a:avLst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Suivi factures</a:t>
          </a:r>
          <a:endParaRPr lang="fr-FR" sz="1100" b="1" kern="1200"/>
        </a:p>
      </xdr:txBody>
    </xdr:sp>
    <xdr:clientData/>
  </xdr:twoCellAnchor>
  <xdr:twoCellAnchor>
    <xdr:from>
      <xdr:col>12</xdr:col>
      <xdr:colOff>139700</xdr:colOff>
      <xdr:row>10</xdr:row>
      <xdr:rowOff>92428</xdr:rowOff>
    </xdr:from>
    <xdr:to>
      <xdr:col>15</xdr:col>
      <xdr:colOff>31750</xdr:colOff>
      <xdr:row>12</xdr:row>
      <xdr:rowOff>162278</xdr:rowOff>
    </xdr:to>
    <xdr:sp macro="" textlink="">
      <xdr:nvSpPr>
        <xdr:cNvPr id="9" name="Rectangle : coins arrondi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50CA39-0E95-3E8A-5987-1F231B182CD2}"/>
            </a:ext>
          </a:extLst>
        </xdr:cNvPr>
        <xdr:cNvSpPr/>
      </xdr:nvSpPr>
      <xdr:spPr>
        <a:xfrm>
          <a:off x="9283700" y="1933928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Suivi Proforma</a:t>
          </a:r>
          <a:endParaRPr lang="fr-FR" sz="1000" b="1" kern="1200"/>
        </a:p>
      </xdr:txBody>
    </xdr:sp>
    <xdr:clientData/>
  </xdr:twoCellAnchor>
  <xdr:twoCellAnchor>
    <xdr:from>
      <xdr:col>12</xdr:col>
      <xdr:colOff>139700</xdr:colOff>
      <xdr:row>14</xdr:row>
      <xdr:rowOff>51506</xdr:rowOff>
    </xdr:from>
    <xdr:to>
      <xdr:col>15</xdr:col>
      <xdr:colOff>31750</xdr:colOff>
      <xdr:row>16</xdr:row>
      <xdr:rowOff>121356</xdr:rowOff>
    </xdr:to>
    <xdr:sp macro="" textlink="">
      <xdr:nvSpPr>
        <xdr:cNvPr id="10" name="Rectangle : coins arrondi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26A624-E6A9-26B2-BA1E-0DE420BEFAC1}"/>
            </a:ext>
          </a:extLst>
        </xdr:cNvPr>
        <xdr:cNvSpPr/>
      </xdr:nvSpPr>
      <xdr:spPr>
        <a:xfrm>
          <a:off x="9283700" y="2629606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Suivi BL</a:t>
          </a:r>
          <a:endParaRPr lang="fr-FR" sz="1000" b="1" kern="1200"/>
        </a:p>
      </xdr:txBody>
    </xdr:sp>
    <xdr:clientData/>
  </xdr:twoCellAnchor>
  <xdr:twoCellAnchor>
    <xdr:from>
      <xdr:col>12</xdr:col>
      <xdr:colOff>139700</xdr:colOff>
      <xdr:row>22</xdr:row>
      <xdr:rowOff>124884</xdr:rowOff>
    </xdr:from>
    <xdr:to>
      <xdr:col>15</xdr:col>
      <xdr:colOff>31750</xdr:colOff>
      <xdr:row>25</xdr:row>
      <xdr:rowOff>10584</xdr:rowOff>
    </xdr:to>
    <xdr:sp macro="" textlink="">
      <xdr:nvSpPr>
        <xdr:cNvPr id="13" name="Rectangle : coins arrondi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DA8702-5422-939B-20C9-4065E720C492}"/>
            </a:ext>
          </a:extLst>
        </xdr:cNvPr>
        <xdr:cNvSpPr/>
      </xdr:nvSpPr>
      <xdr:spPr>
        <a:xfrm>
          <a:off x="9283700" y="4176184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Clients</a:t>
          </a:r>
          <a:endParaRPr lang="fr-FR" sz="1000" b="1" kern="1200"/>
        </a:p>
      </xdr:txBody>
    </xdr:sp>
    <xdr:clientData/>
  </xdr:twoCellAnchor>
  <xdr:twoCellAnchor>
    <xdr:from>
      <xdr:col>12</xdr:col>
      <xdr:colOff>139700</xdr:colOff>
      <xdr:row>26</xdr:row>
      <xdr:rowOff>83962</xdr:rowOff>
    </xdr:from>
    <xdr:to>
      <xdr:col>15</xdr:col>
      <xdr:colOff>31750</xdr:colOff>
      <xdr:row>28</xdr:row>
      <xdr:rowOff>153812</xdr:rowOff>
    </xdr:to>
    <xdr:sp macro="" textlink="">
      <xdr:nvSpPr>
        <xdr:cNvPr id="14" name="Rectangle : coins arrondi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9C4740-E06E-2E6E-FED0-A74DD9ACD965}"/>
            </a:ext>
          </a:extLst>
        </xdr:cNvPr>
        <xdr:cNvSpPr/>
      </xdr:nvSpPr>
      <xdr:spPr>
        <a:xfrm>
          <a:off x="9283700" y="4871862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Fournisseurs</a:t>
          </a:r>
          <a:endParaRPr lang="fr-FR" sz="1000" b="1" kern="1200"/>
        </a:p>
      </xdr:txBody>
    </xdr:sp>
    <xdr:clientData/>
  </xdr:twoCellAnchor>
  <xdr:twoCellAnchor>
    <xdr:from>
      <xdr:col>0</xdr:col>
      <xdr:colOff>412750</xdr:colOff>
      <xdr:row>26</xdr:row>
      <xdr:rowOff>83962</xdr:rowOff>
    </xdr:from>
    <xdr:to>
      <xdr:col>3</xdr:col>
      <xdr:colOff>304800</xdr:colOff>
      <xdr:row>28</xdr:row>
      <xdr:rowOff>153812</xdr:rowOff>
    </xdr:to>
    <xdr:sp macro="" textlink="">
      <xdr:nvSpPr>
        <xdr:cNvPr id="3" name="Rectangle : coins arrondis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095B0B-9E09-6E59-5870-C96D8073063A}"/>
            </a:ext>
          </a:extLst>
        </xdr:cNvPr>
        <xdr:cNvSpPr/>
      </xdr:nvSpPr>
      <xdr:spPr>
        <a:xfrm>
          <a:off x="412750" y="4871862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Articles</a:t>
          </a:r>
          <a:endParaRPr lang="fr-FR" sz="1000" b="1" kern="1200"/>
        </a:p>
      </xdr:txBody>
    </xdr:sp>
    <xdr:clientData/>
  </xdr:twoCellAnchor>
  <xdr:twoCellAnchor>
    <xdr:from>
      <xdr:col>12</xdr:col>
      <xdr:colOff>120650</xdr:colOff>
      <xdr:row>18</xdr:row>
      <xdr:rowOff>89606</xdr:rowOff>
    </xdr:from>
    <xdr:to>
      <xdr:col>15</xdr:col>
      <xdr:colOff>12700</xdr:colOff>
      <xdr:row>20</xdr:row>
      <xdr:rowOff>159456</xdr:rowOff>
    </xdr:to>
    <xdr:sp macro="" textlink="">
      <xdr:nvSpPr>
        <xdr:cNvPr id="11" name="Rectangle : coins arrondi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CD9CB23-BA50-6BB4-DEC5-51EBCE6D7406}"/>
            </a:ext>
          </a:extLst>
        </xdr:cNvPr>
        <xdr:cNvSpPr/>
      </xdr:nvSpPr>
      <xdr:spPr>
        <a:xfrm>
          <a:off x="9264650" y="3404306"/>
          <a:ext cx="2178050" cy="438150"/>
        </a:xfrm>
        <a:prstGeom prst="roundRect">
          <a:avLst/>
        </a:prstGeom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kern="1200"/>
            <a:t>Suivi BC</a:t>
          </a:r>
          <a:endParaRPr lang="fr-FR" sz="1000" b="1" kern="1200"/>
        </a:p>
      </xdr:txBody>
    </xdr:sp>
    <xdr:clientData/>
  </xdr:twoCellAnchor>
  <xdr:twoCellAnchor editAs="oneCell">
    <xdr:from>
      <xdr:col>5</xdr:col>
      <xdr:colOff>311150</xdr:colOff>
      <xdr:row>9</xdr:row>
      <xdr:rowOff>31750</xdr:rowOff>
    </xdr:from>
    <xdr:to>
      <xdr:col>10</xdr:col>
      <xdr:colOff>198997</xdr:colOff>
      <xdr:row>26</xdr:row>
      <xdr:rowOff>65337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79EB8796-195E-6A9C-5762-7C2A2608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alphaModFix amt="3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150" y="1689100"/>
          <a:ext cx="3697847" cy="31641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1422400</xdr:colOff>
      <xdr:row>0</xdr:row>
      <xdr:rowOff>550332</xdr:rowOff>
    </xdr:from>
    <xdr:to>
      <xdr:col>4</xdr:col>
      <xdr:colOff>590550</xdr:colOff>
      <xdr:row>0</xdr:row>
      <xdr:rowOff>1072444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E5AC878-B699-D4B4-CDD1-492E76F65378}"/>
            </a:ext>
          </a:extLst>
        </xdr:cNvPr>
        <xdr:cNvSpPr txBox="1"/>
      </xdr:nvSpPr>
      <xdr:spPr>
        <a:xfrm>
          <a:off x="3024011" y="550332"/>
          <a:ext cx="3401483" cy="5221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fr-FR" sz="28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Smart eSolution</a:t>
          </a:r>
          <a:br>
            <a:rPr lang="en-US" sz="2000" b="1" i="1">
              <a:solidFill>
                <a:sysClr val="windowText" lastClr="000000"/>
              </a:solidFill>
              <a:latin typeface="Amasis MT Pro Light" panose="02040304050005020304" pitchFamily="18" charset="0"/>
            </a:rPr>
          </a:br>
          <a:endParaRPr lang="en-US" sz="1100" b="0" i="1">
            <a:solidFill>
              <a:sysClr val="windowText" lastClr="000000"/>
            </a:solidFill>
            <a:latin typeface="Amasis MT Pro Light" panose="02040304050005020304" pitchFamily="18" charset="0"/>
          </a:endParaRPr>
        </a:p>
      </xdr:txBody>
    </xdr:sp>
    <xdr:clientData/>
  </xdr:twoCellAnchor>
  <xdr:twoCellAnchor>
    <xdr:from>
      <xdr:col>7</xdr:col>
      <xdr:colOff>374650</xdr:colOff>
      <xdr:row>0</xdr:row>
      <xdr:rowOff>117475</xdr:rowOff>
    </xdr:from>
    <xdr:to>
      <xdr:col>8</xdr:col>
      <xdr:colOff>1696200</xdr:colOff>
      <xdr:row>0</xdr:row>
      <xdr:rowOff>1229995</xdr:rowOff>
    </xdr:to>
    <xdr:grpSp>
      <xdr:nvGrpSpPr>
        <xdr:cNvPr id="54" name="GrpFacture">
          <a:extLst>
            <a:ext uri="{FF2B5EF4-FFF2-40B4-BE49-F238E27FC236}">
              <a16:creationId xmlns:a16="http://schemas.microsoft.com/office/drawing/2014/main" id="{C6AA2CF5-4236-0003-5EF4-34E265C78DC4}"/>
            </a:ext>
          </a:extLst>
        </xdr:cNvPr>
        <xdr:cNvGrpSpPr/>
      </xdr:nvGrpSpPr>
      <xdr:grpSpPr>
        <a:xfrm>
          <a:off x="8453261" y="117475"/>
          <a:ext cx="3536995" cy="1112520"/>
          <a:chOff x="8147050" y="120650"/>
          <a:chExt cx="3537700" cy="1112520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1F67BD83-6C4E-695A-C709-8DDFE94BB9CF}"/>
              </a:ext>
            </a:extLst>
          </xdr:cNvPr>
          <xdr:cNvGrpSpPr/>
        </xdr:nvGrpSpPr>
        <xdr:grpSpPr>
          <a:xfrm>
            <a:off x="8147050" y="120650"/>
            <a:ext cx="1620000" cy="274320"/>
            <a:chOff x="6159500" y="1149350"/>
            <a:chExt cx="1620000" cy="274320"/>
          </a:xfrm>
        </xdr:grpSpPr>
        <xdr:sp macro="[0]!Facture_AjtNv" textlink="">
          <xdr:nvSpPr>
            <xdr:cNvPr id="6" name="Rectangle : coins arrondis 5">
              <a:extLst>
                <a:ext uri="{FF2B5EF4-FFF2-40B4-BE49-F238E27FC236}">
                  <a16:creationId xmlns:a16="http://schemas.microsoft.com/office/drawing/2014/main" id="{014B71A3-1E79-640E-E084-B234C4D639EE}"/>
                </a:ext>
              </a:extLst>
            </xdr:cNvPr>
            <xdr:cNvSpPr/>
          </xdr:nvSpPr>
          <xdr:spPr>
            <a:xfrm>
              <a:off x="6159500" y="11493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Nouvelle Facture</a:t>
              </a:r>
            </a:p>
          </xdr:txBody>
        </xdr:sp>
        <xdr:pic macro="[0]!Facture_AjtNv">
          <xdr:nvPicPr>
            <xdr:cNvPr id="14" name="Picture 13">
              <a:extLst>
                <a:ext uri="{FF2B5EF4-FFF2-40B4-BE49-F238E27FC236}">
                  <a16:creationId xmlns:a16="http://schemas.microsoft.com/office/drawing/2014/main" id="{D2AAE738-2922-5E00-3030-02A0F367BD3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1950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263A4300-A3CC-A07C-3CCB-8DCCAA05C7D8}"/>
              </a:ext>
            </a:extLst>
          </xdr:cNvPr>
          <xdr:cNvGrpSpPr/>
        </xdr:nvGrpSpPr>
        <xdr:grpSpPr>
          <a:xfrm>
            <a:off x="8147050" y="539750"/>
            <a:ext cx="1620000" cy="274320"/>
            <a:chOff x="6159500" y="1524000"/>
            <a:chExt cx="1620000" cy="274320"/>
          </a:xfrm>
        </xdr:grpSpPr>
        <xdr:sp macro="[0]!Facture_SauvMaj" textlink="">
          <xdr:nvSpPr>
            <xdr:cNvPr id="7" name="Rectangle : coins arrondis 6">
              <a:extLst>
                <a:ext uri="{FF2B5EF4-FFF2-40B4-BE49-F238E27FC236}">
                  <a16:creationId xmlns:a16="http://schemas.microsoft.com/office/drawing/2014/main" id="{4AD810D5-A4D2-CCB3-E42B-E80A74D77B95}"/>
                </a:ext>
              </a:extLst>
            </xdr:cNvPr>
            <xdr:cNvSpPr/>
          </xdr:nvSpPr>
          <xdr:spPr>
            <a:xfrm>
              <a:off x="6159500" y="15240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Sauvegarder la facture</a:t>
              </a:r>
            </a:p>
          </xdr:txBody>
        </xdr:sp>
        <xdr:pic macro="[0]!Facture_SauvMaj">
          <xdr:nvPicPr>
            <xdr:cNvPr id="16" name="Picture 15">
              <a:extLst>
                <a:ext uri="{FF2B5EF4-FFF2-40B4-BE49-F238E27FC236}">
                  <a16:creationId xmlns:a16="http://schemas.microsoft.com/office/drawing/2014/main" id="{99AC977D-BE02-4025-C59F-A05440AA4F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5697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3801BF0D-841B-A282-9207-029B5AEA3205}"/>
              </a:ext>
            </a:extLst>
          </xdr:cNvPr>
          <xdr:cNvGrpSpPr/>
        </xdr:nvGrpSpPr>
        <xdr:grpSpPr>
          <a:xfrm>
            <a:off x="10064750" y="958850"/>
            <a:ext cx="1620000" cy="274320"/>
            <a:chOff x="6159500" y="3022600"/>
            <a:chExt cx="1620000" cy="274320"/>
          </a:xfrm>
        </xdr:grpSpPr>
        <xdr:sp macro="[0]!Facture_EmailPDf" textlink="">
          <xdr:nvSpPr>
            <xdr:cNvPr id="11" name="Rectangle : coins arrondis 10">
              <a:extLst>
                <a:ext uri="{FF2B5EF4-FFF2-40B4-BE49-F238E27FC236}">
                  <a16:creationId xmlns:a16="http://schemas.microsoft.com/office/drawing/2014/main" id="{E720D353-0FD3-E594-44FD-66FB0DCDDC65}"/>
                </a:ext>
              </a:extLst>
            </xdr:cNvPr>
            <xdr:cNvSpPr/>
          </xdr:nvSpPr>
          <xdr:spPr>
            <a:xfrm>
              <a:off x="6159500" y="30226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Envoyer </a:t>
              </a:r>
              <a:r>
                <a:rPr lang="en-US" sz="1100" baseline="0">
                  <a:solidFill>
                    <a:schemeClr val="bg1"/>
                  </a:solidFill>
                </a:rPr>
                <a:t>par e-mail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Facture_EmailPDf">
          <xdr:nvPicPr>
            <xdr:cNvPr id="18" name="Picture 17">
              <a:extLst>
                <a:ext uri="{FF2B5EF4-FFF2-40B4-BE49-F238E27FC236}">
                  <a16:creationId xmlns:a16="http://schemas.microsoft.com/office/drawing/2014/main" id="{F8489E7E-3F0C-32CA-87A8-9537AA87C9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30683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41C5166C-2606-1BB0-0D87-FA3EB088BDDB}"/>
              </a:ext>
            </a:extLst>
          </xdr:cNvPr>
          <xdr:cNvGrpSpPr/>
        </xdr:nvGrpSpPr>
        <xdr:grpSpPr>
          <a:xfrm>
            <a:off x="10064750" y="539750"/>
            <a:ext cx="1620000" cy="274320"/>
            <a:chOff x="6159500" y="2647950"/>
            <a:chExt cx="1620000" cy="274320"/>
          </a:xfrm>
        </xdr:grpSpPr>
        <xdr:sp macro="[0]!Facture_PDF" textlink="">
          <xdr:nvSpPr>
            <xdr:cNvPr id="10" name="Rectangle : coins arrondis 9">
              <a:extLst>
                <a:ext uri="{FF2B5EF4-FFF2-40B4-BE49-F238E27FC236}">
                  <a16:creationId xmlns:a16="http://schemas.microsoft.com/office/drawing/2014/main" id="{51C1C698-F241-D0E8-AD7D-3BFEA4DAB169}"/>
                </a:ext>
              </a:extLst>
            </xdr:cNvPr>
            <xdr:cNvSpPr/>
          </xdr:nvSpPr>
          <xdr:spPr>
            <a:xfrm>
              <a:off x="6159500" y="26479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Exporter</a:t>
              </a:r>
              <a:r>
                <a:rPr lang="en-US" sz="1100" baseline="0">
                  <a:solidFill>
                    <a:schemeClr val="bg1"/>
                  </a:solidFill>
                </a:rPr>
                <a:t> en PDF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Facture_PDF">
          <xdr:nvPicPr>
            <xdr:cNvPr id="20" name="Picture 19">
              <a:extLst>
                <a:ext uri="{FF2B5EF4-FFF2-40B4-BE49-F238E27FC236}">
                  <a16:creationId xmlns:a16="http://schemas.microsoft.com/office/drawing/2014/main" id="{5A8E53A0-5CE0-2E60-434B-0296F76066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6936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92E715F0-D29E-001F-C733-2434E0FFD6D1}"/>
              </a:ext>
            </a:extLst>
          </xdr:cNvPr>
          <xdr:cNvGrpSpPr/>
        </xdr:nvGrpSpPr>
        <xdr:grpSpPr>
          <a:xfrm>
            <a:off x="10064750" y="120650"/>
            <a:ext cx="1620000" cy="274320"/>
            <a:chOff x="6159500" y="2273300"/>
            <a:chExt cx="1620000" cy="274320"/>
          </a:xfrm>
        </xdr:grpSpPr>
        <xdr:sp macro="[0]!Facture_Imprimer" textlink="">
          <xdr:nvSpPr>
            <xdr:cNvPr id="9" name="Rectangle : coins arrondis 8">
              <a:extLst>
                <a:ext uri="{FF2B5EF4-FFF2-40B4-BE49-F238E27FC236}">
                  <a16:creationId xmlns:a16="http://schemas.microsoft.com/office/drawing/2014/main" id="{25AE7C76-B59F-0A39-E29B-03673F9C0726}"/>
                </a:ext>
              </a:extLst>
            </xdr:cNvPr>
            <xdr:cNvSpPr/>
          </xdr:nvSpPr>
          <xdr:spPr>
            <a:xfrm>
              <a:off x="6159500" y="22733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Imprimer la facture</a:t>
              </a:r>
            </a:p>
          </xdr:txBody>
        </xdr:sp>
        <xdr:pic macro="[0]!Facture_Imprimer">
          <xdr:nvPicPr>
            <xdr:cNvPr id="22" name="Picture 21">
              <a:extLst>
                <a:ext uri="{FF2B5EF4-FFF2-40B4-BE49-F238E27FC236}">
                  <a16:creationId xmlns:a16="http://schemas.microsoft.com/office/drawing/2014/main" id="{7F222D27-B193-5C41-DA39-CBE23C106B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3190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397BB876-B4A0-2E60-DE88-D48B6AB8ADB5}"/>
              </a:ext>
            </a:extLst>
          </xdr:cNvPr>
          <xdr:cNvGrpSpPr/>
        </xdr:nvGrpSpPr>
        <xdr:grpSpPr>
          <a:xfrm>
            <a:off x="8147050" y="958850"/>
            <a:ext cx="1620000" cy="274320"/>
            <a:chOff x="6159500" y="1898650"/>
            <a:chExt cx="1620000" cy="274320"/>
          </a:xfrm>
        </xdr:grpSpPr>
        <xdr:sp macro="[0]!Facture_Supprimer" textlink="">
          <xdr:nvSpPr>
            <xdr:cNvPr id="8" name="Rectangle : coins arrondis 7">
              <a:extLst>
                <a:ext uri="{FF2B5EF4-FFF2-40B4-BE49-F238E27FC236}">
                  <a16:creationId xmlns:a16="http://schemas.microsoft.com/office/drawing/2014/main" id="{7E43B923-7940-AB6A-2097-6262BE0AC9EF}"/>
                </a:ext>
              </a:extLst>
            </xdr:cNvPr>
            <xdr:cNvSpPr/>
          </xdr:nvSpPr>
          <xdr:spPr>
            <a:xfrm>
              <a:off x="6159500" y="18986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Supprimer la</a:t>
              </a:r>
              <a:r>
                <a:rPr lang="en-US" sz="1100" baseline="0">
                  <a:solidFill>
                    <a:schemeClr val="bg1"/>
                  </a:solidFill>
                </a:rPr>
                <a:t> facture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Facture_Supprimer">
          <xdr:nvPicPr>
            <xdr:cNvPr id="24" name="Picture 23">
              <a:extLst>
                <a:ext uri="{FF2B5EF4-FFF2-40B4-BE49-F238E27FC236}">
                  <a16:creationId xmlns:a16="http://schemas.microsoft.com/office/drawing/2014/main" id="{61F2923D-B8BB-0D68-82AB-EFFA67A8C1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08180" y="1944370"/>
              <a:ext cx="16002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203906</xdr:colOff>
      <xdr:row>0</xdr:row>
      <xdr:rowOff>1174749</xdr:rowOff>
    </xdr:from>
    <xdr:to>
      <xdr:col>4</xdr:col>
      <xdr:colOff>292806</xdr:colOff>
      <xdr:row>1</xdr:row>
      <xdr:rowOff>134054</xdr:rowOff>
    </xdr:to>
    <xdr:sp macro="" textlink="">
      <xdr:nvSpPr>
        <xdr:cNvPr id="12" name="TextBox 1">
          <a:extLst>
            <a:ext uri="{FF2B5EF4-FFF2-40B4-BE49-F238E27FC236}">
              <a16:creationId xmlns:a16="http://schemas.microsoft.com/office/drawing/2014/main" id="{2338BD21-36C8-DF57-CBDB-FD06D47E150D}"/>
            </a:ext>
          </a:extLst>
        </xdr:cNvPr>
        <xdr:cNvSpPr txBox="1"/>
      </xdr:nvSpPr>
      <xdr:spPr>
        <a:xfrm>
          <a:off x="1805517" y="1174749"/>
          <a:ext cx="4322233" cy="3915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Tél.:</a:t>
          </a:r>
          <a:r>
            <a:rPr lang="fr-FR" sz="9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+213 778 133 530  </a:t>
          </a:r>
          <a:r>
            <a:rPr lang="fr-FR" sz="9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Email:</a:t>
          </a:r>
          <a:r>
            <a:rPr lang="fr-FR" sz="9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contact@excel-ses.com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Adresse: </a:t>
          </a:r>
          <a:r>
            <a:rPr lang="fr-FR" sz="9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2ème étage, 28 Rue Daïb Aïssa, Bordj El Kiffan 16031 </a:t>
          </a:r>
          <a:endParaRPr lang="fr-FR" sz="900">
            <a:effectLst/>
          </a:endParaRPr>
        </a:p>
        <a:p>
          <a:pPr algn="ctr"/>
          <a:endParaRPr lang="en-US" sz="700" b="1" i="1">
            <a:solidFill>
              <a:sysClr val="windowText" lastClr="000000"/>
            </a:solidFill>
            <a:latin typeface="Amasis MT Pro Light" panose="02040304050005020304" pitchFamily="18" charset="0"/>
          </a:endParaRPr>
        </a:p>
      </xdr:txBody>
    </xdr:sp>
    <xdr:clientData/>
  </xdr:twoCellAnchor>
  <xdr:twoCellAnchor>
    <xdr:from>
      <xdr:col>1</xdr:col>
      <xdr:colOff>431800</xdr:colOff>
      <xdr:row>0</xdr:row>
      <xdr:rowOff>1041400</xdr:rowOff>
    </xdr:from>
    <xdr:to>
      <xdr:col>5</xdr:col>
      <xdr:colOff>457200</xdr:colOff>
      <xdr:row>0</xdr:row>
      <xdr:rowOff>1041400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5F2988E1-9C5E-D650-0A66-30FF53F37A0D}"/>
            </a:ext>
          </a:extLst>
        </xdr:cNvPr>
        <xdr:cNvCxnSpPr/>
      </xdr:nvCxnSpPr>
      <xdr:spPr>
        <a:xfrm>
          <a:off x="806450" y="1041400"/>
          <a:ext cx="6140450" cy="0"/>
        </a:xfrm>
        <a:prstGeom prst="line">
          <a:avLst/>
        </a:prstGeom>
        <a:ln>
          <a:solidFill>
            <a:srgbClr val="0A753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444500</xdr:colOff>
      <xdr:row>1</xdr:row>
      <xdr:rowOff>133350</xdr:rowOff>
    </xdr:from>
    <xdr:to>
      <xdr:col>5</xdr:col>
      <xdr:colOff>469900</xdr:colOff>
      <xdr:row>1</xdr:row>
      <xdr:rowOff>133350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93D1007D-8410-9DE6-914C-2EB6627A4189}"/>
            </a:ext>
          </a:extLst>
        </xdr:cNvPr>
        <xdr:cNvCxnSpPr/>
      </xdr:nvCxnSpPr>
      <xdr:spPr>
        <a:xfrm>
          <a:off x="819150" y="1562100"/>
          <a:ext cx="6140450" cy="0"/>
        </a:xfrm>
        <a:prstGeom prst="line">
          <a:avLst/>
        </a:prstGeom>
        <a:ln>
          <a:solidFill>
            <a:srgbClr val="0A753D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0</xdr:row>
      <xdr:rowOff>117475</xdr:rowOff>
    </xdr:from>
    <xdr:to>
      <xdr:col>8</xdr:col>
      <xdr:colOff>1696200</xdr:colOff>
      <xdr:row>0</xdr:row>
      <xdr:rowOff>1229995</xdr:rowOff>
    </xdr:to>
    <xdr:grpSp>
      <xdr:nvGrpSpPr>
        <xdr:cNvPr id="56" name="GrpProforma" hidden="1">
          <a:extLst>
            <a:ext uri="{FF2B5EF4-FFF2-40B4-BE49-F238E27FC236}">
              <a16:creationId xmlns:a16="http://schemas.microsoft.com/office/drawing/2014/main" id="{631980CC-9215-233E-D938-10E906273C25}"/>
            </a:ext>
          </a:extLst>
        </xdr:cNvPr>
        <xdr:cNvGrpSpPr/>
      </xdr:nvGrpSpPr>
      <xdr:grpSpPr>
        <a:xfrm>
          <a:off x="8453261" y="117475"/>
          <a:ext cx="3536995" cy="1112520"/>
          <a:chOff x="8134350" y="3028950"/>
          <a:chExt cx="3537700" cy="1112520"/>
        </a:xfrm>
      </xdr:grpSpPr>
      <xdr:grpSp>
        <xdr:nvGrpSpPr>
          <xdr:cNvPr id="21" name="Group 24" hidden="1">
            <a:extLst>
              <a:ext uri="{FF2B5EF4-FFF2-40B4-BE49-F238E27FC236}">
                <a16:creationId xmlns:a16="http://schemas.microsoft.com/office/drawing/2014/main" id="{6AA1708E-043D-15BA-A031-2D133496527D}"/>
              </a:ext>
            </a:extLst>
          </xdr:cNvPr>
          <xdr:cNvGrpSpPr/>
        </xdr:nvGrpSpPr>
        <xdr:grpSpPr>
          <a:xfrm>
            <a:off x="8134350" y="3028950"/>
            <a:ext cx="1620000" cy="274320"/>
            <a:chOff x="6159500" y="1149350"/>
            <a:chExt cx="1620000" cy="274320"/>
          </a:xfrm>
        </xdr:grpSpPr>
        <xdr:sp macro="[0]!Proforma_AjtNv" textlink="">
          <xdr:nvSpPr>
            <xdr:cNvPr id="23" name="Rectangle : coins arrondis 22" hidden="1">
              <a:extLst>
                <a:ext uri="{FF2B5EF4-FFF2-40B4-BE49-F238E27FC236}">
                  <a16:creationId xmlns:a16="http://schemas.microsoft.com/office/drawing/2014/main" id="{BEEA7688-A92D-EAB9-5D0D-05A1F4176281}"/>
                </a:ext>
              </a:extLst>
            </xdr:cNvPr>
            <xdr:cNvSpPr/>
          </xdr:nvSpPr>
          <xdr:spPr>
            <a:xfrm>
              <a:off x="6159500" y="11493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Nouvelle proforma</a:t>
              </a:r>
            </a:p>
          </xdr:txBody>
        </xdr:sp>
        <xdr:pic macro="[0]!Facture_AjtNv">
          <xdr:nvPicPr>
            <xdr:cNvPr id="31" name="Picture 13" hidden="1">
              <a:extLst>
                <a:ext uri="{FF2B5EF4-FFF2-40B4-BE49-F238E27FC236}">
                  <a16:creationId xmlns:a16="http://schemas.microsoft.com/office/drawing/2014/main" id="{B646D362-A7D4-3CE3-C868-54FCC6E338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1950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32" name="Group 25" hidden="1">
            <a:extLst>
              <a:ext uri="{FF2B5EF4-FFF2-40B4-BE49-F238E27FC236}">
                <a16:creationId xmlns:a16="http://schemas.microsoft.com/office/drawing/2014/main" id="{C9494BB5-CAAD-79FE-4840-EE78222FD6BA}"/>
              </a:ext>
            </a:extLst>
          </xdr:cNvPr>
          <xdr:cNvGrpSpPr/>
        </xdr:nvGrpSpPr>
        <xdr:grpSpPr>
          <a:xfrm>
            <a:off x="8134350" y="3448050"/>
            <a:ext cx="1620000" cy="274320"/>
            <a:chOff x="6159500" y="1524000"/>
            <a:chExt cx="1620000" cy="274320"/>
          </a:xfrm>
        </xdr:grpSpPr>
        <xdr:sp macro="[0]!Proforma_SauvMaj" textlink="">
          <xdr:nvSpPr>
            <xdr:cNvPr id="33" name="Rectangle : coins arrondis 32" hidden="1">
              <a:extLst>
                <a:ext uri="{FF2B5EF4-FFF2-40B4-BE49-F238E27FC236}">
                  <a16:creationId xmlns:a16="http://schemas.microsoft.com/office/drawing/2014/main" id="{AF2A65D9-2E80-8CA3-A560-14C466FA690B}"/>
                </a:ext>
              </a:extLst>
            </xdr:cNvPr>
            <xdr:cNvSpPr/>
          </xdr:nvSpPr>
          <xdr:spPr>
            <a:xfrm>
              <a:off x="6159500" y="15240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rIns="36000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Sauvegarder la proforma</a:t>
              </a:r>
            </a:p>
          </xdr:txBody>
        </xdr:sp>
        <xdr:pic macro="[0]!Proforma_SauvMaj">
          <xdr:nvPicPr>
            <xdr:cNvPr id="34" name="Picture 15" hidden="1">
              <a:extLst>
                <a:ext uri="{FF2B5EF4-FFF2-40B4-BE49-F238E27FC236}">
                  <a16:creationId xmlns:a16="http://schemas.microsoft.com/office/drawing/2014/main" id="{AAE8C4B6-8A8C-AF2E-2468-1F825F1E8F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5697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35" name="Group 29" hidden="1">
            <a:extLst>
              <a:ext uri="{FF2B5EF4-FFF2-40B4-BE49-F238E27FC236}">
                <a16:creationId xmlns:a16="http://schemas.microsoft.com/office/drawing/2014/main" id="{266FA523-E480-F945-0720-A6B25D6AA549}"/>
              </a:ext>
            </a:extLst>
          </xdr:cNvPr>
          <xdr:cNvGrpSpPr/>
        </xdr:nvGrpSpPr>
        <xdr:grpSpPr>
          <a:xfrm>
            <a:off x="10052050" y="3867150"/>
            <a:ext cx="1620000" cy="274320"/>
            <a:chOff x="6159500" y="3022600"/>
            <a:chExt cx="1620000" cy="274320"/>
          </a:xfrm>
        </xdr:grpSpPr>
        <xdr:sp macro="[0]!Proforma_EmailPDf" textlink="">
          <xdr:nvSpPr>
            <xdr:cNvPr id="37" name="Rectangle : coins arrondis 36" hidden="1">
              <a:extLst>
                <a:ext uri="{FF2B5EF4-FFF2-40B4-BE49-F238E27FC236}">
                  <a16:creationId xmlns:a16="http://schemas.microsoft.com/office/drawing/2014/main" id="{72AAE90B-597D-EFF0-00A6-A8C0D74700F4}"/>
                </a:ext>
              </a:extLst>
            </xdr:cNvPr>
            <xdr:cNvSpPr/>
          </xdr:nvSpPr>
          <xdr:spPr>
            <a:xfrm>
              <a:off x="6159500" y="30226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Envoyer </a:t>
              </a:r>
              <a:r>
                <a:rPr lang="en-US" sz="1100" baseline="0">
                  <a:solidFill>
                    <a:schemeClr val="bg1"/>
                  </a:solidFill>
                </a:rPr>
                <a:t>par e-mail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Proforma_EmailPDf">
          <xdr:nvPicPr>
            <xdr:cNvPr id="38" name="Picture 17" hidden="1">
              <a:extLst>
                <a:ext uri="{FF2B5EF4-FFF2-40B4-BE49-F238E27FC236}">
                  <a16:creationId xmlns:a16="http://schemas.microsoft.com/office/drawing/2014/main" id="{BFCA859E-E24D-E402-C0F3-6C6B314F4E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30683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39" name="Group 28" hidden="1">
            <a:extLst>
              <a:ext uri="{FF2B5EF4-FFF2-40B4-BE49-F238E27FC236}">
                <a16:creationId xmlns:a16="http://schemas.microsoft.com/office/drawing/2014/main" id="{8B1F3056-2DF6-DD86-4FA6-657CB0782F86}"/>
              </a:ext>
            </a:extLst>
          </xdr:cNvPr>
          <xdr:cNvGrpSpPr/>
        </xdr:nvGrpSpPr>
        <xdr:grpSpPr>
          <a:xfrm>
            <a:off x="10052050" y="3448050"/>
            <a:ext cx="1620000" cy="274320"/>
            <a:chOff x="6159500" y="2647950"/>
            <a:chExt cx="1620000" cy="274320"/>
          </a:xfrm>
        </xdr:grpSpPr>
        <xdr:sp macro="[0]!Proforma_PDF" textlink="">
          <xdr:nvSpPr>
            <xdr:cNvPr id="40" name="Rectangle : coins arrondis 39" hidden="1">
              <a:extLst>
                <a:ext uri="{FF2B5EF4-FFF2-40B4-BE49-F238E27FC236}">
                  <a16:creationId xmlns:a16="http://schemas.microsoft.com/office/drawing/2014/main" id="{97493A85-6BE6-FD63-CBB7-C8C198267766}"/>
                </a:ext>
              </a:extLst>
            </xdr:cNvPr>
            <xdr:cNvSpPr/>
          </xdr:nvSpPr>
          <xdr:spPr>
            <a:xfrm>
              <a:off x="6159500" y="26479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Exporter</a:t>
              </a:r>
              <a:r>
                <a:rPr lang="en-US" sz="1100" baseline="0">
                  <a:solidFill>
                    <a:schemeClr val="bg1"/>
                  </a:solidFill>
                </a:rPr>
                <a:t> en PDF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Proforma_PDF">
          <xdr:nvPicPr>
            <xdr:cNvPr id="41" name="Picture 19" hidden="1">
              <a:extLst>
                <a:ext uri="{FF2B5EF4-FFF2-40B4-BE49-F238E27FC236}">
                  <a16:creationId xmlns:a16="http://schemas.microsoft.com/office/drawing/2014/main" id="{119AA100-4B3D-B978-FB44-4F0ACDD5F8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6936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42" name="Group 27" hidden="1">
            <a:extLst>
              <a:ext uri="{FF2B5EF4-FFF2-40B4-BE49-F238E27FC236}">
                <a16:creationId xmlns:a16="http://schemas.microsoft.com/office/drawing/2014/main" id="{5E257FEB-24DF-9EA2-46C9-2018CB79EBBD}"/>
              </a:ext>
            </a:extLst>
          </xdr:cNvPr>
          <xdr:cNvGrpSpPr/>
        </xdr:nvGrpSpPr>
        <xdr:grpSpPr>
          <a:xfrm>
            <a:off x="10052050" y="3028950"/>
            <a:ext cx="1620000" cy="274320"/>
            <a:chOff x="6159500" y="2273300"/>
            <a:chExt cx="1620000" cy="274320"/>
          </a:xfrm>
        </xdr:grpSpPr>
        <xdr:sp macro="[0]!Proforma_Imprimer" textlink="">
          <xdr:nvSpPr>
            <xdr:cNvPr id="43" name="Rectangle : coins arrondis 42" hidden="1">
              <a:extLst>
                <a:ext uri="{FF2B5EF4-FFF2-40B4-BE49-F238E27FC236}">
                  <a16:creationId xmlns:a16="http://schemas.microsoft.com/office/drawing/2014/main" id="{3D2C2807-40CF-D9D7-BFB8-35C7F233122B}"/>
                </a:ext>
              </a:extLst>
            </xdr:cNvPr>
            <xdr:cNvSpPr/>
          </xdr:nvSpPr>
          <xdr:spPr>
            <a:xfrm>
              <a:off x="6159500" y="22733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Imprimer la</a:t>
              </a:r>
              <a:r>
                <a:rPr lang="en-US" sz="1100" baseline="0">
                  <a:solidFill>
                    <a:schemeClr val="bg1"/>
                  </a:solidFill>
                </a:rPr>
                <a:t> proforma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Proforma_Imprimer">
          <xdr:nvPicPr>
            <xdr:cNvPr id="44" name="Picture 21" hidden="1">
              <a:extLst>
                <a:ext uri="{FF2B5EF4-FFF2-40B4-BE49-F238E27FC236}">
                  <a16:creationId xmlns:a16="http://schemas.microsoft.com/office/drawing/2014/main" id="{6EC40B36-BC0D-DF9E-3019-1B53550D4F7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3190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45" name="Group 26" hidden="1">
            <a:extLst>
              <a:ext uri="{FF2B5EF4-FFF2-40B4-BE49-F238E27FC236}">
                <a16:creationId xmlns:a16="http://schemas.microsoft.com/office/drawing/2014/main" id="{C460723C-B72E-2B55-D44B-50272452C168}"/>
              </a:ext>
            </a:extLst>
          </xdr:cNvPr>
          <xdr:cNvGrpSpPr/>
        </xdr:nvGrpSpPr>
        <xdr:grpSpPr>
          <a:xfrm>
            <a:off x="8134350" y="3867150"/>
            <a:ext cx="1620000" cy="274320"/>
            <a:chOff x="6159500" y="1898650"/>
            <a:chExt cx="1620000" cy="274320"/>
          </a:xfrm>
        </xdr:grpSpPr>
        <xdr:sp macro="[0]!proforma_Supprimer" textlink="">
          <xdr:nvSpPr>
            <xdr:cNvPr id="46" name="Rectangle : coins arrondis 45" hidden="1">
              <a:extLst>
                <a:ext uri="{FF2B5EF4-FFF2-40B4-BE49-F238E27FC236}">
                  <a16:creationId xmlns:a16="http://schemas.microsoft.com/office/drawing/2014/main" id="{CCF9651B-8D2D-0AE3-A65A-E28061925647}"/>
                </a:ext>
              </a:extLst>
            </xdr:cNvPr>
            <xdr:cNvSpPr/>
          </xdr:nvSpPr>
          <xdr:spPr>
            <a:xfrm>
              <a:off x="6159500" y="18986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Supprimer la</a:t>
              </a:r>
              <a:r>
                <a:rPr lang="en-US" sz="1100" baseline="0">
                  <a:solidFill>
                    <a:schemeClr val="bg1"/>
                  </a:solidFill>
                </a:rPr>
                <a:t> proforma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proforma_Supprimer">
          <xdr:nvPicPr>
            <xdr:cNvPr id="47" name="Picture 23" hidden="1">
              <a:extLst>
                <a:ext uri="{FF2B5EF4-FFF2-40B4-BE49-F238E27FC236}">
                  <a16:creationId xmlns:a16="http://schemas.microsoft.com/office/drawing/2014/main" id="{717FC117-3E08-200B-9977-13B483026A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08180" y="1944370"/>
              <a:ext cx="16002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374650</xdr:colOff>
      <xdr:row>0</xdr:row>
      <xdr:rowOff>111125</xdr:rowOff>
    </xdr:from>
    <xdr:to>
      <xdr:col>7</xdr:col>
      <xdr:colOff>1994650</xdr:colOff>
      <xdr:row>0</xdr:row>
      <xdr:rowOff>1223645</xdr:rowOff>
    </xdr:to>
    <xdr:grpSp>
      <xdr:nvGrpSpPr>
        <xdr:cNvPr id="3" name="GrpDemande" hidden="1">
          <a:extLst>
            <a:ext uri="{FF2B5EF4-FFF2-40B4-BE49-F238E27FC236}">
              <a16:creationId xmlns:a16="http://schemas.microsoft.com/office/drawing/2014/main" id="{42124C50-2917-BC1B-C595-5A3630473B7D}"/>
            </a:ext>
          </a:extLst>
        </xdr:cNvPr>
        <xdr:cNvGrpSpPr/>
      </xdr:nvGrpSpPr>
      <xdr:grpSpPr>
        <a:xfrm>
          <a:off x="8453261" y="111125"/>
          <a:ext cx="1620000" cy="1112520"/>
          <a:chOff x="10052050" y="3028950"/>
          <a:chExt cx="1620000" cy="1112520"/>
        </a:xfrm>
      </xdr:grpSpPr>
      <xdr:grpSp>
        <xdr:nvGrpSpPr>
          <xdr:cNvPr id="13" name="Group 29" hidden="1">
            <a:extLst>
              <a:ext uri="{FF2B5EF4-FFF2-40B4-BE49-F238E27FC236}">
                <a16:creationId xmlns:a16="http://schemas.microsoft.com/office/drawing/2014/main" id="{90D4F3A4-6AF8-B309-F764-34DBA5605EE4}"/>
              </a:ext>
            </a:extLst>
          </xdr:cNvPr>
          <xdr:cNvGrpSpPr/>
        </xdr:nvGrpSpPr>
        <xdr:grpSpPr>
          <a:xfrm>
            <a:off x="10052050" y="3867150"/>
            <a:ext cx="1620000" cy="274320"/>
            <a:chOff x="6159500" y="3022600"/>
            <a:chExt cx="1620000" cy="274320"/>
          </a:xfrm>
        </xdr:grpSpPr>
        <xdr:sp macro="[0]!Demande_EmailPDf" textlink="">
          <xdr:nvSpPr>
            <xdr:cNvPr id="58" name="Rectangle : coins arrondis 57" hidden="1">
              <a:extLst>
                <a:ext uri="{FF2B5EF4-FFF2-40B4-BE49-F238E27FC236}">
                  <a16:creationId xmlns:a16="http://schemas.microsoft.com/office/drawing/2014/main" id="{A4BA1292-5B0A-0BE0-1B60-36F1C8550AEC}"/>
                </a:ext>
              </a:extLst>
            </xdr:cNvPr>
            <xdr:cNvSpPr/>
          </xdr:nvSpPr>
          <xdr:spPr>
            <a:xfrm>
              <a:off x="6159500" y="30226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Envoyer </a:t>
              </a:r>
              <a:r>
                <a:rPr lang="en-US" sz="1100" baseline="0">
                  <a:solidFill>
                    <a:schemeClr val="bg1"/>
                  </a:solidFill>
                </a:rPr>
                <a:t>par e-mail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Demande_EmailPDf">
          <xdr:nvPicPr>
            <xdr:cNvPr id="59" name="Picture 17" hidden="1">
              <a:extLst>
                <a:ext uri="{FF2B5EF4-FFF2-40B4-BE49-F238E27FC236}">
                  <a16:creationId xmlns:a16="http://schemas.microsoft.com/office/drawing/2014/main" id="{C829EC80-E2EB-9294-9BCA-F9A5A21BD0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30683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7" name="Group 28" hidden="1">
            <a:extLst>
              <a:ext uri="{FF2B5EF4-FFF2-40B4-BE49-F238E27FC236}">
                <a16:creationId xmlns:a16="http://schemas.microsoft.com/office/drawing/2014/main" id="{2DCBF0A1-5E15-A81F-6E03-A67BDA4C61AB}"/>
              </a:ext>
            </a:extLst>
          </xdr:cNvPr>
          <xdr:cNvGrpSpPr/>
        </xdr:nvGrpSpPr>
        <xdr:grpSpPr>
          <a:xfrm>
            <a:off x="10052050" y="3448050"/>
            <a:ext cx="1620000" cy="274320"/>
            <a:chOff x="6159500" y="2647950"/>
            <a:chExt cx="1620000" cy="274320"/>
          </a:xfrm>
        </xdr:grpSpPr>
        <xdr:sp macro="[0]!Demande_PDF" textlink="">
          <xdr:nvSpPr>
            <xdr:cNvPr id="55" name="Rectangle : coins arrondis 54" hidden="1">
              <a:extLst>
                <a:ext uri="{FF2B5EF4-FFF2-40B4-BE49-F238E27FC236}">
                  <a16:creationId xmlns:a16="http://schemas.microsoft.com/office/drawing/2014/main" id="{1620CEF5-6150-2F83-1720-88C13A2D0FA0}"/>
                </a:ext>
              </a:extLst>
            </xdr:cNvPr>
            <xdr:cNvSpPr/>
          </xdr:nvSpPr>
          <xdr:spPr>
            <a:xfrm>
              <a:off x="6159500" y="26479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Exporter</a:t>
              </a:r>
              <a:r>
                <a:rPr lang="en-US" sz="1100" baseline="0">
                  <a:solidFill>
                    <a:schemeClr val="bg1"/>
                  </a:solidFill>
                </a:rPr>
                <a:t> en PDF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Demande_PDF">
          <xdr:nvPicPr>
            <xdr:cNvPr id="57" name="Picture 19" hidden="1">
              <a:extLst>
                <a:ext uri="{FF2B5EF4-FFF2-40B4-BE49-F238E27FC236}">
                  <a16:creationId xmlns:a16="http://schemas.microsoft.com/office/drawing/2014/main" id="{17B52FA1-A7C6-C2C8-68AD-FF5596AF51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6936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48" name="Group 27" hidden="1">
            <a:extLst>
              <a:ext uri="{FF2B5EF4-FFF2-40B4-BE49-F238E27FC236}">
                <a16:creationId xmlns:a16="http://schemas.microsoft.com/office/drawing/2014/main" id="{4FB28B3E-E676-DAA6-F5BB-501D62D0CB7D}"/>
              </a:ext>
            </a:extLst>
          </xdr:cNvPr>
          <xdr:cNvGrpSpPr/>
        </xdr:nvGrpSpPr>
        <xdr:grpSpPr>
          <a:xfrm>
            <a:off x="10052050" y="3028950"/>
            <a:ext cx="1620000" cy="274320"/>
            <a:chOff x="6159500" y="2273300"/>
            <a:chExt cx="1620000" cy="274320"/>
          </a:xfrm>
        </xdr:grpSpPr>
        <xdr:sp macro="[0]!Demande_Imprimer" textlink="">
          <xdr:nvSpPr>
            <xdr:cNvPr id="52" name="Rectangle : coins arrondis 51" hidden="1">
              <a:extLst>
                <a:ext uri="{FF2B5EF4-FFF2-40B4-BE49-F238E27FC236}">
                  <a16:creationId xmlns:a16="http://schemas.microsoft.com/office/drawing/2014/main" id="{2CB9A343-B145-463B-3663-6CA6C8E83EF4}"/>
                </a:ext>
              </a:extLst>
            </xdr:cNvPr>
            <xdr:cNvSpPr/>
          </xdr:nvSpPr>
          <xdr:spPr>
            <a:xfrm>
              <a:off x="6159500" y="22733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Imprimer </a:t>
              </a:r>
            </a:p>
          </xdr:txBody>
        </xdr:sp>
        <xdr:pic macro="[0]!Demande_Imprimer">
          <xdr:nvPicPr>
            <xdr:cNvPr id="53" name="Picture 21" hidden="1">
              <a:extLst>
                <a:ext uri="{FF2B5EF4-FFF2-40B4-BE49-F238E27FC236}">
                  <a16:creationId xmlns:a16="http://schemas.microsoft.com/office/drawing/2014/main" id="{FD5D82B7-8C61-34D0-0CA3-8F5B69B1F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31902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381000</xdr:colOff>
      <xdr:row>0</xdr:row>
      <xdr:rowOff>117475</xdr:rowOff>
    </xdr:from>
    <xdr:to>
      <xdr:col>8</xdr:col>
      <xdr:colOff>1702550</xdr:colOff>
      <xdr:row>0</xdr:row>
      <xdr:rowOff>1229995</xdr:rowOff>
    </xdr:to>
    <xdr:grpSp>
      <xdr:nvGrpSpPr>
        <xdr:cNvPr id="64" name="GrpBL" hidden="1">
          <a:extLst>
            <a:ext uri="{FF2B5EF4-FFF2-40B4-BE49-F238E27FC236}">
              <a16:creationId xmlns:a16="http://schemas.microsoft.com/office/drawing/2014/main" id="{CE35BB36-C059-519D-C053-9CADD4AC477A}"/>
            </a:ext>
          </a:extLst>
        </xdr:cNvPr>
        <xdr:cNvGrpSpPr/>
      </xdr:nvGrpSpPr>
      <xdr:grpSpPr>
        <a:xfrm>
          <a:off x="8459611" y="117475"/>
          <a:ext cx="3536995" cy="1112520"/>
          <a:chOff x="8147050" y="120650"/>
          <a:chExt cx="3537700" cy="1112520"/>
        </a:xfrm>
      </xdr:grpSpPr>
      <xdr:grpSp>
        <xdr:nvGrpSpPr>
          <xdr:cNvPr id="65" name="Group 24" hidden="1">
            <a:extLst>
              <a:ext uri="{FF2B5EF4-FFF2-40B4-BE49-F238E27FC236}">
                <a16:creationId xmlns:a16="http://schemas.microsoft.com/office/drawing/2014/main" id="{FDBF3F15-71AD-7553-DA28-4EB14B761985}"/>
              </a:ext>
            </a:extLst>
          </xdr:cNvPr>
          <xdr:cNvGrpSpPr/>
        </xdr:nvGrpSpPr>
        <xdr:grpSpPr>
          <a:xfrm>
            <a:off x="8147050" y="120650"/>
            <a:ext cx="1620000" cy="274320"/>
            <a:chOff x="6159500" y="1149350"/>
            <a:chExt cx="1620000" cy="274320"/>
          </a:xfrm>
        </xdr:grpSpPr>
        <xdr:sp macro="[0]!BL_AjtNv" textlink="">
          <xdr:nvSpPr>
            <xdr:cNvPr id="81" name="Rectangle : coins arrondis 80" hidden="1">
              <a:extLst>
                <a:ext uri="{FF2B5EF4-FFF2-40B4-BE49-F238E27FC236}">
                  <a16:creationId xmlns:a16="http://schemas.microsoft.com/office/drawing/2014/main" id="{126EAC50-D322-5C3D-D4A5-A3BCA179ED1B}"/>
                </a:ext>
              </a:extLst>
            </xdr:cNvPr>
            <xdr:cNvSpPr/>
          </xdr:nvSpPr>
          <xdr:spPr>
            <a:xfrm>
              <a:off x="6159500" y="11493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Nouveau</a:t>
              </a:r>
              <a:r>
                <a:rPr lang="en-US" sz="1100" baseline="0">
                  <a:solidFill>
                    <a:schemeClr val="bg1"/>
                  </a:solidFill>
                </a:rPr>
                <a:t> BL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L_AjtNv">
          <xdr:nvPicPr>
            <xdr:cNvPr id="82" name="Picture 13" hidden="1">
              <a:extLst>
                <a:ext uri="{FF2B5EF4-FFF2-40B4-BE49-F238E27FC236}">
                  <a16:creationId xmlns:a16="http://schemas.microsoft.com/office/drawing/2014/main" id="{E0B5DA8A-9BA2-01A9-46CE-0BD178993E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1950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6" name="Group 25" hidden="1">
            <a:extLst>
              <a:ext uri="{FF2B5EF4-FFF2-40B4-BE49-F238E27FC236}">
                <a16:creationId xmlns:a16="http://schemas.microsoft.com/office/drawing/2014/main" id="{FB0CA7D8-337C-4DE9-D79A-35175EAA741A}"/>
              </a:ext>
            </a:extLst>
          </xdr:cNvPr>
          <xdr:cNvGrpSpPr/>
        </xdr:nvGrpSpPr>
        <xdr:grpSpPr>
          <a:xfrm>
            <a:off x="8147050" y="539750"/>
            <a:ext cx="1620000" cy="274320"/>
            <a:chOff x="6159500" y="1524000"/>
            <a:chExt cx="1620000" cy="274320"/>
          </a:xfrm>
        </xdr:grpSpPr>
        <xdr:sp macro="[0]!BL_SauvMaj" textlink="">
          <xdr:nvSpPr>
            <xdr:cNvPr id="79" name="Rectangle : coins arrondis 78" hidden="1">
              <a:extLst>
                <a:ext uri="{FF2B5EF4-FFF2-40B4-BE49-F238E27FC236}">
                  <a16:creationId xmlns:a16="http://schemas.microsoft.com/office/drawing/2014/main" id="{3BFB1A06-2C9F-BAF2-FC2D-F1787D050364}"/>
                </a:ext>
              </a:extLst>
            </xdr:cNvPr>
            <xdr:cNvSpPr/>
          </xdr:nvSpPr>
          <xdr:spPr>
            <a:xfrm>
              <a:off x="6159500" y="15240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Sauvegarder le</a:t>
              </a:r>
              <a:r>
                <a:rPr lang="en-US" sz="1100" baseline="0">
                  <a:solidFill>
                    <a:schemeClr val="bg1"/>
                  </a:solidFill>
                </a:rPr>
                <a:t> BL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L_SauvMaj">
          <xdr:nvPicPr>
            <xdr:cNvPr id="80" name="Picture 15" hidden="1">
              <a:extLst>
                <a:ext uri="{FF2B5EF4-FFF2-40B4-BE49-F238E27FC236}">
                  <a16:creationId xmlns:a16="http://schemas.microsoft.com/office/drawing/2014/main" id="{9BD2C637-5C66-A6EC-5942-D671818B0A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5697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29" hidden="1">
            <a:extLst>
              <a:ext uri="{FF2B5EF4-FFF2-40B4-BE49-F238E27FC236}">
                <a16:creationId xmlns:a16="http://schemas.microsoft.com/office/drawing/2014/main" id="{B6448CC6-A732-3C9D-F599-3F74903590B9}"/>
              </a:ext>
            </a:extLst>
          </xdr:cNvPr>
          <xdr:cNvGrpSpPr/>
        </xdr:nvGrpSpPr>
        <xdr:grpSpPr>
          <a:xfrm>
            <a:off x="10064750" y="958850"/>
            <a:ext cx="1620000" cy="274320"/>
            <a:chOff x="6159500" y="3022600"/>
            <a:chExt cx="1620000" cy="274320"/>
          </a:xfrm>
        </xdr:grpSpPr>
        <xdr:sp macro="[0]!BL_EmailPDf" textlink="">
          <xdr:nvSpPr>
            <xdr:cNvPr id="77" name="Rectangle : coins arrondis 76" hidden="1">
              <a:extLst>
                <a:ext uri="{FF2B5EF4-FFF2-40B4-BE49-F238E27FC236}">
                  <a16:creationId xmlns:a16="http://schemas.microsoft.com/office/drawing/2014/main" id="{EC7777DB-5532-1182-38C6-7B4BFB1C62D2}"/>
                </a:ext>
              </a:extLst>
            </xdr:cNvPr>
            <xdr:cNvSpPr/>
          </xdr:nvSpPr>
          <xdr:spPr>
            <a:xfrm>
              <a:off x="6159500" y="30226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Envoyer </a:t>
              </a:r>
              <a:r>
                <a:rPr lang="en-US" sz="1100" baseline="0">
                  <a:solidFill>
                    <a:schemeClr val="bg1"/>
                  </a:solidFill>
                </a:rPr>
                <a:t>par e-mail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L_EmailPDf">
          <xdr:nvPicPr>
            <xdr:cNvPr id="78" name="Picture 17" hidden="1">
              <a:extLst>
                <a:ext uri="{FF2B5EF4-FFF2-40B4-BE49-F238E27FC236}">
                  <a16:creationId xmlns:a16="http://schemas.microsoft.com/office/drawing/2014/main" id="{D91A499E-A27C-CDA9-3144-4AA9D6313B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30683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8" name="Group 28" hidden="1">
            <a:extLst>
              <a:ext uri="{FF2B5EF4-FFF2-40B4-BE49-F238E27FC236}">
                <a16:creationId xmlns:a16="http://schemas.microsoft.com/office/drawing/2014/main" id="{FC49E0ED-A322-983E-19E1-0C798176828D}"/>
              </a:ext>
            </a:extLst>
          </xdr:cNvPr>
          <xdr:cNvGrpSpPr/>
        </xdr:nvGrpSpPr>
        <xdr:grpSpPr>
          <a:xfrm>
            <a:off x="10064750" y="539750"/>
            <a:ext cx="1620000" cy="274320"/>
            <a:chOff x="6159500" y="2647950"/>
            <a:chExt cx="1620000" cy="274320"/>
          </a:xfrm>
        </xdr:grpSpPr>
        <xdr:sp macro="[0]!BL_PDF" textlink="">
          <xdr:nvSpPr>
            <xdr:cNvPr id="75" name="Rectangle : coins arrondis 74" hidden="1">
              <a:extLst>
                <a:ext uri="{FF2B5EF4-FFF2-40B4-BE49-F238E27FC236}">
                  <a16:creationId xmlns:a16="http://schemas.microsoft.com/office/drawing/2014/main" id="{18ABD26E-0D11-8A46-244B-DEFB022A9C67}"/>
                </a:ext>
              </a:extLst>
            </xdr:cNvPr>
            <xdr:cNvSpPr/>
          </xdr:nvSpPr>
          <xdr:spPr>
            <a:xfrm>
              <a:off x="6159500" y="26479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Exporter</a:t>
              </a:r>
              <a:r>
                <a:rPr lang="en-US" sz="1100" baseline="0">
                  <a:solidFill>
                    <a:schemeClr val="bg1"/>
                  </a:solidFill>
                </a:rPr>
                <a:t> en PDF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L_PDF">
          <xdr:nvPicPr>
            <xdr:cNvPr id="76" name="Picture 19" hidden="1">
              <a:extLst>
                <a:ext uri="{FF2B5EF4-FFF2-40B4-BE49-F238E27FC236}">
                  <a16:creationId xmlns:a16="http://schemas.microsoft.com/office/drawing/2014/main" id="{07D7864E-FF1A-B61B-EDAB-E63EBCED85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6936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9" name="Group 27" hidden="1">
            <a:extLst>
              <a:ext uri="{FF2B5EF4-FFF2-40B4-BE49-F238E27FC236}">
                <a16:creationId xmlns:a16="http://schemas.microsoft.com/office/drawing/2014/main" id="{8874B9CA-2A9C-2884-6D76-A82119F97870}"/>
              </a:ext>
            </a:extLst>
          </xdr:cNvPr>
          <xdr:cNvGrpSpPr/>
        </xdr:nvGrpSpPr>
        <xdr:grpSpPr>
          <a:xfrm>
            <a:off x="10064750" y="120650"/>
            <a:ext cx="1620000" cy="274320"/>
            <a:chOff x="6159500" y="2273300"/>
            <a:chExt cx="1620000" cy="274320"/>
          </a:xfrm>
        </xdr:grpSpPr>
        <xdr:sp macro="[0]!BL_Imprimer" textlink="">
          <xdr:nvSpPr>
            <xdr:cNvPr id="73" name="Rectangle : coins arrondis 72" hidden="1">
              <a:extLst>
                <a:ext uri="{FF2B5EF4-FFF2-40B4-BE49-F238E27FC236}">
                  <a16:creationId xmlns:a16="http://schemas.microsoft.com/office/drawing/2014/main" id="{80B48887-8FB9-B4C9-C094-2CC0707DC208}"/>
                </a:ext>
              </a:extLst>
            </xdr:cNvPr>
            <xdr:cNvSpPr/>
          </xdr:nvSpPr>
          <xdr:spPr>
            <a:xfrm>
              <a:off x="6159500" y="22733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Imprimer le BL</a:t>
              </a:r>
            </a:p>
          </xdr:txBody>
        </xdr:sp>
        <xdr:pic macro="[0]!BL_Imprimer">
          <xdr:nvPicPr>
            <xdr:cNvPr id="74" name="Picture 21" hidden="1">
              <a:extLst>
                <a:ext uri="{FF2B5EF4-FFF2-40B4-BE49-F238E27FC236}">
                  <a16:creationId xmlns:a16="http://schemas.microsoft.com/office/drawing/2014/main" id="{5091B2F4-710D-9932-7982-72813F74C2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3190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70" name="Group 26" hidden="1">
            <a:extLst>
              <a:ext uri="{FF2B5EF4-FFF2-40B4-BE49-F238E27FC236}">
                <a16:creationId xmlns:a16="http://schemas.microsoft.com/office/drawing/2014/main" id="{981BEEC5-FA4C-9202-48A6-0D64BE336AFC}"/>
              </a:ext>
            </a:extLst>
          </xdr:cNvPr>
          <xdr:cNvGrpSpPr/>
        </xdr:nvGrpSpPr>
        <xdr:grpSpPr>
          <a:xfrm>
            <a:off x="8147050" y="958850"/>
            <a:ext cx="1620000" cy="274320"/>
            <a:chOff x="6159500" y="1898650"/>
            <a:chExt cx="1620000" cy="274320"/>
          </a:xfrm>
        </xdr:grpSpPr>
        <xdr:sp macro="[0]!BL_Supprimer" textlink="">
          <xdr:nvSpPr>
            <xdr:cNvPr id="71" name="Rectangle : coins arrondis 70" hidden="1">
              <a:extLst>
                <a:ext uri="{FF2B5EF4-FFF2-40B4-BE49-F238E27FC236}">
                  <a16:creationId xmlns:a16="http://schemas.microsoft.com/office/drawing/2014/main" id="{7E4C506D-81C3-8785-31D3-7A059F2C2813}"/>
                </a:ext>
              </a:extLst>
            </xdr:cNvPr>
            <xdr:cNvSpPr/>
          </xdr:nvSpPr>
          <xdr:spPr>
            <a:xfrm>
              <a:off x="6159500" y="18986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Supprimer le BL</a:t>
              </a:r>
            </a:p>
          </xdr:txBody>
        </xdr:sp>
        <xdr:pic macro="[0]!BL_Supprimer">
          <xdr:nvPicPr>
            <xdr:cNvPr id="72" name="Picture 23" hidden="1">
              <a:extLst>
                <a:ext uri="{FF2B5EF4-FFF2-40B4-BE49-F238E27FC236}">
                  <a16:creationId xmlns:a16="http://schemas.microsoft.com/office/drawing/2014/main" id="{86259188-857F-D9F4-2E00-0681B4BC03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08180" y="1944370"/>
              <a:ext cx="16002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5" name="Graphique 4" descr="Logement avec un remplissage uni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377332C-A981-EF77-5F4C-123A83D16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  <xdr:twoCellAnchor>
    <xdr:from>
      <xdr:col>7</xdr:col>
      <xdr:colOff>371122</xdr:colOff>
      <xdr:row>0</xdr:row>
      <xdr:rowOff>114653</xdr:rowOff>
    </xdr:from>
    <xdr:to>
      <xdr:col>8</xdr:col>
      <xdr:colOff>1692672</xdr:colOff>
      <xdr:row>0</xdr:row>
      <xdr:rowOff>1227173</xdr:rowOff>
    </xdr:to>
    <xdr:grpSp>
      <xdr:nvGrpSpPr>
        <xdr:cNvPr id="4" name="GrpBC" hidden="1">
          <a:extLst>
            <a:ext uri="{FF2B5EF4-FFF2-40B4-BE49-F238E27FC236}">
              <a16:creationId xmlns:a16="http://schemas.microsoft.com/office/drawing/2014/main" id="{6ED69F80-364B-6EEA-E928-71D93B0EA5EB}"/>
            </a:ext>
          </a:extLst>
        </xdr:cNvPr>
        <xdr:cNvGrpSpPr/>
      </xdr:nvGrpSpPr>
      <xdr:grpSpPr>
        <a:xfrm>
          <a:off x="8449733" y="114653"/>
          <a:ext cx="3536995" cy="1112520"/>
          <a:chOff x="8147050" y="120650"/>
          <a:chExt cx="3537700" cy="1112520"/>
        </a:xfrm>
      </xdr:grpSpPr>
      <xdr:grpSp>
        <xdr:nvGrpSpPr>
          <xdr:cNvPr id="49" name="Group 24" hidden="1">
            <a:extLst>
              <a:ext uri="{FF2B5EF4-FFF2-40B4-BE49-F238E27FC236}">
                <a16:creationId xmlns:a16="http://schemas.microsoft.com/office/drawing/2014/main" id="{CBC37505-9ED2-C85B-8C82-295BEC130777}"/>
              </a:ext>
            </a:extLst>
          </xdr:cNvPr>
          <xdr:cNvGrpSpPr/>
        </xdr:nvGrpSpPr>
        <xdr:grpSpPr>
          <a:xfrm>
            <a:off x="8147050" y="120650"/>
            <a:ext cx="1620000" cy="274320"/>
            <a:chOff x="6159500" y="1149350"/>
            <a:chExt cx="1620000" cy="274320"/>
          </a:xfrm>
        </xdr:grpSpPr>
        <xdr:sp macro="[0]!BC_AjtNv" textlink="">
          <xdr:nvSpPr>
            <xdr:cNvPr id="92" name="Rectangle : coins arrondis 91" hidden="1">
              <a:extLst>
                <a:ext uri="{FF2B5EF4-FFF2-40B4-BE49-F238E27FC236}">
                  <a16:creationId xmlns:a16="http://schemas.microsoft.com/office/drawing/2014/main" id="{64F81791-B5E8-F29A-740B-29BA11604C2B}"/>
                </a:ext>
              </a:extLst>
            </xdr:cNvPr>
            <xdr:cNvSpPr/>
          </xdr:nvSpPr>
          <xdr:spPr>
            <a:xfrm>
              <a:off x="6159500" y="11493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Nouveau</a:t>
              </a:r>
              <a:r>
                <a:rPr lang="en-US" sz="1100" baseline="0">
                  <a:solidFill>
                    <a:schemeClr val="bg1"/>
                  </a:solidFill>
                </a:rPr>
                <a:t> BC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C_AjtNv">
          <xdr:nvPicPr>
            <xdr:cNvPr id="93" name="Picture 13" hidden="1">
              <a:extLst>
                <a:ext uri="{FF2B5EF4-FFF2-40B4-BE49-F238E27FC236}">
                  <a16:creationId xmlns:a16="http://schemas.microsoft.com/office/drawing/2014/main" id="{9C36861D-BFAE-4353-90BA-3BCD57A2BF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1950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0" name="Group 25" hidden="1">
            <a:extLst>
              <a:ext uri="{FF2B5EF4-FFF2-40B4-BE49-F238E27FC236}">
                <a16:creationId xmlns:a16="http://schemas.microsoft.com/office/drawing/2014/main" id="{FF25D426-D5AB-9C64-A94D-4207161B56C1}"/>
              </a:ext>
            </a:extLst>
          </xdr:cNvPr>
          <xdr:cNvGrpSpPr/>
        </xdr:nvGrpSpPr>
        <xdr:grpSpPr>
          <a:xfrm>
            <a:off x="8147050" y="539750"/>
            <a:ext cx="1620000" cy="274320"/>
            <a:chOff x="6159500" y="1524000"/>
            <a:chExt cx="1620000" cy="274320"/>
          </a:xfrm>
        </xdr:grpSpPr>
        <xdr:sp macro="[0]!BC_SauvMaj" textlink="">
          <xdr:nvSpPr>
            <xdr:cNvPr id="90" name="Rectangle : coins arrondis 89" hidden="1">
              <a:extLst>
                <a:ext uri="{FF2B5EF4-FFF2-40B4-BE49-F238E27FC236}">
                  <a16:creationId xmlns:a16="http://schemas.microsoft.com/office/drawing/2014/main" id="{4FF66FCE-E7F5-C1A9-B56A-4F49AFA8053D}"/>
                </a:ext>
              </a:extLst>
            </xdr:cNvPr>
            <xdr:cNvSpPr/>
          </xdr:nvSpPr>
          <xdr:spPr>
            <a:xfrm>
              <a:off x="6159500" y="15240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Sauvegarder le</a:t>
              </a:r>
              <a:r>
                <a:rPr lang="en-US" sz="1100" baseline="0">
                  <a:solidFill>
                    <a:schemeClr val="bg1"/>
                  </a:solidFill>
                </a:rPr>
                <a:t> BC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C_SauvMaj">
          <xdr:nvPicPr>
            <xdr:cNvPr id="91" name="Picture 15" hidden="1">
              <a:extLst>
                <a:ext uri="{FF2B5EF4-FFF2-40B4-BE49-F238E27FC236}">
                  <a16:creationId xmlns:a16="http://schemas.microsoft.com/office/drawing/2014/main" id="{66BD5692-A8B6-4975-EBDE-57B54630FC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15697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1" name="Group 29" hidden="1">
            <a:extLst>
              <a:ext uri="{FF2B5EF4-FFF2-40B4-BE49-F238E27FC236}">
                <a16:creationId xmlns:a16="http://schemas.microsoft.com/office/drawing/2014/main" id="{8BBE20E0-3864-BA42-1261-8F9802481481}"/>
              </a:ext>
            </a:extLst>
          </xdr:cNvPr>
          <xdr:cNvGrpSpPr/>
        </xdr:nvGrpSpPr>
        <xdr:grpSpPr>
          <a:xfrm>
            <a:off x="10064750" y="958850"/>
            <a:ext cx="1620000" cy="274320"/>
            <a:chOff x="6159500" y="3022600"/>
            <a:chExt cx="1620000" cy="274320"/>
          </a:xfrm>
        </xdr:grpSpPr>
        <xdr:sp macro="[0]!BC_EmailPDf" textlink="">
          <xdr:nvSpPr>
            <xdr:cNvPr id="88" name="Rectangle : coins arrondis 87" hidden="1">
              <a:extLst>
                <a:ext uri="{FF2B5EF4-FFF2-40B4-BE49-F238E27FC236}">
                  <a16:creationId xmlns:a16="http://schemas.microsoft.com/office/drawing/2014/main" id="{DBA41EB9-8EF4-AB3F-342B-645B60D017BA}"/>
                </a:ext>
              </a:extLst>
            </xdr:cNvPr>
            <xdr:cNvSpPr/>
          </xdr:nvSpPr>
          <xdr:spPr>
            <a:xfrm>
              <a:off x="6159500" y="30226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Envoyer </a:t>
              </a:r>
              <a:r>
                <a:rPr lang="en-US" sz="1100" baseline="0">
                  <a:solidFill>
                    <a:schemeClr val="bg1"/>
                  </a:solidFill>
                </a:rPr>
                <a:t>par e-mail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C_EmailPDf">
          <xdr:nvPicPr>
            <xdr:cNvPr id="89" name="Picture 17" hidden="1">
              <a:extLst>
                <a:ext uri="{FF2B5EF4-FFF2-40B4-BE49-F238E27FC236}">
                  <a16:creationId xmlns:a16="http://schemas.microsoft.com/office/drawing/2014/main" id="{4A06CE9B-9DBB-56AC-E28E-8EDB6EF6D5A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30683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0" name="Group 28" hidden="1">
            <a:extLst>
              <a:ext uri="{FF2B5EF4-FFF2-40B4-BE49-F238E27FC236}">
                <a16:creationId xmlns:a16="http://schemas.microsoft.com/office/drawing/2014/main" id="{98C5F213-301E-C66B-5B1F-EEFAC2EED460}"/>
              </a:ext>
            </a:extLst>
          </xdr:cNvPr>
          <xdr:cNvGrpSpPr/>
        </xdr:nvGrpSpPr>
        <xdr:grpSpPr>
          <a:xfrm>
            <a:off x="10064750" y="539750"/>
            <a:ext cx="1620000" cy="274320"/>
            <a:chOff x="6159500" y="2647950"/>
            <a:chExt cx="1620000" cy="274320"/>
          </a:xfrm>
        </xdr:grpSpPr>
        <xdr:sp macro="[0]!BC_PDF" textlink="">
          <xdr:nvSpPr>
            <xdr:cNvPr id="86" name="Rectangle : coins arrondis 85" hidden="1">
              <a:extLst>
                <a:ext uri="{FF2B5EF4-FFF2-40B4-BE49-F238E27FC236}">
                  <a16:creationId xmlns:a16="http://schemas.microsoft.com/office/drawing/2014/main" id="{3DC77FBD-C80D-6FA9-1BC1-A421F7ABAEBD}"/>
                </a:ext>
              </a:extLst>
            </xdr:cNvPr>
            <xdr:cNvSpPr/>
          </xdr:nvSpPr>
          <xdr:spPr>
            <a:xfrm>
              <a:off x="6159500" y="26479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Exporter</a:t>
              </a:r>
              <a:r>
                <a:rPr lang="en-US" sz="1100" baseline="0">
                  <a:solidFill>
                    <a:schemeClr val="bg1"/>
                  </a:solidFill>
                </a:rPr>
                <a:t> en PDF</a:t>
              </a:r>
              <a:endParaRPr lang="en-US" sz="1100">
                <a:solidFill>
                  <a:schemeClr val="bg1"/>
                </a:solidFill>
              </a:endParaRPr>
            </a:p>
          </xdr:txBody>
        </xdr:sp>
        <xdr:pic macro="[0]!BC_PDF">
          <xdr:nvPicPr>
            <xdr:cNvPr id="87" name="Picture 19" hidden="1">
              <a:extLst>
                <a:ext uri="{FF2B5EF4-FFF2-40B4-BE49-F238E27FC236}">
                  <a16:creationId xmlns:a16="http://schemas.microsoft.com/office/drawing/2014/main" id="{C1504655-A254-E83E-878A-8C718EDA6E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69367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1" name="Group 27" hidden="1">
            <a:extLst>
              <a:ext uri="{FF2B5EF4-FFF2-40B4-BE49-F238E27FC236}">
                <a16:creationId xmlns:a16="http://schemas.microsoft.com/office/drawing/2014/main" id="{8671227C-2ED3-A2A9-00DB-18CFB58AE7D9}"/>
              </a:ext>
            </a:extLst>
          </xdr:cNvPr>
          <xdr:cNvGrpSpPr/>
        </xdr:nvGrpSpPr>
        <xdr:grpSpPr>
          <a:xfrm>
            <a:off x="10064750" y="120650"/>
            <a:ext cx="1620000" cy="274320"/>
            <a:chOff x="6159500" y="2273300"/>
            <a:chExt cx="1620000" cy="274320"/>
          </a:xfrm>
        </xdr:grpSpPr>
        <xdr:sp macro="[0]!BC_Imprimer" textlink="">
          <xdr:nvSpPr>
            <xdr:cNvPr id="84" name="Rectangle : coins arrondis 83" hidden="1">
              <a:extLst>
                <a:ext uri="{FF2B5EF4-FFF2-40B4-BE49-F238E27FC236}">
                  <a16:creationId xmlns:a16="http://schemas.microsoft.com/office/drawing/2014/main" id="{E1C9B501-735F-12CA-3610-8085625F41FC}"/>
                </a:ext>
              </a:extLst>
            </xdr:cNvPr>
            <xdr:cNvSpPr/>
          </xdr:nvSpPr>
          <xdr:spPr>
            <a:xfrm>
              <a:off x="6159500" y="227330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solidFill>
                <a:srgbClr val="0A753D"/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Imprimer le BC</a:t>
              </a:r>
            </a:p>
          </xdr:txBody>
        </xdr:sp>
        <xdr:pic macro="[0]!BC_Imprimer">
          <xdr:nvPicPr>
            <xdr:cNvPr id="85" name="Picture 21" hidden="1">
              <a:extLst>
                <a:ext uri="{FF2B5EF4-FFF2-40B4-BE49-F238E27FC236}">
                  <a16:creationId xmlns:a16="http://schemas.microsoft.com/office/drawing/2014/main" id="{81E5DF58-7E1E-A623-3C47-E9259A6C57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96750" y="231902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2" name="Group 26" hidden="1">
            <a:extLst>
              <a:ext uri="{FF2B5EF4-FFF2-40B4-BE49-F238E27FC236}">
                <a16:creationId xmlns:a16="http://schemas.microsoft.com/office/drawing/2014/main" id="{A5FC9576-48E7-4A10-46B5-BF84ADF6EE96}"/>
              </a:ext>
            </a:extLst>
          </xdr:cNvPr>
          <xdr:cNvGrpSpPr/>
        </xdr:nvGrpSpPr>
        <xdr:grpSpPr>
          <a:xfrm>
            <a:off x="8147050" y="958850"/>
            <a:ext cx="1620000" cy="274320"/>
            <a:chOff x="6159500" y="1898650"/>
            <a:chExt cx="1620000" cy="274320"/>
          </a:xfrm>
        </xdr:grpSpPr>
        <xdr:sp macro="[0]!BC_Supprimer" textlink="">
          <xdr:nvSpPr>
            <xdr:cNvPr id="63" name="Rectangle : coins arrondis 62" hidden="1">
              <a:extLst>
                <a:ext uri="{FF2B5EF4-FFF2-40B4-BE49-F238E27FC236}">
                  <a16:creationId xmlns:a16="http://schemas.microsoft.com/office/drawing/2014/main" id="{D7E6B0F4-C3E6-2DF4-B557-E78D6C306C79}"/>
                </a:ext>
              </a:extLst>
            </xdr:cNvPr>
            <xdr:cNvSpPr/>
          </xdr:nvSpPr>
          <xdr:spPr>
            <a:xfrm>
              <a:off x="6159500" y="1898650"/>
              <a:ext cx="1620000" cy="274320"/>
            </a:xfrm>
            <a:prstGeom prst="roundRect">
              <a:avLst/>
            </a:prstGeom>
            <a:solidFill>
              <a:srgbClr val="0A753D"/>
            </a:solidFill>
            <a:ln>
              <a:noFill/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>
                  <a:solidFill>
                    <a:schemeClr val="bg1"/>
                  </a:solidFill>
                </a:rPr>
                <a:t>Supprimer le BC</a:t>
              </a:r>
            </a:p>
          </xdr:txBody>
        </xdr:sp>
        <xdr:pic macro="[0]!BC_Supprimer">
          <xdr:nvPicPr>
            <xdr:cNvPr id="83" name="Picture 23" hidden="1">
              <a:extLst>
                <a:ext uri="{FF2B5EF4-FFF2-40B4-BE49-F238E27FC236}">
                  <a16:creationId xmlns:a16="http://schemas.microsoft.com/office/drawing/2014/main" id="{4C286B4A-28CD-7099-D1BB-8E9EA40565C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08180" y="1944370"/>
              <a:ext cx="16002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21166</xdr:colOff>
      <xdr:row>0</xdr:row>
      <xdr:rowOff>77611</xdr:rowOff>
    </xdr:from>
    <xdr:to>
      <xdr:col>2</xdr:col>
      <xdr:colOff>1113387</xdr:colOff>
      <xdr:row>0</xdr:row>
      <xdr:rowOff>1012192</xdr:rowOff>
    </xdr:to>
    <xdr:pic>
      <xdr:nvPicPr>
        <xdr:cNvPr id="95" name="Image 94">
          <a:extLst>
            <a:ext uri="{FF2B5EF4-FFF2-40B4-BE49-F238E27FC236}">
              <a16:creationId xmlns:a16="http://schemas.microsoft.com/office/drawing/2014/main" id="{24E4D67E-B3A9-BA1A-8925-62E8F8392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2777" y="77611"/>
          <a:ext cx="1092221" cy="9345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5BBFD2-5E90-4073-B04D-5891701D6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4" name="Graphique 3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FFBC1A-B33B-49BA-88CC-287254AA1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22B4F4-1DB3-44D9-A094-1E8757F38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77FAE-A652-468A-AE14-C00F0A5B4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54F46B-368C-486A-9AC9-D139F410A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520700</xdr:colOff>
      <xdr:row>0</xdr:row>
      <xdr:rowOff>520700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76B660-8295-477E-A877-1119A1ECF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5207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23812</xdr:rowOff>
    </xdr:from>
    <xdr:to>
      <xdr:col>0</xdr:col>
      <xdr:colOff>520700</xdr:colOff>
      <xdr:row>0</xdr:row>
      <xdr:rowOff>544512</xdr:rowOff>
    </xdr:to>
    <xdr:pic>
      <xdr:nvPicPr>
        <xdr:cNvPr id="2" name="Graphique 1" descr="Logement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0A81B-C3F7-4658-A547-7E799B02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23812"/>
          <a:ext cx="5207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A753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a:spPr>
      <a:bodyPr vertOverflow="clip" horzOverflow="clip" rtlCol="0" anchor="ctr"/>
      <a:lstStyle>
        <a:defPPr algn="ctr">
          <a:defRPr sz="1600" b="1" kern="12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7C1A7-9BD8-497F-945A-3F6D0311D75C}">
  <sheetPr codeName="Feuil1"/>
  <dimension ref="A1"/>
  <sheetViews>
    <sheetView showGridLines="0" showRowColHeaders="0" tabSelected="1" workbookViewId="0">
      <selection activeCell="K20" sqref="K20"/>
    </sheetView>
  </sheetViews>
  <sheetFormatPr baseColWidth="10" defaultRowHeight="14.5" x14ac:dyDescent="0.35"/>
  <sheetData/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F3C6-9AC8-4857-AA4E-DEFAD09B434B}">
  <sheetPr codeName="Receipt">
    <tabColor theme="9" tint="0.59999389629810485"/>
  </sheetPr>
  <dimension ref="B1:I44"/>
  <sheetViews>
    <sheetView showGridLines="0" showRowColHeaders="0" zoomScale="90" zoomScaleNormal="90" zoomScaleSheetLayoutView="113" workbookViewId="0"/>
  </sheetViews>
  <sheetFormatPr baseColWidth="10" defaultColWidth="8.7265625" defaultRowHeight="14.5" x14ac:dyDescent="0.35"/>
  <cols>
    <col min="1" max="1" width="8.36328125" customWidth="1"/>
    <col min="2" max="2" width="14.54296875" customWidth="1"/>
    <col min="3" max="3" width="54.08984375" customWidth="1"/>
    <col min="4" max="4" width="6.453125" customWidth="1"/>
    <col min="5" max="5" width="12.7265625" customWidth="1"/>
    <col min="6" max="6" width="13.6328125" customWidth="1"/>
    <col min="7" max="7" width="5.7265625" style="6" customWidth="1"/>
    <col min="8" max="8" width="31.7265625" bestFit="1" customWidth="1"/>
    <col min="9" max="9" width="26.7265625" customWidth="1"/>
  </cols>
  <sheetData>
    <row r="1" spans="2:9" ht="112.5" customHeight="1" x14ac:dyDescent="0.35"/>
    <row r="2" spans="2:9" x14ac:dyDescent="0.35">
      <c r="H2" s="7" t="s">
        <v>43</v>
      </c>
      <c r="I2" s="31" t="s">
        <v>16</v>
      </c>
    </row>
    <row r="3" spans="2:9" ht="23.5" x14ac:dyDescent="0.35">
      <c r="B3" s="46" t="str">
        <f>UPPER(I2)</f>
        <v>FACTURE</v>
      </c>
      <c r="C3" s="46"/>
      <c r="D3" s="46"/>
      <c r="E3" s="46"/>
      <c r="F3" s="46"/>
    </row>
    <row r="4" spans="2:9" x14ac:dyDescent="0.35">
      <c r="B4" s="19" t="str">
        <f>IF(OR(I2="Demande de facture proforma",I2="Bon de commande"), "Fournisseur :","Client :")</f>
        <v>Client :</v>
      </c>
      <c r="C4" s="28"/>
      <c r="E4" s="14" t="str">
        <f>I2 &amp;" N°:"</f>
        <v>Facture N°:</v>
      </c>
      <c r="F4" s="29">
        <v>1</v>
      </c>
      <c r="H4" s="7" t="str">
        <f>"Rechercher "&amp;I2&amp; " :"</f>
        <v>Rechercher Facture :</v>
      </c>
      <c r="I4" s="32"/>
    </row>
    <row r="5" spans="2:9" x14ac:dyDescent="0.35">
      <c r="B5" s="19" t="s">
        <v>21</v>
      </c>
      <c r="C5" s="38"/>
      <c r="E5" s="14" t="s">
        <v>14</v>
      </c>
      <c r="F5" s="30">
        <v>45650</v>
      </c>
    </row>
    <row r="6" spans="2:9" x14ac:dyDescent="0.35">
      <c r="B6" s="19" t="s">
        <v>22</v>
      </c>
      <c r="C6" s="38"/>
      <c r="E6" s="14" t="s">
        <v>29</v>
      </c>
      <c r="F6" s="29"/>
      <c r="H6" s="7" t="s">
        <v>38</v>
      </c>
      <c r="I6" s="31"/>
    </row>
    <row r="7" spans="2:9" x14ac:dyDescent="0.35">
      <c r="B7" s="19" t="s">
        <v>25</v>
      </c>
      <c r="C7" s="38"/>
    </row>
    <row r="8" spans="2:9" x14ac:dyDescent="0.35">
      <c r="B8" s="19" t="s">
        <v>27</v>
      </c>
      <c r="C8" s="38"/>
      <c r="H8" s="7" t="s">
        <v>58</v>
      </c>
      <c r="I8" s="45">
        <v>0.19</v>
      </c>
    </row>
    <row r="9" spans="2:9" x14ac:dyDescent="0.35">
      <c r="B9" s="19" t="s">
        <v>26</v>
      </c>
      <c r="C9" s="38"/>
    </row>
    <row r="10" spans="2:9" ht="23.5" customHeight="1" x14ac:dyDescent="0.35">
      <c r="B10" s="19" t="s">
        <v>28</v>
      </c>
      <c r="C10" s="39"/>
    </row>
    <row r="11" spans="2:9" x14ac:dyDescent="0.35">
      <c r="B11" s="15" t="s">
        <v>3</v>
      </c>
      <c r="C11" s="15" t="s">
        <v>6</v>
      </c>
      <c r="D11" s="15" t="s">
        <v>4</v>
      </c>
      <c r="E11" s="15" t="s">
        <v>5</v>
      </c>
      <c r="F11" s="15" t="s">
        <v>0</v>
      </c>
    </row>
    <row r="12" spans="2:9" x14ac:dyDescent="0.35">
      <c r="B12" s="33"/>
      <c r="C12" s="42"/>
      <c r="D12" s="35"/>
      <c r="E12" s="40"/>
      <c r="F12" s="24" t="str">
        <f>IF(E12="","",E12*D12)</f>
        <v/>
      </c>
      <c r="G12" s="37"/>
    </row>
    <row r="13" spans="2:9" x14ac:dyDescent="0.35">
      <c r="B13" s="33"/>
      <c r="C13" s="42"/>
      <c r="D13" s="35"/>
      <c r="E13" s="40"/>
      <c r="F13" s="24" t="str">
        <f t="shared" ref="F13:F38" si="0">IF(E13="","",E13*D13)</f>
        <v/>
      </c>
      <c r="G13" s="37"/>
    </row>
    <row r="14" spans="2:9" x14ac:dyDescent="0.35">
      <c r="B14" s="33"/>
      <c r="C14" s="42"/>
      <c r="D14" s="35"/>
      <c r="E14" s="40"/>
      <c r="F14" s="24" t="str">
        <f t="shared" si="0"/>
        <v/>
      </c>
      <c r="G14" s="37"/>
    </row>
    <row r="15" spans="2:9" x14ac:dyDescent="0.35">
      <c r="B15" s="33"/>
      <c r="C15" s="42"/>
      <c r="D15" s="35"/>
      <c r="E15" s="40"/>
      <c r="F15" s="24" t="str">
        <f t="shared" si="0"/>
        <v/>
      </c>
      <c r="G15" s="37"/>
    </row>
    <row r="16" spans="2:9" x14ac:dyDescent="0.35">
      <c r="B16" s="33"/>
      <c r="C16" s="42"/>
      <c r="D16" s="35"/>
      <c r="E16" s="40"/>
      <c r="F16" s="24" t="str">
        <f t="shared" si="0"/>
        <v/>
      </c>
      <c r="G16" s="37"/>
    </row>
    <row r="17" spans="2:7" x14ac:dyDescent="0.35">
      <c r="B17" s="33"/>
      <c r="C17" s="42"/>
      <c r="D17" s="35"/>
      <c r="E17" s="40"/>
      <c r="F17" s="24" t="str">
        <f t="shared" si="0"/>
        <v/>
      </c>
      <c r="G17" s="37"/>
    </row>
    <row r="18" spans="2:7" x14ac:dyDescent="0.35">
      <c r="B18" s="33"/>
      <c r="C18" s="42"/>
      <c r="D18" s="35"/>
      <c r="E18" s="40"/>
      <c r="F18" s="24" t="str">
        <f t="shared" si="0"/>
        <v/>
      </c>
      <c r="G18" s="37"/>
    </row>
    <row r="19" spans="2:7" x14ac:dyDescent="0.35">
      <c r="B19" s="33"/>
      <c r="C19" s="42"/>
      <c r="D19" s="35"/>
      <c r="E19" s="40"/>
      <c r="F19" s="24" t="str">
        <f t="shared" si="0"/>
        <v/>
      </c>
      <c r="G19" s="37"/>
    </row>
    <row r="20" spans="2:7" x14ac:dyDescent="0.35">
      <c r="B20" s="33"/>
      <c r="C20" s="42"/>
      <c r="D20" s="35"/>
      <c r="E20" s="40"/>
      <c r="F20" s="24" t="str">
        <f t="shared" si="0"/>
        <v/>
      </c>
      <c r="G20" s="37"/>
    </row>
    <row r="21" spans="2:7" x14ac:dyDescent="0.35">
      <c r="B21" s="33"/>
      <c r="C21" s="42"/>
      <c r="D21" s="35"/>
      <c r="E21" s="40"/>
      <c r="F21" s="24" t="str">
        <f t="shared" si="0"/>
        <v/>
      </c>
      <c r="G21" s="37"/>
    </row>
    <row r="22" spans="2:7" x14ac:dyDescent="0.35">
      <c r="B22" s="33"/>
      <c r="C22" s="42"/>
      <c r="D22" s="35"/>
      <c r="E22" s="40"/>
      <c r="F22" s="24" t="str">
        <f t="shared" si="0"/>
        <v/>
      </c>
      <c r="G22" s="37"/>
    </row>
    <row r="23" spans="2:7" x14ac:dyDescent="0.35">
      <c r="B23" s="33"/>
      <c r="C23" s="42"/>
      <c r="D23" s="35"/>
      <c r="E23" s="40"/>
      <c r="F23" s="24" t="str">
        <f t="shared" si="0"/>
        <v/>
      </c>
      <c r="G23" s="37"/>
    </row>
    <row r="24" spans="2:7" x14ac:dyDescent="0.35">
      <c r="B24" s="33"/>
      <c r="C24" s="42"/>
      <c r="D24" s="35"/>
      <c r="E24" s="40"/>
      <c r="F24" s="24" t="str">
        <f t="shared" si="0"/>
        <v/>
      </c>
      <c r="G24" s="37"/>
    </row>
    <row r="25" spans="2:7" x14ac:dyDescent="0.35">
      <c r="B25" s="33"/>
      <c r="C25" s="42"/>
      <c r="D25" s="35"/>
      <c r="E25" s="40"/>
      <c r="F25" s="24" t="str">
        <f t="shared" si="0"/>
        <v/>
      </c>
      <c r="G25" s="37"/>
    </row>
    <row r="26" spans="2:7" x14ac:dyDescent="0.35">
      <c r="B26" s="33"/>
      <c r="C26" s="42"/>
      <c r="D26" s="35"/>
      <c r="E26" s="40"/>
      <c r="F26" s="24" t="str">
        <f t="shared" si="0"/>
        <v/>
      </c>
      <c r="G26" s="37"/>
    </row>
    <row r="27" spans="2:7" x14ac:dyDescent="0.35">
      <c r="B27" s="33"/>
      <c r="C27" s="42"/>
      <c r="D27" s="35"/>
      <c r="E27" s="40"/>
      <c r="F27" s="24" t="str">
        <f t="shared" si="0"/>
        <v/>
      </c>
      <c r="G27" s="37"/>
    </row>
    <row r="28" spans="2:7" x14ac:dyDescent="0.35">
      <c r="B28" s="33"/>
      <c r="C28" s="42"/>
      <c r="D28" s="35"/>
      <c r="E28" s="40"/>
      <c r="F28" s="24" t="str">
        <f t="shared" si="0"/>
        <v/>
      </c>
      <c r="G28" s="37"/>
    </row>
    <row r="29" spans="2:7" x14ac:dyDescent="0.35">
      <c r="B29" s="33"/>
      <c r="C29" s="42"/>
      <c r="D29" s="35"/>
      <c r="E29" s="40"/>
      <c r="F29" s="24" t="str">
        <f t="shared" si="0"/>
        <v/>
      </c>
      <c r="G29" s="37"/>
    </row>
    <row r="30" spans="2:7" x14ac:dyDescent="0.35">
      <c r="B30" s="33"/>
      <c r="C30" s="42"/>
      <c r="D30" s="35"/>
      <c r="E30" s="40"/>
      <c r="F30" s="24" t="str">
        <f t="shared" si="0"/>
        <v/>
      </c>
      <c r="G30" s="37"/>
    </row>
    <row r="31" spans="2:7" x14ac:dyDescent="0.35">
      <c r="B31" s="33"/>
      <c r="C31" s="42"/>
      <c r="D31" s="35"/>
      <c r="E31" s="40"/>
      <c r="F31" s="24" t="str">
        <f t="shared" si="0"/>
        <v/>
      </c>
      <c r="G31" s="37"/>
    </row>
    <row r="32" spans="2:7" x14ac:dyDescent="0.35">
      <c r="B32" s="33"/>
      <c r="C32" s="42"/>
      <c r="D32" s="35"/>
      <c r="E32" s="40"/>
      <c r="F32" s="24" t="str">
        <f t="shared" si="0"/>
        <v/>
      </c>
      <c r="G32" s="37"/>
    </row>
    <row r="33" spans="2:7" x14ac:dyDescent="0.35">
      <c r="B33" s="33"/>
      <c r="C33" s="42"/>
      <c r="D33" s="35"/>
      <c r="E33" s="40"/>
      <c r="F33" s="24" t="str">
        <f t="shared" si="0"/>
        <v/>
      </c>
      <c r="G33" s="37"/>
    </row>
    <row r="34" spans="2:7" x14ac:dyDescent="0.35">
      <c r="B34" s="33"/>
      <c r="C34" s="42"/>
      <c r="D34" s="35"/>
      <c r="E34" s="40"/>
      <c r="F34" s="24" t="str">
        <f t="shared" si="0"/>
        <v/>
      </c>
      <c r="G34" s="37"/>
    </row>
    <row r="35" spans="2:7" x14ac:dyDescent="0.35">
      <c r="B35" s="33"/>
      <c r="C35" s="42"/>
      <c r="D35" s="35"/>
      <c r="E35" s="40"/>
      <c r="F35" s="24" t="str">
        <f t="shared" si="0"/>
        <v/>
      </c>
      <c r="G35" s="37"/>
    </row>
    <row r="36" spans="2:7" x14ac:dyDescent="0.35">
      <c r="B36" s="33"/>
      <c r="C36" s="42"/>
      <c r="D36" s="35"/>
      <c r="E36" s="40"/>
      <c r="F36" s="24" t="str">
        <f t="shared" si="0"/>
        <v/>
      </c>
      <c r="G36" s="37"/>
    </row>
    <row r="37" spans="2:7" x14ac:dyDescent="0.35">
      <c r="B37" s="33"/>
      <c r="C37" s="42"/>
      <c r="D37" s="35"/>
      <c r="E37" s="40"/>
      <c r="F37" s="24" t="str">
        <f t="shared" si="0"/>
        <v/>
      </c>
      <c r="G37" s="37"/>
    </row>
    <row r="38" spans="2:7" x14ac:dyDescent="0.35">
      <c r="B38" s="34"/>
      <c r="C38" s="43"/>
      <c r="D38" s="36"/>
      <c r="E38" s="41"/>
      <c r="F38" s="25" t="str">
        <f t="shared" si="0"/>
        <v/>
      </c>
      <c r="G38" s="37"/>
    </row>
    <row r="39" spans="2:7" ht="4.5" customHeight="1" thickBot="1" x14ac:dyDescent="0.4">
      <c r="B39" s="16"/>
      <c r="C39" s="16"/>
      <c r="D39" s="17"/>
      <c r="E39" s="18"/>
      <c r="F39" s="18"/>
    </row>
    <row r="40" spans="2:7" ht="22" customHeight="1" thickTop="1" thickBot="1" x14ac:dyDescent="0.4">
      <c r="B40" s="16"/>
      <c r="C40" s="16"/>
      <c r="D40" s="17"/>
      <c r="E40" s="22" t="s">
        <v>53</v>
      </c>
      <c r="F40" s="23">
        <f>SUM(F12:F38)</f>
        <v>0</v>
      </c>
    </row>
    <row r="41" spans="2:7" ht="22" customHeight="1" thickTop="1" thickBot="1" x14ac:dyDescent="0.4">
      <c r="B41" s="16"/>
      <c r="C41" s="16"/>
      <c r="D41" s="17"/>
      <c r="E41" s="22" t="s">
        <v>58</v>
      </c>
      <c r="F41" s="23">
        <f>F40*I8</f>
        <v>0</v>
      </c>
    </row>
    <row r="42" spans="2:7" s="21" customFormat="1" ht="33.5" customHeight="1" thickTop="1" thickBot="1" x14ac:dyDescent="0.4">
      <c r="B42" s="47" t="str" cm="1">
        <f t="array" ref="B42">CONCATENATE("Arrêter la présente ",LOWER(I2)," à la somme de : ",NombreEnLettres(F42))</f>
        <v>Arrêter la présente facture à la somme de : zéro dinars</v>
      </c>
      <c r="C42" s="47"/>
      <c r="D42" s="48"/>
      <c r="E42" s="22" t="s">
        <v>59</v>
      </c>
      <c r="F42" s="23">
        <f>F40+F41</f>
        <v>0</v>
      </c>
      <c r="G42" s="20"/>
    </row>
    <row r="43" spans="2:7" ht="23.5" customHeight="1" thickTop="1" x14ac:dyDescent="0.35">
      <c r="B43" s="49"/>
      <c r="C43" s="49"/>
      <c r="D43" s="49"/>
      <c r="E43" s="49"/>
      <c r="F43" s="49"/>
    </row>
    <row r="44" spans="2:7" ht="25.5" customHeight="1" x14ac:dyDescent="0.35">
      <c r="B44" s="49"/>
      <c r="C44" s="49"/>
      <c r="D44" s="49"/>
      <c r="E44" s="49"/>
      <c r="F44" s="49"/>
    </row>
  </sheetData>
  <sheetProtection selectLockedCells="1"/>
  <mergeCells count="3">
    <mergeCell ref="B3:F3"/>
    <mergeCell ref="B42:D42"/>
    <mergeCell ref="B43:F44"/>
  </mergeCells>
  <conditionalFormatting sqref="B12:F41">
    <cfRule type="expression" dxfId="11" priority="8">
      <formula>$B12&lt;&gt;""</formula>
    </cfRule>
  </conditionalFormatting>
  <conditionalFormatting sqref="E4:F4 E6:F6 B42 E11:F42">
    <cfRule type="expression" dxfId="10" priority="7">
      <formula>$I$2="Demande de facture proforma"</formula>
    </cfRule>
  </conditionalFormatting>
  <conditionalFormatting sqref="E11:F38">
    <cfRule type="expression" dxfId="9" priority="6">
      <formula>$I$2="Demande de facture proforma"</formula>
    </cfRule>
  </conditionalFormatting>
  <conditionalFormatting sqref="E42:F42">
    <cfRule type="expression" dxfId="8" priority="4">
      <formula>$I$2="Demande de facture proforma"</formula>
    </cfRule>
  </conditionalFormatting>
  <conditionalFormatting sqref="H4:I4">
    <cfRule type="expression" dxfId="7" priority="3">
      <formula>OR($I$2="Demande de facture proforma",$I$2="Bon de commande")</formula>
    </cfRule>
  </conditionalFormatting>
  <conditionalFormatting sqref="E40:F41">
    <cfRule type="expression" dxfId="6" priority="1">
      <formula>$I$2="Demande de facture proforma"</formula>
    </cfRule>
  </conditionalFormatting>
  <dataValidations count="3">
    <dataValidation type="list" allowBlank="1" showInputMessage="1" showErrorMessage="1" sqref="B12:B39" xr:uid="{11E67CB7-19F9-45AB-B4D5-63BBABD22E9C}">
      <formula1>Item_Names</formula1>
    </dataValidation>
    <dataValidation type="list" allowBlank="1" showInputMessage="1" showErrorMessage="1" sqref="I2" xr:uid="{C28AF1F1-CE9D-49DF-BD84-F65DF09739BB}">
      <formula1>"Facture proforma,Facture,Bon de livraison,Demande de facture proforma,Bon de commande"</formula1>
    </dataValidation>
    <dataValidation type="list" allowBlank="1" showInputMessage="1" showErrorMessage="1" sqref="C4" xr:uid="{FFFC6ABF-18E1-4C14-BBFE-B26334B328CE}">
      <formula1>Cust_Names</formula1>
    </dataValidation>
  </dataValidations>
  <printOptions horizontalCentered="1"/>
  <pageMargins left="0.23622047244094491" right="0.23622047244094491" top="0" bottom="0" header="0.31496062992125984" footer="0.31496062992125984"/>
  <pageSetup scale="91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94F-A5C5-4577-BDB7-A82A5F7CF89F}">
  <sheetPr codeName="Customers">
    <tabColor rgb="FFFFE9A3"/>
  </sheetPr>
  <dimension ref="A1:Q6"/>
  <sheetViews>
    <sheetView showGridLines="0" showRowColHeaders="0" zoomScale="80" zoomScaleNormal="80" workbookViewId="0"/>
  </sheetViews>
  <sheetFormatPr baseColWidth="10" defaultColWidth="8.7265625" defaultRowHeight="14.5" x14ac:dyDescent="0.35"/>
  <cols>
    <col min="1" max="1" width="14.36328125" bestFit="1" customWidth="1"/>
    <col min="2" max="2" width="24.36328125" style="10" bestFit="1" customWidth="1"/>
    <col min="3" max="3" width="19.08984375" style="10" bestFit="1" customWidth="1"/>
    <col min="4" max="4" width="22.90625" style="10" customWidth="1"/>
    <col min="5" max="5" width="27.90625" style="10" customWidth="1"/>
    <col min="6" max="6" width="35.6328125" style="10" customWidth="1"/>
    <col min="7" max="7" width="20.6328125" style="10" customWidth="1"/>
    <col min="8" max="8" width="35.1796875" customWidth="1"/>
    <col min="13" max="13" width="14.36328125" bestFit="1" customWidth="1"/>
    <col min="14" max="14" width="24.36328125" bestFit="1" customWidth="1"/>
    <col min="15" max="15" width="19.08984375" bestFit="1" customWidth="1"/>
    <col min="16" max="16" width="12.08984375" bestFit="1" customWidth="1"/>
  </cols>
  <sheetData>
    <row r="1" spans="1:17" ht="50" customHeight="1" x14ac:dyDescent="0.35">
      <c r="B1"/>
      <c r="C1"/>
      <c r="D1"/>
      <c r="E1"/>
      <c r="F1"/>
      <c r="G1"/>
    </row>
    <row r="2" spans="1:17" ht="35" customHeight="1" x14ac:dyDescent="0.35">
      <c r="A2" s="50" t="s">
        <v>9</v>
      </c>
      <c r="B2" s="51"/>
      <c r="C2" s="51"/>
      <c r="D2" s="51"/>
      <c r="E2" s="51"/>
      <c r="F2" s="51"/>
      <c r="G2" s="51"/>
      <c r="H2" s="52"/>
    </row>
    <row r="3" spans="1:17" x14ac:dyDescent="0.35">
      <c r="A3" s="8" t="s">
        <v>10</v>
      </c>
      <c r="B3" s="11" t="s">
        <v>18</v>
      </c>
      <c r="C3" s="11" t="s">
        <v>19</v>
      </c>
      <c r="D3" s="11" t="s">
        <v>30</v>
      </c>
      <c r="E3" s="11" t="s">
        <v>31</v>
      </c>
      <c r="F3" s="11" t="s">
        <v>20</v>
      </c>
      <c r="G3" s="11" t="s">
        <v>51</v>
      </c>
      <c r="H3" s="8" t="s">
        <v>39</v>
      </c>
    </row>
    <row r="4" spans="1:17" x14ac:dyDescent="0.35">
      <c r="A4" t="s">
        <v>56</v>
      </c>
    </row>
    <row r="6" spans="1:17" x14ac:dyDescent="0.35">
      <c r="Q6" s="1"/>
    </row>
  </sheetData>
  <mergeCells count="1">
    <mergeCell ref="A2:H2"/>
  </mergeCells>
  <conditionalFormatting sqref="A4:H1248">
    <cfRule type="expression" dxfId="5" priority="1">
      <formula>$A4&lt;&gt;""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D925E-2B7B-4B92-B429-D7313197054A}">
  <sheetPr codeName="Feuil3">
    <tabColor theme="5" tint="0.59999389629810485"/>
  </sheetPr>
  <dimension ref="A1:H4"/>
  <sheetViews>
    <sheetView showGridLines="0" showRowColHeaders="0" zoomScale="80" zoomScaleNormal="80" workbookViewId="0">
      <selection activeCell="A4" sqref="A4"/>
    </sheetView>
  </sheetViews>
  <sheetFormatPr baseColWidth="10" defaultRowHeight="14.5" x14ac:dyDescent="0.35"/>
  <cols>
    <col min="1" max="1" width="24.6328125" customWidth="1"/>
    <col min="2" max="2" width="19.54296875" customWidth="1"/>
    <col min="3" max="3" width="17.90625" customWidth="1"/>
    <col min="4" max="4" width="20.453125" customWidth="1"/>
    <col min="5" max="8" width="24.08984375" customWidth="1"/>
  </cols>
  <sheetData>
    <row r="1" spans="1:8" ht="50" customHeight="1" x14ac:dyDescent="0.35"/>
    <row r="2" spans="1:8" ht="35" customHeight="1" x14ac:dyDescent="0.35">
      <c r="A2" s="50" t="s">
        <v>40</v>
      </c>
      <c r="B2" s="51"/>
      <c r="C2" s="51"/>
      <c r="D2" s="51"/>
      <c r="E2" s="51"/>
      <c r="F2" s="51"/>
      <c r="G2" s="51"/>
      <c r="H2" s="52"/>
    </row>
    <row r="3" spans="1:8" x14ac:dyDescent="0.35">
      <c r="A3" s="8" t="s">
        <v>41</v>
      </c>
      <c r="B3" s="11" t="s">
        <v>18</v>
      </c>
      <c r="C3" s="11" t="s">
        <v>19</v>
      </c>
      <c r="D3" s="11" t="s">
        <v>30</v>
      </c>
      <c r="E3" s="11" t="s">
        <v>31</v>
      </c>
      <c r="F3" s="11" t="s">
        <v>20</v>
      </c>
      <c r="G3" s="11" t="s">
        <v>51</v>
      </c>
      <c r="H3" s="8" t="s">
        <v>39</v>
      </c>
    </row>
    <row r="4" spans="1:8" x14ac:dyDescent="0.35">
      <c r="A4" t="s">
        <v>57</v>
      </c>
      <c r="H4" s="27"/>
    </row>
  </sheetData>
  <mergeCells count="1">
    <mergeCell ref="A2:H2"/>
  </mergeCells>
  <conditionalFormatting sqref="A4:H1316">
    <cfRule type="expression" dxfId="4" priority="1">
      <formula>$A4&lt;&gt;""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21E90-18A9-40EF-B882-29BC4A847222}">
  <sheetPr codeName="Items">
    <tabColor theme="3" tint="0.749992370372631"/>
  </sheetPr>
  <dimension ref="A1:M7"/>
  <sheetViews>
    <sheetView showGridLines="0" showRowColHeaders="0" zoomScale="80" zoomScaleNormal="80" workbookViewId="0">
      <selection activeCell="B15" sqref="B15"/>
    </sheetView>
  </sheetViews>
  <sheetFormatPr baseColWidth="10" defaultColWidth="8.7265625" defaultRowHeight="14.5" x14ac:dyDescent="0.35"/>
  <cols>
    <col min="1" max="1" width="21.7265625" customWidth="1"/>
    <col min="2" max="2" width="51" customWidth="1"/>
    <col min="3" max="3" width="18.1796875" style="12" customWidth="1"/>
    <col min="10" max="10" width="16.26953125" bestFit="1" customWidth="1"/>
    <col min="11" max="11" width="38.453125" bestFit="1" customWidth="1"/>
    <col min="12" max="12" width="9.453125" bestFit="1" customWidth="1"/>
  </cols>
  <sheetData>
    <row r="1" spans="1:13" ht="50" customHeight="1" x14ac:dyDescent="0.35">
      <c r="C1"/>
    </row>
    <row r="2" spans="1:13" ht="35" customHeight="1" x14ac:dyDescent="0.4">
      <c r="A2" s="53" t="s">
        <v>8</v>
      </c>
      <c r="B2" s="54"/>
      <c r="C2" s="55"/>
    </row>
    <row r="3" spans="1:13" x14ac:dyDescent="0.35">
      <c r="A3" s="8" t="s">
        <v>3</v>
      </c>
      <c r="B3" s="8" t="s">
        <v>6</v>
      </c>
      <c r="C3" s="13" t="s">
        <v>7</v>
      </c>
    </row>
    <row r="7" spans="1:13" x14ac:dyDescent="0.35">
      <c r="M7" s="1"/>
    </row>
  </sheetData>
  <mergeCells count="1">
    <mergeCell ref="A2:C2"/>
  </mergeCells>
  <conditionalFormatting sqref="A4:C2079">
    <cfRule type="expression" dxfId="3" priority="1">
      <formula>$A4&lt;&gt;""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082F-A007-48A5-9770-FCCCC03217AC}">
  <sheetPr codeName="ReceiptDB">
    <tabColor theme="8" tint="0.79998168889431442"/>
  </sheetPr>
  <dimension ref="A1:H6"/>
  <sheetViews>
    <sheetView showGridLines="0" showRowColHeaders="0" zoomScale="80" zoomScaleNormal="80" workbookViewId="0">
      <selection activeCell="A2" sqref="A2:H2"/>
    </sheetView>
  </sheetViews>
  <sheetFormatPr baseColWidth="10" defaultColWidth="8.7265625" defaultRowHeight="14.5" x14ac:dyDescent="0.35"/>
  <cols>
    <col min="1" max="1" width="18.90625" style="3" customWidth="1"/>
    <col min="2" max="2" width="22.1796875" customWidth="1"/>
    <col min="3" max="3" width="22" customWidth="1"/>
    <col min="4" max="4" width="16.36328125" style="12" customWidth="1"/>
    <col min="5" max="5" width="18.54296875" customWidth="1"/>
    <col min="6" max="6" width="17.453125" customWidth="1"/>
    <col min="7" max="7" width="18.36328125" customWidth="1"/>
    <col min="8" max="8" width="39" customWidth="1"/>
  </cols>
  <sheetData>
    <row r="1" spans="1:8" ht="50" customHeight="1" x14ac:dyDescent="0.35">
      <c r="A1"/>
      <c r="D1"/>
    </row>
    <row r="2" spans="1:8" ht="35" customHeight="1" x14ac:dyDescent="0.35">
      <c r="A2" s="56" t="s">
        <v>16</v>
      </c>
      <c r="B2" s="57"/>
      <c r="C2" s="57"/>
      <c r="D2" s="57"/>
      <c r="E2" s="57"/>
      <c r="F2" s="57"/>
      <c r="G2" s="57"/>
      <c r="H2" s="57"/>
    </row>
    <row r="3" spans="1:8" x14ac:dyDescent="0.35">
      <c r="A3" s="9" t="s">
        <v>11</v>
      </c>
      <c r="B3" s="9" t="s">
        <v>15</v>
      </c>
      <c r="C3" s="9" t="s">
        <v>10</v>
      </c>
      <c r="D3" s="9" t="s">
        <v>52</v>
      </c>
      <c r="E3" s="44" t="s">
        <v>54</v>
      </c>
      <c r="F3" s="44" t="s">
        <v>55</v>
      </c>
      <c r="G3" s="9" t="s">
        <v>32</v>
      </c>
      <c r="H3" s="9" t="s">
        <v>33</v>
      </c>
    </row>
    <row r="4" spans="1:8" x14ac:dyDescent="0.35">
      <c r="B4" s="5"/>
    </row>
    <row r="5" spans="1:8" x14ac:dyDescent="0.35">
      <c r="B5" s="5"/>
    </row>
    <row r="6" spans="1:8" x14ac:dyDescent="0.35">
      <c r="B6" s="5"/>
    </row>
  </sheetData>
  <mergeCells count="1">
    <mergeCell ref="A2:H2"/>
  </mergeCells>
  <conditionalFormatting sqref="A4:F1378">
    <cfRule type="expression" dxfId="2" priority="1">
      <formula>$A4&lt;&gt;""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C3F65-FD9F-4B79-BED7-536A05506E8A}">
  <sheetPr codeName="RecItemDB">
    <tabColor theme="8" tint="0.79998168889431442"/>
  </sheetPr>
  <dimension ref="A1:V8"/>
  <sheetViews>
    <sheetView zoomScale="108" zoomScaleNormal="108" workbookViewId="0">
      <selection activeCell="A4" sqref="A4:H5"/>
    </sheetView>
  </sheetViews>
  <sheetFormatPr baseColWidth="10" defaultColWidth="8.7265625" defaultRowHeight="14.5" x14ac:dyDescent="0.35"/>
  <cols>
    <col min="1" max="1" width="9.36328125" bestFit="1" customWidth="1"/>
    <col min="2" max="3" width="16" customWidth="1"/>
    <col min="4" max="4" width="9.453125" bestFit="1" customWidth="1"/>
    <col min="5" max="5" width="19.26953125" style="12" customWidth="1"/>
    <col min="6" max="6" width="15.7265625" style="12" customWidth="1"/>
    <col min="7" max="7" width="15.81640625" customWidth="1"/>
    <col min="8" max="8" width="14.1796875" customWidth="1"/>
    <col min="11" max="11" width="7.90625" customWidth="1"/>
    <col min="14" max="16" width="8.7265625" customWidth="1"/>
    <col min="17" max="17" width="9.90625" customWidth="1"/>
    <col min="18" max="18" width="11.54296875" customWidth="1"/>
    <col min="19" max="19" width="15.1796875" customWidth="1"/>
    <col min="20" max="20" width="10.08984375" customWidth="1"/>
    <col min="21" max="21" width="11.1796875" customWidth="1"/>
    <col min="22" max="22" width="8.453125" customWidth="1"/>
  </cols>
  <sheetData>
    <row r="1" spans="1:22" x14ac:dyDescent="0.35">
      <c r="A1" s="58" t="s">
        <v>17</v>
      </c>
      <c r="B1" s="58"/>
      <c r="C1" s="58"/>
      <c r="D1" s="58"/>
      <c r="E1" s="58"/>
      <c r="F1" s="58"/>
      <c r="G1" s="58"/>
      <c r="H1" s="58"/>
      <c r="N1" s="8" t="s">
        <v>1</v>
      </c>
      <c r="Q1" s="59" t="s">
        <v>2</v>
      </c>
      <c r="R1" s="60"/>
      <c r="S1" s="60"/>
      <c r="T1" s="60"/>
      <c r="U1" s="60"/>
      <c r="V1" s="60"/>
    </row>
    <row r="2" spans="1:22" x14ac:dyDescent="0.35">
      <c r="A2" s="58"/>
      <c r="B2" s="58"/>
      <c r="C2" s="58"/>
      <c r="D2" s="58"/>
      <c r="E2" s="58"/>
      <c r="F2" s="58"/>
      <c r="G2" s="58"/>
      <c r="H2" s="58"/>
      <c r="N2" s="8" t="s">
        <v>11</v>
      </c>
      <c r="Q2" s="8" t="s">
        <v>3</v>
      </c>
      <c r="R2" s="8" t="s">
        <v>6</v>
      </c>
      <c r="S2" s="8" t="s">
        <v>4</v>
      </c>
      <c r="T2" s="8" t="s">
        <v>5</v>
      </c>
      <c r="U2" s="8" t="s">
        <v>13</v>
      </c>
      <c r="V2" s="8" t="s">
        <v>12</v>
      </c>
    </row>
    <row r="3" spans="1:22" x14ac:dyDescent="0.35">
      <c r="A3" s="8" t="s">
        <v>11</v>
      </c>
      <c r="B3" s="8" t="s">
        <v>3</v>
      </c>
      <c r="C3" s="8" t="s">
        <v>6</v>
      </c>
      <c r="D3" s="8" t="s">
        <v>4</v>
      </c>
      <c r="E3" s="13" t="s">
        <v>5</v>
      </c>
      <c r="F3" s="13" t="s">
        <v>0</v>
      </c>
      <c r="G3" s="8" t="s">
        <v>12</v>
      </c>
      <c r="H3" s="8" t="s">
        <v>13</v>
      </c>
      <c r="N3" s="26">
        <f>Création!F4</f>
        <v>1</v>
      </c>
      <c r="Q3" t="s">
        <v>23</v>
      </c>
      <c r="R3" t="s">
        <v>24</v>
      </c>
      <c r="S3">
        <v>1</v>
      </c>
      <c r="T3" s="12">
        <v>17000</v>
      </c>
      <c r="U3">
        <v>7</v>
      </c>
      <c r="V3">
        <v>12</v>
      </c>
    </row>
    <row r="4" spans="1:22" x14ac:dyDescent="0.35">
      <c r="A4">
        <v>1</v>
      </c>
      <c r="B4" t="s">
        <v>23</v>
      </c>
      <c r="C4" t="s">
        <v>24</v>
      </c>
      <c r="D4">
        <v>1</v>
      </c>
      <c r="E4" s="12">
        <v>17000</v>
      </c>
      <c r="F4" s="12">
        <v>17000</v>
      </c>
      <c r="G4">
        <v>12</v>
      </c>
      <c r="H4">
        <f>ROW()</f>
        <v>4</v>
      </c>
      <c r="T4" s="12"/>
    </row>
    <row r="5" spans="1:22" x14ac:dyDescent="0.35">
      <c r="A5">
        <v>2</v>
      </c>
      <c r="B5" t="s">
        <v>23</v>
      </c>
      <c r="C5" t="s">
        <v>24</v>
      </c>
      <c r="D5">
        <v>5</v>
      </c>
      <c r="E5" s="12">
        <v>17000</v>
      </c>
      <c r="F5" s="12">
        <v>85000</v>
      </c>
      <c r="G5">
        <v>12</v>
      </c>
      <c r="H5">
        <f>ROW()</f>
        <v>5</v>
      </c>
      <c r="T5" s="2"/>
    </row>
    <row r="6" spans="1:22" x14ac:dyDescent="0.35">
      <c r="A6">
        <v>2</v>
      </c>
      <c r="B6" t="s">
        <v>23</v>
      </c>
      <c r="C6" t="s">
        <v>24</v>
      </c>
      <c r="D6">
        <v>2</v>
      </c>
      <c r="E6" s="12">
        <v>17000</v>
      </c>
      <c r="F6" s="12">
        <v>34000</v>
      </c>
      <c r="G6">
        <v>13</v>
      </c>
      <c r="H6">
        <f>ROW()</f>
        <v>6</v>
      </c>
      <c r="T6" s="4"/>
    </row>
    <row r="7" spans="1:22" x14ac:dyDescent="0.35">
      <c r="A7">
        <v>3</v>
      </c>
      <c r="B7" t="s">
        <v>23</v>
      </c>
      <c r="C7" t="s">
        <v>24</v>
      </c>
      <c r="D7">
        <v>1</v>
      </c>
      <c r="E7" s="12">
        <v>17000</v>
      </c>
      <c r="F7" s="12">
        <v>17000</v>
      </c>
      <c r="G7">
        <v>12</v>
      </c>
      <c r="H7">
        <f>ROW()</f>
        <v>7</v>
      </c>
      <c r="T7" s="4"/>
    </row>
    <row r="8" spans="1:22" x14ac:dyDescent="0.35">
      <c r="A8">
        <v>1</v>
      </c>
      <c r="B8" t="s">
        <v>23</v>
      </c>
      <c r="C8" t="s">
        <v>24</v>
      </c>
      <c r="D8">
        <v>1</v>
      </c>
      <c r="E8" s="12">
        <v>17000</v>
      </c>
      <c r="F8" s="12">
        <v>17000</v>
      </c>
      <c r="G8">
        <v>12</v>
      </c>
      <c r="H8">
        <f>ROW()</f>
        <v>8</v>
      </c>
    </row>
  </sheetData>
  <sortState xmlns:xlrd2="http://schemas.microsoft.com/office/spreadsheetml/2017/richdata2" ref="A4:H5">
    <sortCondition ref="A4"/>
  </sortState>
  <mergeCells count="2">
    <mergeCell ref="A1:H2"/>
    <mergeCell ref="Q1:V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460F-ADBA-4578-A254-FEA1442C6D89}">
  <sheetPr codeName="ReceiptDB1">
    <tabColor rgb="FF92D050"/>
  </sheetPr>
  <dimension ref="A1:H6"/>
  <sheetViews>
    <sheetView showGridLines="0" showRowColHeaders="0" zoomScale="80" zoomScaleNormal="80" workbookViewId="0">
      <selection activeCell="A2" sqref="A2:H2"/>
    </sheetView>
  </sheetViews>
  <sheetFormatPr baseColWidth="10" defaultColWidth="8.7265625" defaultRowHeight="14.5" x14ac:dyDescent="0.35"/>
  <cols>
    <col min="1" max="1" width="18.90625" style="3" customWidth="1"/>
    <col min="2" max="2" width="22.1796875" customWidth="1"/>
    <col min="3" max="3" width="22" customWidth="1"/>
    <col min="4" max="6" width="16.36328125" style="12" customWidth="1"/>
    <col min="7" max="7" width="33.26953125" customWidth="1"/>
    <col min="8" max="8" width="23.7265625" customWidth="1"/>
  </cols>
  <sheetData>
    <row r="1" spans="1:8" ht="50" customHeight="1" x14ac:dyDescent="0.35">
      <c r="A1"/>
      <c r="D1"/>
      <c r="E1"/>
      <c r="F1"/>
    </row>
    <row r="2" spans="1:8" ht="35" customHeight="1" x14ac:dyDescent="0.35">
      <c r="A2" s="56" t="s">
        <v>46</v>
      </c>
      <c r="B2" s="57"/>
      <c r="C2" s="57"/>
      <c r="D2" s="57"/>
      <c r="E2" s="57"/>
      <c r="F2" s="57"/>
      <c r="G2" s="57"/>
      <c r="H2" s="57"/>
    </row>
    <row r="3" spans="1:8" x14ac:dyDescent="0.35">
      <c r="A3" s="9" t="s">
        <v>42</v>
      </c>
      <c r="B3" s="9" t="s">
        <v>15</v>
      </c>
      <c r="C3" s="9" t="s">
        <v>10</v>
      </c>
      <c r="D3" s="9" t="s">
        <v>0</v>
      </c>
      <c r="E3" s="44" t="s">
        <v>54</v>
      </c>
      <c r="F3" s="44" t="s">
        <v>55</v>
      </c>
      <c r="G3" s="9" t="s">
        <v>32</v>
      </c>
      <c r="H3" s="9" t="s">
        <v>33</v>
      </c>
    </row>
    <row r="4" spans="1:8" x14ac:dyDescent="0.35">
      <c r="B4" s="5"/>
    </row>
    <row r="5" spans="1:8" x14ac:dyDescent="0.35">
      <c r="B5" s="5"/>
    </row>
    <row r="6" spans="1:8" x14ac:dyDescent="0.35">
      <c r="B6" s="5"/>
    </row>
  </sheetData>
  <mergeCells count="1">
    <mergeCell ref="A2:H2"/>
  </mergeCells>
  <conditionalFormatting sqref="A4:H2282">
    <cfRule type="expression" dxfId="1" priority="1">
      <formula>$A4&lt;&gt;""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E4096-0DF5-4873-9AA1-AE6F1E51A65E}">
  <sheetPr codeName="RecItemDB1">
    <tabColor rgb="FF92D050"/>
  </sheetPr>
  <dimension ref="A1:V7"/>
  <sheetViews>
    <sheetView zoomScale="108" zoomScaleNormal="108" workbookViewId="0">
      <selection sqref="A1:H2"/>
    </sheetView>
  </sheetViews>
  <sheetFormatPr baseColWidth="10" defaultColWidth="8.7265625" defaultRowHeight="14.5" x14ac:dyDescent="0.35"/>
  <cols>
    <col min="1" max="1" width="9.36328125" bestFit="1" customWidth="1"/>
    <col min="2" max="3" width="16" customWidth="1"/>
    <col min="4" max="4" width="9.453125" bestFit="1" customWidth="1"/>
    <col min="5" max="5" width="19.26953125" style="12" customWidth="1"/>
    <col min="6" max="6" width="15.7265625" style="12" customWidth="1"/>
    <col min="7" max="7" width="15.81640625" customWidth="1"/>
    <col min="8" max="8" width="14.1796875" customWidth="1"/>
    <col min="11" max="11" width="7.90625" customWidth="1"/>
    <col min="14" max="16" width="8.7265625" customWidth="1"/>
    <col min="17" max="17" width="9.90625" customWidth="1"/>
    <col min="18" max="18" width="11.54296875" customWidth="1"/>
    <col min="19" max="19" width="15.1796875" customWidth="1"/>
    <col min="20" max="20" width="10.08984375" customWidth="1"/>
    <col min="21" max="21" width="11.1796875" customWidth="1"/>
    <col min="22" max="22" width="8.453125" customWidth="1"/>
  </cols>
  <sheetData>
    <row r="1" spans="1:22" x14ac:dyDescent="0.35">
      <c r="A1" s="58" t="s">
        <v>45</v>
      </c>
      <c r="B1" s="58"/>
      <c r="C1" s="58"/>
      <c r="D1" s="58"/>
      <c r="E1" s="58"/>
      <c r="F1" s="58"/>
      <c r="G1" s="58"/>
      <c r="H1" s="58"/>
      <c r="N1" s="8" t="s">
        <v>1</v>
      </c>
      <c r="Q1" s="59" t="s">
        <v>2</v>
      </c>
      <c r="R1" s="60"/>
      <c r="S1" s="60"/>
      <c r="T1" s="60"/>
      <c r="U1" s="60"/>
      <c r="V1" s="60"/>
    </row>
    <row r="2" spans="1:22" x14ac:dyDescent="0.35">
      <c r="A2" s="58"/>
      <c r="B2" s="58"/>
      <c r="C2" s="58"/>
      <c r="D2" s="58"/>
      <c r="E2" s="58"/>
      <c r="F2" s="58"/>
      <c r="G2" s="58"/>
      <c r="H2" s="58"/>
      <c r="N2" s="8" t="s">
        <v>42</v>
      </c>
      <c r="Q2" s="8" t="s">
        <v>3</v>
      </c>
      <c r="R2" s="8" t="s">
        <v>6</v>
      </c>
      <c r="S2" s="8" t="s">
        <v>4</v>
      </c>
      <c r="T2" s="8" t="s">
        <v>5</v>
      </c>
      <c r="U2" s="8" t="s">
        <v>13</v>
      </c>
      <c r="V2" s="8" t="s">
        <v>44</v>
      </c>
    </row>
    <row r="3" spans="1:22" x14ac:dyDescent="0.35">
      <c r="A3" s="8" t="s">
        <v>42</v>
      </c>
      <c r="B3" s="8" t="s">
        <v>3</v>
      </c>
      <c r="C3" s="8" t="s">
        <v>6</v>
      </c>
      <c r="D3" s="8" t="s">
        <v>4</v>
      </c>
      <c r="E3" s="13" t="s">
        <v>5</v>
      </c>
      <c r="F3" s="13" t="s">
        <v>0</v>
      </c>
      <c r="G3" s="8" t="s">
        <v>44</v>
      </c>
      <c r="H3" s="8" t="s">
        <v>13</v>
      </c>
      <c r="N3" s="26">
        <f>Création!F4</f>
        <v>1</v>
      </c>
      <c r="Q3" t="s">
        <v>23</v>
      </c>
      <c r="R3" t="s">
        <v>24</v>
      </c>
      <c r="S3">
        <v>1</v>
      </c>
      <c r="T3" s="12">
        <v>17000</v>
      </c>
      <c r="U3">
        <v>4</v>
      </c>
      <c r="V3">
        <v>12</v>
      </c>
    </row>
    <row r="4" spans="1:22" x14ac:dyDescent="0.35">
      <c r="A4">
        <v>1</v>
      </c>
      <c r="B4" t="s">
        <v>23</v>
      </c>
      <c r="C4" t="s">
        <v>24</v>
      </c>
      <c r="D4">
        <v>1</v>
      </c>
      <c r="E4" s="12">
        <v>17000</v>
      </c>
      <c r="F4" s="12">
        <v>17000</v>
      </c>
      <c r="G4">
        <v>12</v>
      </c>
      <c r="H4">
        <f>ROW()</f>
        <v>4</v>
      </c>
      <c r="Q4" t="s">
        <v>23</v>
      </c>
      <c r="R4" t="s">
        <v>24</v>
      </c>
      <c r="S4">
        <v>1</v>
      </c>
      <c r="T4" s="12">
        <v>17000</v>
      </c>
      <c r="U4">
        <v>5</v>
      </c>
      <c r="V4">
        <v>12</v>
      </c>
    </row>
    <row r="5" spans="1:22" x14ac:dyDescent="0.35">
      <c r="A5">
        <v>1</v>
      </c>
      <c r="B5" t="s">
        <v>23</v>
      </c>
      <c r="C5" t="s">
        <v>24</v>
      </c>
      <c r="D5">
        <v>1</v>
      </c>
      <c r="E5" s="12">
        <v>17000</v>
      </c>
      <c r="F5" s="12">
        <v>17000</v>
      </c>
      <c r="G5">
        <v>12</v>
      </c>
      <c r="H5">
        <f>ROW()</f>
        <v>5</v>
      </c>
      <c r="T5" s="2"/>
    </row>
    <row r="6" spans="1:22" x14ac:dyDescent="0.35">
      <c r="T6" s="4"/>
    </row>
    <row r="7" spans="1:22" x14ac:dyDescent="0.35">
      <c r="T7" s="4"/>
    </row>
  </sheetData>
  <mergeCells count="2">
    <mergeCell ref="A1:H2"/>
    <mergeCell ref="Q1:V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5D981-7A91-4242-A18A-CF325E0FE299}">
  <sheetPr codeName="ProformaBD">
    <tabColor rgb="FFFFFFCC"/>
  </sheetPr>
  <dimension ref="A1:H3"/>
  <sheetViews>
    <sheetView showGridLines="0" showRowColHeaders="0" zoomScale="80" zoomScaleNormal="80" workbookViewId="0">
      <selection activeCell="A2" sqref="A2:H2"/>
    </sheetView>
  </sheetViews>
  <sheetFormatPr baseColWidth="10" defaultRowHeight="14.5" x14ac:dyDescent="0.35"/>
  <cols>
    <col min="1" max="1" width="19.7265625" customWidth="1"/>
    <col min="2" max="2" width="23.1796875" customWidth="1"/>
    <col min="3" max="3" width="24.81640625" customWidth="1"/>
    <col min="4" max="6" width="15.7265625" customWidth="1"/>
    <col min="7" max="7" width="18.453125" customWidth="1"/>
    <col min="8" max="8" width="40.81640625" customWidth="1"/>
  </cols>
  <sheetData>
    <row r="1" spans="1:8" ht="50" customHeight="1" x14ac:dyDescent="0.35"/>
    <row r="2" spans="1:8" ht="35" customHeight="1" x14ac:dyDescent="0.35">
      <c r="A2" s="56" t="s">
        <v>34</v>
      </c>
      <c r="B2" s="57"/>
      <c r="C2" s="57"/>
      <c r="D2" s="57"/>
      <c r="E2" s="57"/>
      <c r="F2" s="57"/>
      <c r="G2" s="57"/>
      <c r="H2" s="57"/>
    </row>
    <row r="3" spans="1:8" x14ac:dyDescent="0.35">
      <c r="A3" s="9" t="s">
        <v>35</v>
      </c>
      <c r="B3" s="9" t="s">
        <v>15</v>
      </c>
      <c r="C3" s="9" t="s">
        <v>10</v>
      </c>
      <c r="D3" s="9" t="s">
        <v>0</v>
      </c>
      <c r="E3" s="44" t="s">
        <v>54</v>
      </c>
      <c r="F3" s="44" t="s">
        <v>55</v>
      </c>
      <c r="G3" s="9" t="s">
        <v>32</v>
      </c>
      <c r="H3" s="9" t="s">
        <v>33</v>
      </c>
    </row>
  </sheetData>
  <mergeCells count="1">
    <mergeCell ref="A2:H2"/>
  </mergeCells>
  <conditionalFormatting sqref="A4:H2364">
    <cfRule type="expression" dxfId="0" priority="1">
      <formula>$A4&lt;&gt;""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5A3F0-6769-4225-8635-92FD5DC90D4C}">
  <sheetPr codeName="ProformaArt">
    <tabColor rgb="FFFFFFCC"/>
  </sheetPr>
  <dimension ref="A1:V3"/>
  <sheetViews>
    <sheetView topLeftCell="I1" workbookViewId="0">
      <selection activeCell="N1" sqref="N1:V2"/>
    </sheetView>
  </sheetViews>
  <sheetFormatPr baseColWidth="10" defaultRowHeight="14.5" x14ac:dyDescent="0.35"/>
  <cols>
    <col min="1" max="1" width="19" customWidth="1"/>
    <col min="3" max="3" width="28.453125" customWidth="1"/>
    <col min="5" max="5" width="15.08984375" customWidth="1"/>
    <col min="7" max="7" width="17.453125" customWidth="1"/>
    <col min="14" max="14" width="17.26953125" bestFit="1" customWidth="1"/>
  </cols>
  <sheetData>
    <row r="1" spans="1:22" x14ac:dyDescent="0.35">
      <c r="A1" s="58" t="s">
        <v>37</v>
      </c>
      <c r="B1" s="58"/>
      <c r="C1" s="58"/>
      <c r="D1" s="58"/>
      <c r="E1" s="58"/>
      <c r="F1" s="58"/>
      <c r="G1" s="58"/>
      <c r="H1" s="58"/>
      <c r="N1" s="8" t="s">
        <v>1</v>
      </c>
      <c r="Q1" s="59" t="s">
        <v>2</v>
      </c>
      <c r="R1" s="60"/>
      <c r="S1" s="60"/>
      <c r="T1" s="60"/>
      <c r="U1" s="60"/>
      <c r="V1" s="60"/>
    </row>
    <row r="2" spans="1:22" x14ac:dyDescent="0.35">
      <c r="A2" s="58"/>
      <c r="B2" s="58"/>
      <c r="C2" s="58"/>
      <c r="D2" s="58"/>
      <c r="E2" s="58"/>
      <c r="F2" s="58"/>
      <c r="G2" s="58"/>
      <c r="H2" s="58"/>
      <c r="N2" s="8" t="s">
        <v>35</v>
      </c>
      <c r="Q2" s="8" t="s">
        <v>3</v>
      </c>
      <c r="R2" s="8" t="s">
        <v>6</v>
      </c>
      <c r="S2" s="8" t="s">
        <v>4</v>
      </c>
      <c r="T2" s="8" t="s">
        <v>5</v>
      </c>
      <c r="U2" s="8" t="s">
        <v>13</v>
      </c>
      <c r="V2" s="8" t="s">
        <v>36</v>
      </c>
    </row>
    <row r="3" spans="1:22" x14ac:dyDescent="0.35">
      <c r="A3" s="8" t="s">
        <v>35</v>
      </c>
      <c r="B3" s="8" t="s">
        <v>3</v>
      </c>
      <c r="C3" s="8" t="s">
        <v>6</v>
      </c>
      <c r="D3" s="8" t="s">
        <v>4</v>
      </c>
      <c r="E3" s="13" t="s">
        <v>5</v>
      </c>
      <c r="F3" s="13" t="s">
        <v>0</v>
      </c>
      <c r="G3" s="8" t="s">
        <v>36</v>
      </c>
      <c r="H3" s="8" t="s">
        <v>13</v>
      </c>
      <c r="N3">
        <f>Création!F4</f>
        <v>1</v>
      </c>
      <c r="Q3" t="s">
        <v>23</v>
      </c>
      <c r="R3" t="s">
        <v>24</v>
      </c>
      <c r="S3">
        <v>5</v>
      </c>
      <c r="T3">
        <v>17000</v>
      </c>
      <c r="U3">
        <v>4</v>
      </c>
      <c r="V3">
        <v>12</v>
      </c>
    </row>
  </sheetData>
  <mergeCells count="2">
    <mergeCell ref="A1:H2"/>
    <mergeCell ref="Q1:V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C08ED-A241-46C0-9D01-86AA76BB7263}">
  <sheetPr codeName="Feuil2"/>
  <dimension ref="A1:H3"/>
  <sheetViews>
    <sheetView showGridLines="0" showRowColHeaders="0" zoomScale="80" zoomScaleNormal="80" workbookViewId="0">
      <selection activeCell="A2" sqref="A2:H2"/>
    </sheetView>
  </sheetViews>
  <sheetFormatPr baseColWidth="10" defaultRowHeight="14.5" x14ac:dyDescent="0.35"/>
  <cols>
    <col min="1" max="1" width="15.1796875" customWidth="1"/>
    <col min="2" max="2" width="16.54296875" customWidth="1"/>
    <col min="3" max="3" width="17.36328125" customWidth="1"/>
    <col min="4" max="6" width="17.54296875" customWidth="1"/>
    <col min="7" max="7" width="17" customWidth="1"/>
    <col min="8" max="8" width="40.08984375" customWidth="1"/>
  </cols>
  <sheetData>
    <row r="1" spans="1:8" ht="50" customHeight="1" x14ac:dyDescent="0.35"/>
    <row r="2" spans="1:8" ht="35" customHeight="1" x14ac:dyDescent="0.35">
      <c r="A2" s="56" t="s">
        <v>50</v>
      </c>
      <c r="B2" s="57"/>
      <c r="C2" s="57"/>
      <c r="D2" s="57"/>
      <c r="E2" s="57"/>
      <c r="F2" s="57"/>
      <c r="G2" s="57"/>
      <c r="H2" s="57"/>
    </row>
    <row r="3" spans="1:8" x14ac:dyDescent="0.35">
      <c r="A3" s="9" t="s">
        <v>47</v>
      </c>
      <c r="B3" s="9" t="s">
        <v>15</v>
      </c>
      <c r="C3" s="9" t="s">
        <v>41</v>
      </c>
      <c r="D3" s="9" t="s">
        <v>0</v>
      </c>
      <c r="E3" s="44" t="s">
        <v>54</v>
      </c>
      <c r="F3" s="44" t="s">
        <v>55</v>
      </c>
      <c r="G3" s="9" t="s">
        <v>32</v>
      </c>
      <c r="H3" s="9" t="s">
        <v>33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A393-B18A-45B9-9BE6-88ED3F3C9634}">
  <sheetPr codeName="Feuil4"/>
  <dimension ref="A1:V3"/>
  <sheetViews>
    <sheetView topLeftCell="H1" workbookViewId="0">
      <selection activeCell="V13" sqref="V13"/>
    </sheetView>
  </sheetViews>
  <sheetFormatPr baseColWidth="10" defaultRowHeight="14.5" x14ac:dyDescent="0.35"/>
  <cols>
    <col min="1" max="1" width="17.26953125" bestFit="1" customWidth="1"/>
    <col min="7" max="7" width="14.6328125" bestFit="1" customWidth="1"/>
  </cols>
  <sheetData>
    <row r="1" spans="1:22" x14ac:dyDescent="0.35">
      <c r="A1" s="58" t="s">
        <v>49</v>
      </c>
      <c r="B1" s="58"/>
      <c r="C1" s="58"/>
      <c r="D1" s="58"/>
      <c r="E1" s="58"/>
      <c r="F1" s="58"/>
      <c r="G1" s="58"/>
      <c r="H1" s="58"/>
      <c r="N1" s="8" t="s">
        <v>1</v>
      </c>
      <c r="Q1" s="59" t="s">
        <v>2</v>
      </c>
      <c r="R1" s="60"/>
      <c r="S1" s="60"/>
      <c r="T1" s="60"/>
      <c r="U1" s="60"/>
      <c r="V1" s="60"/>
    </row>
    <row r="2" spans="1:22" x14ac:dyDescent="0.35">
      <c r="A2" s="58"/>
      <c r="B2" s="58"/>
      <c r="C2" s="58"/>
      <c r="D2" s="58"/>
      <c r="E2" s="58"/>
      <c r="F2" s="58"/>
      <c r="G2" s="58"/>
      <c r="H2" s="58"/>
      <c r="N2" s="8" t="s">
        <v>47</v>
      </c>
      <c r="Q2" s="8" t="s">
        <v>3</v>
      </c>
      <c r="R2" s="8" t="s">
        <v>6</v>
      </c>
      <c r="S2" s="8" t="s">
        <v>4</v>
      </c>
      <c r="T2" s="8" t="s">
        <v>5</v>
      </c>
      <c r="U2" s="8" t="s">
        <v>13</v>
      </c>
      <c r="V2" s="8" t="s">
        <v>48</v>
      </c>
    </row>
    <row r="3" spans="1:22" x14ac:dyDescent="0.35">
      <c r="A3" s="8" t="s">
        <v>47</v>
      </c>
      <c r="B3" s="8" t="s">
        <v>3</v>
      </c>
      <c r="C3" s="8" t="s">
        <v>6</v>
      </c>
      <c r="D3" s="8" t="s">
        <v>4</v>
      </c>
      <c r="E3" s="13" t="s">
        <v>5</v>
      </c>
      <c r="F3" s="13" t="s">
        <v>0</v>
      </c>
      <c r="G3" s="8" t="s">
        <v>48</v>
      </c>
      <c r="H3" s="8" t="s">
        <v>13</v>
      </c>
    </row>
  </sheetData>
  <mergeCells count="2">
    <mergeCell ref="A1:H2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7</vt:i4>
      </vt:variant>
    </vt:vector>
  </HeadingPairs>
  <TitlesOfParts>
    <vt:vector size="20" baseType="lpstr">
      <vt:lpstr>Menu</vt:lpstr>
      <vt:lpstr>Création</vt:lpstr>
      <vt:lpstr>Clients</vt:lpstr>
      <vt:lpstr>Fournisseurs</vt:lpstr>
      <vt:lpstr>Articles</vt:lpstr>
      <vt:lpstr>FactureBD</vt:lpstr>
      <vt:lpstr>ArticleFactureBD</vt:lpstr>
      <vt:lpstr>BL</vt:lpstr>
      <vt:lpstr>ArticleBL</vt:lpstr>
      <vt:lpstr>FactureProBD</vt:lpstr>
      <vt:lpstr>ArticleFactureProBD</vt:lpstr>
      <vt:lpstr>BC</vt:lpstr>
      <vt:lpstr>ArticleBC</vt:lpstr>
      <vt:lpstr>ArticleBL!Criteres</vt:lpstr>
      <vt:lpstr>ArticleFactureBD!Criteres</vt:lpstr>
      <vt:lpstr>ArticleFactureProBD!Criteres</vt:lpstr>
      <vt:lpstr>ArticleBL!Extraire</vt:lpstr>
      <vt:lpstr>ArticleFactureBD!Extraire</vt:lpstr>
      <vt:lpstr>ArticleFactureProBD!Extraire</vt:lpstr>
      <vt:lpstr>Création!Zone_d_impression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Narimen</dc:creator>
  <cp:lastModifiedBy>Narimen yazid</cp:lastModifiedBy>
  <cp:lastPrinted>2025-01-11T11:18:56Z</cp:lastPrinted>
  <dcterms:created xsi:type="dcterms:W3CDTF">2024-10-07T07:13:09Z</dcterms:created>
  <dcterms:modified xsi:type="dcterms:W3CDTF">2025-01-14T10:18:54Z</dcterms:modified>
</cp:coreProperties>
</file>