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filterPrivacy="1" hidePivotFieldList="1" defaultThemeVersion="124226"/>
  <xr:revisionPtr revIDLastSave="0" documentId="13_ncr:1_{1767FF98-8940-488E-B806-DB186AAD2A76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graphiques" sheetId="9" r:id="rId1"/>
    <sheet name="LES FORMULES BASIQUES" sheetId="10" r:id="rId2"/>
    <sheet name="format tableau " sheetId="11" r:id="rId3"/>
    <sheet name="figer les cellules" sheetId="12" r:id="rId4"/>
    <sheet name="suivi de caisse" sheetId="2" r:id="rId5"/>
    <sheet name="PV DE CAISSE" sheetId="1" r:id="rId6"/>
  </sheets>
  <externalReferences>
    <externalReference r:id="rId7"/>
  </externalReferences>
  <definedNames>
    <definedName name="_xlnm._FilterDatabase" localSheetId="2" hidden="1">'format tableau '!$C$2:$H$22</definedName>
    <definedName name="Segment_PROUDUIT">#N/A</definedName>
    <definedName name="tablnom">[1]Feuil1!$M$2:$N$8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0" l="1"/>
  <c r="F23" i="2"/>
  <c r="G11" i="2"/>
  <c r="C6" i="12"/>
  <c r="C8" i="12"/>
  <c r="C7" i="12"/>
  <c r="G12" i="2"/>
  <c r="G13" i="2" l="1"/>
  <c r="G14" i="2" s="1"/>
  <c r="G15" i="2" s="1"/>
  <c r="G16" i="2" s="1"/>
  <c r="G17" i="2" s="1"/>
  <c r="G18" i="2" s="1"/>
  <c r="G19" i="2" s="1"/>
  <c r="G20" i="2" s="1"/>
  <c r="G21" i="2" s="1"/>
  <c r="G22" i="2" s="1"/>
  <c r="F22" i="11"/>
  <c r="G22" i="11" s="1"/>
  <c r="B15" i="10"/>
  <c r="B14" i="10"/>
  <c r="B6" i="9"/>
  <c r="H22" i="11" l="1"/>
  <c r="E10" i="2"/>
  <c r="E23" i="2" l="1"/>
  <c r="E24" i="2" s="1"/>
  <c r="J17" i="1" s="1"/>
  <c r="G6" i="12"/>
  <c r="J8" i="1"/>
  <c r="G8" i="12" l="1"/>
  <c r="B16" i="10"/>
  <c r="J9" i="1" l="1"/>
  <c r="H8" i="12" l="1"/>
  <c r="I7" i="12"/>
  <c r="G7" i="12"/>
  <c r="H7" i="12"/>
  <c r="I8" i="12"/>
  <c r="H6" i="12"/>
  <c r="I6" i="12"/>
  <c r="F3" i="11"/>
  <c r="G3" i="11" s="1"/>
  <c r="H3" i="11" s="1"/>
  <c r="F11" i="11"/>
  <c r="G11" i="11" s="1"/>
  <c r="F12" i="11"/>
  <c r="G12" i="11" s="1"/>
  <c r="H12" i="11" s="1"/>
  <c r="F17" i="11"/>
  <c r="G17" i="11" s="1"/>
  <c r="H17" i="11" s="1"/>
  <c r="F21" i="11"/>
  <c r="G21" i="11" s="1"/>
  <c r="H21" i="11" s="1"/>
  <c r="F6" i="11"/>
  <c r="G6" i="11" s="1"/>
  <c r="F13" i="11"/>
  <c r="G13" i="11" s="1"/>
  <c r="H13" i="11" s="1"/>
  <c r="F9" i="11"/>
  <c r="G9" i="11" s="1"/>
  <c r="F16" i="11"/>
  <c r="G16" i="11" s="1"/>
  <c r="F20" i="11"/>
  <c r="G20" i="11" s="1"/>
  <c r="F5" i="11"/>
  <c r="G5" i="11" s="1"/>
  <c r="F10" i="11"/>
  <c r="G10" i="11" s="1"/>
  <c r="F15" i="11"/>
  <c r="G15" i="11" s="1"/>
  <c r="H15" i="11" s="1"/>
  <c r="F19" i="11"/>
  <c r="F4" i="11"/>
  <c r="F8" i="11"/>
  <c r="G8" i="11" s="1"/>
  <c r="H8" i="11" s="1"/>
  <c r="F7" i="11"/>
  <c r="G7" i="11" s="1"/>
  <c r="F14" i="11"/>
  <c r="G14" i="11" s="1"/>
  <c r="F18" i="11"/>
  <c r="B19" i="10"/>
  <c r="C18" i="10"/>
  <c r="B18" i="10"/>
  <c r="C17" i="10"/>
  <c r="B17" i="10"/>
  <c r="C16" i="10"/>
  <c r="H20" i="11" l="1"/>
  <c r="H11" i="11"/>
  <c r="H5" i="11"/>
  <c r="H6" i="11"/>
  <c r="H10" i="11"/>
  <c r="H9" i="11"/>
  <c r="H16" i="11"/>
  <c r="G19" i="11"/>
  <c r="H19" i="11" s="1"/>
  <c r="G4" i="11"/>
  <c r="H4" i="11" s="1"/>
  <c r="H7" i="11"/>
  <c r="H14" i="11"/>
  <c r="G18" i="11"/>
  <c r="H18" i="11" s="1"/>
  <c r="H23" i="11" l="1"/>
  <c r="C15" i="10"/>
  <c r="C14" i="10"/>
  <c r="C19" i="10" s="1"/>
  <c r="D13" i="10"/>
  <c r="D12" i="10"/>
  <c r="D11" i="10"/>
  <c r="D10" i="10"/>
  <c r="D9" i="10"/>
  <c r="D8" i="10"/>
  <c r="D7" i="10"/>
  <c r="D6" i="10"/>
  <c r="D5" i="10"/>
  <c r="D4" i="10"/>
  <c r="D3" i="10"/>
  <c r="D2" i="10"/>
  <c r="D22" i="9"/>
  <c r="D21" i="9"/>
  <c r="D20" i="9"/>
  <c r="D19" i="9"/>
  <c r="D18" i="9"/>
  <c r="D17" i="9"/>
  <c r="D16" i="9"/>
  <c r="D15" i="9"/>
  <c r="D14" i="9"/>
  <c r="D13" i="9"/>
  <c r="D12" i="9"/>
  <c r="D11" i="9"/>
  <c r="I6" i="9"/>
  <c r="C6" i="9"/>
  <c r="D6" i="9"/>
  <c r="E6" i="9"/>
  <c r="F6" i="9"/>
  <c r="G6" i="9"/>
  <c r="H6" i="9"/>
  <c r="J6" i="9"/>
  <c r="K6" i="9"/>
  <c r="L6" i="9"/>
  <c r="M6" i="9"/>
  <c r="D17" i="10" l="1"/>
  <c r="D18" i="10"/>
  <c r="D16" i="10"/>
  <c r="D15" i="10"/>
  <c r="D14" i="10"/>
  <c r="D19" i="10" l="1"/>
  <c r="B12" i="2"/>
  <c r="B13" i="2"/>
  <c r="B14" i="2"/>
  <c r="B15" i="2"/>
  <c r="B16" i="2"/>
  <c r="B17" i="2"/>
  <c r="B18" i="2"/>
  <c r="B19" i="2"/>
  <c r="B20" i="2"/>
  <c r="B21" i="2"/>
  <c r="B22" i="2"/>
  <c r="B11" i="2" l="1"/>
  <c r="G5" i="2" l="1"/>
  <c r="J10" i="1" l="1"/>
  <c r="J11" i="1"/>
  <c r="J12" i="1"/>
  <c r="J13" i="1"/>
  <c r="J14" i="1"/>
  <c r="J15" i="1"/>
  <c r="C4" i="1"/>
  <c r="J16" i="1" l="1"/>
  <c r="J18" i="1" s="1"/>
  <c r="G6" i="1" l="1"/>
</calcChain>
</file>

<file path=xl/sharedStrings.xml><?xml version="1.0" encoding="utf-8"?>
<sst xmlns="http://schemas.openxmlformats.org/spreadsheetml/2006/main" count="142" uniqueCount="90">
  <si>
    <t>La date :</t>
  </si>
  <si>
    <t>la somme dans la caisse au date ,,,,,,, est un montant de :</t>
  </si>
  <si>
    <t>Biillets d'espaces</t>
  </si>
  <si>
    <t>Nombre</t>
  </si>
  <si>
    <t>Montant</t>
  </si>
  <si>
    <t>Total d'espace phisique</t>
  </si>
  <si>
    <t>solde de caisse comptable</t>
  </si>
  <si>
    <t>differance</t>
  </si>
  <si>
    <t>SOLDES</t>
  </si>
  <si>
    <t>DEPENSES</t>
  </si>
  <si>
    <t>RECETTES</t>
  </si>
  <si>
    <t>LIBELLES</t>
  </si>
  <si>
    <t>DATE</t>
  </si>
  <si>
    <t>N°</t>
  </si>
  <si>
    <t>DEPARTEMENT FINANCES &amp; COMPTABILITE</t>
  </si>
  <si>
    <t>DIRECTION  FINANCES &amp; COMPTABILITE</t>
  </si>
  <si>
    <t>DIRECTION GENERALE</t>
  </si>
  <si>
    <t>ALGER LE  :</t>
  </si>
  <si>
    <t>SOLDE AU 31/07/2022</t>
  </si>
  <si>
    <t>TOTAL MOUVEMENT DU 01/08/2022 AU 31/08/2022</t>
  </si>
  <si>
    <t>Solde au 31/08/2022</t>
  </si>
  <si>
    <t>TOTAL</t>
  </si>
  <si>
    <t>MOYENNE</t>
  </si>
  <si>
    <t>MAX</t>
  </si>
  <si>
    <t>MIN</t>
  </si>
  <si>
    <t>NB</t>
  </si>
  <si>
    <t>علامة الدولار قبل الحرف</t>
  </si>
  <si>
    <t xml:space="preserve">تثبيث العمود </t>
  </si>
  <si>
    <t>علامة الدولار قبل الرقم</t>
  </si>
  <si>
    <t>تثبيث السطر</t>
  </si>
  <si>
    <t>علامة الدولار قبل الرقم وقبل الحرف</t>
  </si>
  <si>
    <t>تثبيث العمود و السطر</t>
  </si>
  <si>
    <t>prouduit</t>
  </si>
  <si>
    <t>prix d'achat</t>
  </si>
  <si>
    <t>prix de vent</t>
  </si>
  <si>
    <t>produit</t>
  </si>
  <si>
    <t>alimentation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</si>
  <si>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</si>
  <si>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</si>
  <si>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</si>
  <si>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</si>
  <si>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</si>
  <si>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</si>
  <si>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</si>
  <si>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</si>
  <si>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</si>
  <si>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</si>
  <si>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</si>
  <si>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</si>
  <si>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recette</t>
  </si>
  <si>
    <t>solde</t>
  </si>
  <si>
    <t>Q</t>
  </si>
  <si>
    <t>HT</t>
  </si>
  <si>
    <t>TVA</t>
  </si>
  <si>
    <t>TTC</t>
  </si>
  <si>
    <t>BUREAU</t>
  </si>
  <si>
    <t>dépense</t>
  </si>
  <si>
    <t>PROUDUIT</t>
  </si>
  <si>
    <t>PU</t>
  </si>
  <si>
    <t>TELEPHONE</t>
  </si>
  <si>
    <t xml:space="preserve">DELL </t>
  </si>
  <si>
    <t>recette recettte</t>
  </si>
  <si>
    <t>1- insertion 2-tableau</t>
  </si>
  <si>
    <t>pou fair format tableau :</t>
  </si>
  <si>
    <t>pour rechercher :</t>
  </si>
  <si>
    <t>1- ctrl + f</t>
  </si>
  <si>
    <t>pour remplacer</t>
  </si>
  <si>
    <t xml:space="preserve">1- ctrl + H </t>
  </si>
  <si>
    <t>CALCULE TOTAL :</t>
  </si>
  <si>
    <t>CALCULE NB :</t>
  </si>
  <si>
    <t>CALCULE MAX :</t>
  </si>
  <si>
    <t>CALCULE MIN :</t>
  </si>
  <si>
    <t>CALCULE MOYENNE :</t>
  </si>
  <si>
    <t>UTILISE LA FORMULE SOMME</t>
  </si>
  <si>
    <t>UTILISE LA FORMULE NB</t>
  </si>
  <si>
    <t>UTILISE LA FORMULE MAX</t>
  </si>
  <si>
    <t>UTILISE LA FORMULE MIN</t>
  </si>
  <si>
    <t>UTILISE LA FORMULE MOYENNE</t>
  </si>
  <si>
    <t>TOTAL / NB</t>
  </si>
  <si>
    <t>1- collage spécial ; 2- transposé</t>
  </si>
  <si>
    <t>pour faire graphique :</t>
  </si>
  <si>
    <t>1- insertion 2- graphique</t>
  </si>
  <si>
    <t>pour faire la mise en forme de cellules :</t>
  </si>
  <si>
    <t>1- accueil 2- police</t>
  </si>
  <si>
    <t>gg</t>
  </si>
  <si>
    <t>1</t>
  </si>
  <si>
    <t>2</t>
  </si>
  <si>
    <t>3</t>
  </si>
  <si>
    <t>taux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</si>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</sst>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dd/mm/yy;@"/>
    <numFmt numFmtId="166" formatCode="#,##0.00_ ;\-#,##0.00\ 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F0"/>
        <bgColor theme="4" tint="0.79998168889431442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164" fontId="4" fillId="0" borderId="0" xfId="1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3" borderId="1" xfId="0" applyFont="1" applyFill="1" applyBorder="1" applyAlignment="1">
      <alignment horizontal="right"/>
    </xf>
    <xf numFmtId="14" fontId="4" fillId="0" borderId="1" xfId="0" applyNumberFormat="1" applyFont="1" applyBorder="1" applyAlignment="1">
      <alignment horizontal="left"/>
    </xf>
    <xf numFmtId="0" fontId="7" fillId="0" borderId="0" xfId="0" applyFont="1"/>
    <xf numFmtId="14" fontId="5" fillId="0" borderId="0" xfId="0" applyNumberFormat="1" applyFont="1"/>
    <xf numFmtId="0" fontId="6" fillId="0" borderId="0" xfId="0" applyFont="1"/>
    <xf numFmtId="2" fontId="5" fillId="0" borderId="0" xfId="0" applyNumberFormat="1" applyFont="1"/>
    <xf numFmtId="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164" fontId="8" fillId="4" borderId="1" xfId="1" applyFont="1" applyFill="1" applyBorder="1" applyAlignment="1">
      <alignment horizontal="center" vertical="center"/>
    </xf>
    <xf numFmtId="166" fontId="8" fillId="0" borderId="1" xfId="1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6" fontId="9" fillId="0" borderId="1" xfId="1" applyNumberFormat="1" applyFont="1" applyFill="1" applyBorder="1" applyAlignment="1">
      <alignment horizontal="right" vertical="center"/>
    </xf>
    <xf numFmtId="166" fontId="9" fillId="0" borderId="1" xfId="1" applyNumberFormat="1" applyFont="1" applyFill="1" applyBorder="1" applyAlignment="1">
      <alignment horizontal="right"/>
    </xf>
    <xf numFmtId="166" fontId="10" fillId="0" borderId="1" xfId="1" applyNumberFormat="1" applyFont="1" applyFill="1" applyBorder="1" applyAlignment="1">
      <alignment horizontal="right"/>
    </xf>
    <xf numFmtId="166" fontId="10" fillId="0" borderId="1" xfId="1" applyNumberFormat="1" applyFont="1" applyFill="1" applyBorder="1" applyAlignment="1">
      <alignment horizontal="right" vertical="center"/>
    </xf>
    <xf numFmtId="4" fontId="8" fillId="0" borderId="1" xfId="1" applyNumberFormat="1" applyFont="1" applyFill="1" applyBorder="1" applyAlignment="1">
      <alignment horizontal="center" vertical="center"/>
    </xf>
    <xf numFmtId="4" fontId="8" fillId="5" borderId="0" xfId="1" applyNumberFormat="1" applyFont="1" applyFill="1" applyBorder="1" applyAlignment="1">
      <alignment vertical="center"/>
    </xf>
    <xf numFmtId="164" fontId="9" fillId="0" borderId="0" xfId="1" applyFont="1" applyFill="1"/>
    <xf numFmtId="164" fontId="0" fillId="0" borderId="1" xfId="1" applyFont="1" applyBorder="1"/>
    <xf numFmtId="0" fontId="12" fillId="0" borderId="1" xfId="0" applyFont="1" applyBorder="1"/>
    <xf numFmtId="2" fontId="11" fillId="0" borderId="0" xfId="2" applyNumberFormat="1" applyFont="1" applyFill="1" applyAlignment="1">
      <alignment horizontal="center"/>
    </xf>
    <xf numFmtId="164" fontId="0" fillId="0" borderId="0" xfId="1" applyFont="1" applyFill="1" applyBorder="1"/>
    <xf numFmtId="0" fontId="12" fillId="3" borderId="1" xfId="0" applyFont="1" applyFill="1" applyBorder="1" applyAlignment="1">
      <alignment horizontal="center"/>
    </xf>
    <xf numFmtId="49" fontId="0" fillId="7" borderId="1" xfId="0" applyNumberFormat="1" applyFill="1" applyBorder="1" applyAlignment="1">
      <alignment horizontal="center" vertical="center"/>
    </xf>
    <xf numFmtId="164" fontId="12" fillId="0" borderId="1" xfId="1" applyFont="1" applyBorder="1"/>
    <xf numFmtId="4" fontId="0" fillId="0" borderId="1" xfId="0" applyNumberFormat="1" applyBorder="1" applyAlignment="1">
      <alignment horizontal="right"/>
    </xf>
    <xf numFmtId="0" fontId="14" fillId="9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4" fontId="12" fillId="11" borderId="1" xfId="0" applyNumberFormat="1" applyFont="1" applyFill="1" applyBorder="1"/>
    <xf numFmtId="0" fontId="12" fillId="11" borderId="1" xfId="0" applyFont="1" applyFill="1" applyBorder="1" applyAlignment="1">
      <alignment horizontal="center" vertical="center"/>
    </xf>
    <xf numFmtId="0" fontId="0" fillId="8" borderId="0" xfId="0" applyFill="1"/>
    <xf numFmtId="0" fontId="14" fillId="9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right" vertical="center"/>
    </xf>
    <xf numFmtId="0" fontId="12" fillId="0" borderId="0" xfId="0" applyFont="1"/>
    <xf numFmtId="0" fontId="12" fillId="8" borderId="0" xfId="0" applyFont="1" applyFill="1"/>
    <xf numFmtId="4" fontId="0" fillId="0" borderId="0" xfId="0" applyNumberFormat="1" applyAlignment="1">
      <alignment horizontal="right"/>
    </xf>
    <xf numFmtId="0" fontId="14" fillId="0" borderId="0" xfId="0" applyFont="1" applyAlignment="1">
      <alignment horizontal="center"/>
    </xf>
    <xf numFmtId="4" fontId="12" fillId="0" borderId="0" xfId="0" applyNumberFormat="1" applyFont="1" applyAlignment="1">
      <alignment horizontal="right"/>
    </xf>
    <xf numFmtId="4" fontId="12" fillId="8" borderId="0" xfId="0" applyNumberFormat="1" applyFont="1" applyFill="1" applyAlignment="1">
      <alignment horizontal="right"/>
    </xf>
    <xf numFmtId="4" fontId="0" fillId="8" borderId="0" xfId="0" applyNumberFormat="1" applyFill="1" applyAlignment="1">
      <alignment horizontal="right"/>
    </xf>
    <xf numFmtId="0" fontId="1" fillId="8" borderId="0" xfId="0" applyFont="1" applyFill="1" applyAlignment="1">
      <alignment horizontal="center"/>
    </xf>
    <xf numFmtId="0" fontId="5" fillId="8" borderId="0" xfId="0" applyFont="1" applyFill="1"/>
    <xf numFmtId="0" fontId="15" fillId="12" borderId="8" xfId="0" applyFont="1" applyFill="1" applyBorder="1" applyAlignment="1">
      <alignment horizontal="center" vertical="center"/>
    </xf>
    <xf numFmtId="0" fontId="16" fillId="0" borderId="0" xfId="0" applyFont="1"/>
    <xf numFmtId="0" fontId="6" fillId="13" borderId="1" xfId="0" applyFont="1" applyFill="1" applyBorder="1" applyAlignment="1">
      <alignment horizontal="center" vertical="center"/>
    </xf>
    <xf numFmtId="4" fontId="6" fillId="13" borderId="1" xfId="0" applyNumberFormat="1" applyFont="1" applyFill="1" applyBorder="1" applyAlignment="1">
      <alignment horizontal="center" vertical="center"/>
    </xf>
    <xf numFmtId="0" fontId="6" fillId="13" borderId="28" xfId="0" applyFont="1" applyFill="1" applyBorder="1" applyAlignment="1">
      <alignment horizontal="center" vertical="center"/>
    </xf>
    <xf numFmtId="4" fontId="6" fillId="13" borderId="28" xfId="0" applyNumberFormat="1" applyFont="1" applyFill="1" applyBorder="1" applyAlignment="1">
      <alignment horizontal="center" vertical="center"/>
    </xf>
    <xf numFmtId="0" fontId="17" fillId="13" borderId="28" xfId="0" applyFont="1" applyFill="1" applyBorder="1" applyAlignment="1">
      <alignment horizontal="center" vertical="center"/>
    </xf>
    <xf numFmtId="4" fontId="17" fillId="13" borderId="28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2" fillId="0" borderId="1" xfId="1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12" fillId="0" borderId="1" xfId="1" applyFont="1" applyFill="1" applyBorder="1" applyAlignment="1">
      <alignment horizontal="center"/>
    </xf>
    <xf numFmtId="0" fontId="6" fillId="15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4" fontId="6" fillId="13" borderId="2" xfId="0" applyNumberFormat="1" applyFont="1" applyFill="1" applyBorder="1" applyAlignment="1">
      <alignment horizontal="center" vertical="center"/>
    </xf>
    <xf numFmtId="4" fontId="6" fillId="13" borderId="5" xfId="0" applyNumberFormat="1" applyFont="1" applyFill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4" fontId="17" fillId="13" borderId="5" xfId="0" applyNumberFormat="1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13" borderId="29" xfId="0" applyFont="1" applyFill="1" applyBorder="1" applyAlignment="1">
      <alignment horizontal="center" vertical="center"/>
    </xf>
    <xf numFmtId="4" fontId="6" fillId="13" borderId="8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2" fontId="13" fillId="6" borderId="2" xfId="2" applyNumberFormat="1" applyFont="1" applyFill="1" applyBorder="1" applyAlignment="1">
      <alignment horizontal="center"/>
    </xf>
    <xf numFmtId="2" fontId="13" fillId="6" borderId="4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4" fontId="5" fillId="2" borderId="2" xfId="0" applyNumberFormat="1" applyFont="1" applyFill="1" applyBorder="1" applyAlignment="1">
      <alignment horizontal="right"/>
    </xf>
    <xf numFmtId="4" fontId="5" fillId="2" borderId="3" xfId="0" applyNumberFormat="1" applyFont="1" applyFill="1" applyBorder="1" applyAlignment="1">
      <alignment horizontal="right"/>
    </xf>
    <xf numFmtId="4" fontId="5" fillId="2" borderId="16" xfId="0" applyNumberFormat="1" applyFont="1" applyFill="1" applyBorder="1" applyAlignment="1">
      <alignment horizontal="right"/>
    </xf>
    <xf numFmtId="4" fontId="5" fillId="4" borderId="1" xfId="0" applyNumberFormat="1" applyFont="1" applyFill="1" applyBorder="1" applyAlignment="1">
      <alignment horizontal="right"/>
    </xf>
    <xf numFmtId="4" fontId="5" fillId="4" borderId="18" xfId="0" applyNumberFormat="1" applyFont="1" applyFill="1" applyBorder="1" applyAlignment="1">
      <alignment horizontal="right"/>
    </xf>
    <xf numFmtId="0" fontId="5" fillId="2" borderId="1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right"/>
    </xf>
    <xf numFmtId="4" fontId="5" fillId="6" borderId="18" xfId="0" applyNumberFormat="1" applyFont="1" applyFill="1" applyBorder="1" applyAlignment="1">
      <alignment horizontal="right"/>
    </xf>
    <xf numFmtId="0" fontId="1" fillId="2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4" fontId="6" fillId="0" borderId="2" xfId="0" applyNumberFormat="1" applyFont="1" applyBorder="1" applyAlignment="1">
      <alignment horizontal="right" vertical="center"/>
    </xf>
    <xf numFmtId="4" fontId="6" fillId="0" borderId="3" xfId="0" applyNumberFormat="1" applyFont="1" applyBorder="1" applyAlignment="1">
      <alignment horizontal="right" vertical="center"/>
    </xf>
    <xf numFmtId="4" fontId="6" fillId="0" borderId="16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</font>
      <fill>
        <patternFill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suivi de caisse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graphiques!$B$10</c:f>
              <c:strCache>
                <c:ptCount val="1"/>
                <c:pt idx="0">
                  <c:v>recette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8006241624786755E-18"/>
                  <c:y val="-6.01851851851851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DF-4A47-A361-F64FF3AABD6E}"/>
                </c:ext>
              </c:extLst>
            </c:dLbl>
            <c:dLbl>
              <c:idx val="1"/>
              <c:layout>
                <c:manualLayout>
                  <c:x val="-1.5714719680954069E-3"/>
                  <c:y val="-4.16666666666667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DF-4A47-A361-F64FF3AABD6E}"/>
                </c:ext>
              </c:extLst>
            </c:dLbl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graphiques!$A$11:$A$22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graphiques!$B$11:$B$22</c:f>
              <c:numCache>
                <c:formatCode>#,##0.00</c:formatCode>
                <c:ptCount val="12"/>
                <c:pt idx="0">
                  <c:v>150000</c:v>
                </c:pt>
                <c:pt idx="1">
                  <c:v>70000</c:v>
                </c:pt>
                <c:pt idx="2">
                  <c:v>90000</c:v>
                </c:pt>
                <c:pt idx="3">
                  <c:v>110000</c:v>
                </c:pt>
                <c:pt idx="4">
                  <c:v>130000</c:v>
                </c:pt>
                <c:pt idx="5">
                  <c:v>150000</c:v>
                </c:pt>
                <c:pt idx="6">
                  <c:v>170000</c:v>
                </c:pt>
                <c:pt idx="7">
                  <c:v>190000</c:v>
                </c:pt>
                <c:pt idx="8">
                  <c:v>210000</c:v>
                </c:pt>
                <c:pt idx="9">
                  <c:v>230000</c:v>
                </c:pt>
                <c:pt idx="10">
                  <c:v>250000</c:v>
                </c:pt>
                <c:pt idx="11">
                  <c:v>270000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F-4A47-A361-F64FF3AABD6E}"/>
            </c:ext>
          </c:extLst>
        </c:ser>
        <c:ser>
          <c:idx val="1"/>
          <c:order val="1"/>
          <c:tx>
            <c:strRef>
              <c:f>graphiques!$C$10</c:f>
              <c:strCache>
                <c:ptCount val="1"/>
                <c:pt idx="0">
                  <c:v>dépense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graphiques!$A$11:$A$22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graphiques!$C$11:$C$22</c:f>
              <c:numCache>
                <c:formatCode>#,##0.00</c:formatCode>
                <c:ptCount val="12"/>
                <c:pt idx="0">
                  <c:v>35000</c:v>
                </c:pt>
                <c:pt idx="1">
                  <c:v>40000</c:v>
                </c:pt>
                <c:pt idx="2">
                  <c:v>45000</c:v>
                </c:pt>
                <c:pt idx="3">
                  <c:v>50000</c:v>
                </c:pt>
                <c:pt idx="4">
                  <c:v>55000</c:v>
                </c:pt>
                <c:pt idx="5">
                  <c:v>60000</c:v>
                </c:pt>
                <c:pt idx="6">
                  <c:v>65000</c:v>
                </c:pt>
                <c:pt idx="7">
                  <c:v>70000</c:v>
                </c:pt>
                <c:pt idx="8">
                  <c:v>75000</c:v>
                </c:pt>
                <c:pt idx="9">
                  <c:v>80000</c:v>
                </c:pt>
                <c:pt idx="10">
                  <c:v>85000</c:v>
                </c:pt>
                <c:pt idx="11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F-4A47-A361-F64FF3AABD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278968"/>
        <c:axId val="189276616"/>
      </c:barChart>
      <c:catAx>
        <c:axId val="18927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276616"/>
        <c:crosses val="autoZero"/>
        <c:auto val="1"/>
        <c:lblAlgn val="ctr"/>
        <c:lblOffset val="100"/>
        <c:noMultiLvlLbl val="0"/>
      </c:catAx>
      <c:valAx>
        <c:axId val="189276616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8927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71072</xdr:colOff>
      <xdr:row>8</xdr:row>
      <xdr:rowOff>133350</xdr:rowOff>
    </xdr:from>
    <xdr:to>
      <xdr:col>14</xdr:col>
      <xdr:colOff>532667</xdr:colOff>
      <xdr:row>22</xdr:row>
      <xdr:rowOff>138478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229465</xdr:colOff>
      <xdr:row>1</xdr:row>
      <xdr:rowOff>42430</xdr:rowOff>
    </xdr:from>
    <xdr:to>
      <xdr:col>10</xdr:col>
      <xdr:colOff>534265</xdr:colOff>
      <xdr:row>6</xdr:row>
      <xdr:rowOff>103909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PROUDUIT">
              <a:extLst>
                <a:ext uri="{FF2B5EF4-FFF2-40B4-BE49-F238E27FC236}">
                  <a16:creationId xmlns:a16="http://schemas.microsoft.com/office/drawing/2014/main" id="{DF8AB861-846B-8312-DCE9-EE56044451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UDUI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7420" y="284885"/>
              <a:ext cx="1828800" cy="1273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47626</xdr:colOff>
      <xdr:row>0</xdr:row>
      <xdr:rowOff>0</xdr:rowOff>
    </xdr:from>
    <xdr:to>
      <xdr:col>7</xdr:col>
      <xdr:colOff>2382</xdr:colOff>
      <xdr:row>2</xdr:row>
      <xdr:rowOff>114300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9626" y="0"/>
          <a:ext cx="8060531" cy="4953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suivi de caisse</a:t>
          </a:r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28575</xdr:rowOff>
    </xdr:from>
    <xdr:to>
      <xdr:col>13</xdr:col>
      <xdr:colOff>95250</xdr:colOff>
      <xdr:row>2</xdr:row>
      <xdr:rowOff>114300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638175" y="28575"/>
          <a:ext cx="8020050" cy="46672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800"/>
            <a:t>PV</a:t>
          </a:r>
          <a:r>
            <a:rPr lang="fr-FR" sz="2800" baseline="0"/>
            <a:t> DE CAISSE</a:t>
          </a:r>
          <a:endParaRPr lang="fr-FR" sz="28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GUE1/Desktop/dossier%20Excel%20sidali/liste%20deroulante/liste%20d&#233;roula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  <sheetName val="Feuil1"/>
    </sheetNames>
    <sheetDataSet>
      <sheetData sheetId="0"/>
      <sheetData sheetId="1">
        <row r="2">
          <cell r="L2">
            <v>1</v>
          </cell>
          <cell r="M2" t="str">
            <v>sidali 01</v>
          </cell>
          <cell r="N2" t="str">
            <v>sidali 01</v>
          </cell>
        </row>
        <row r="3">
          <cell r="M3" t="str">
            <v>sidali 02</v>
          </cell>
          <cell r="N3" t="str">
            <v>sidali 02</v>
          </cell>
        </row>
        <row r="4">
          <cell r="M4" t="str">
            <v>sidali 03</v>
          </cell>
          <cell r="N4" t="str">
            <v>sidali 03</v>
          </cell>
        </row>
        <row r="5">
          <cell r="M5" t="str">
            <v>sidali 04</v>
          </cell>
          <cell r="N5" t="str">
            <v>sidali 04</v>
          </cell>
        </row>
        <row r="6">
          <cell r="M6" t="str">
            <v>sidali 05</v>
          </cell>
          <cell r="N6" t="str">
            <v>sidali 05</v>
          </cell>
        </row>
        <row r="7">
          <cell r="M7" t="str">
            <v>sidali 06</v>
          </cell>
          <cell r="N7" t="str">
            <v>sidali 06</v>
          </cell>
        </row>
        <row r="8">
          <cell r="M8" t="str">
            <v>sidali 07</v>
          </cell>
          <cell r="N8" t="str">
            <v>sidali 07</v>
          </cell>
        </row>
      </sheetData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UDUIT" xr10:uid="{E8ABF6E9-8E87-4547-B5E4-9651DF149574}" sourceName="PROUDUIT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UDUIT" xr10:uid="{11A5F674-5C66-48A6-882A-A192C0525586}" cache="Segment_PROUDUIT" caption="PROUDUIT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E09E8-1BF4-4801-B29E-DAA35559E2CE}" name="Tableau1" displayName="Tableau1" ref="C2:H23" totalsRowCount="1" headerRowDxfId="15" dataDxfId="14" tableBorderDxfId="13">
  <autoFilter ref="C2:H22" xr:uid="{00000000-0001-0000-0200-000000000000}"/>
  <tableColumns count="6">
    <tableColumn id="1" xr3:uid="{9BD876A6-05BD-4323-8708-5910F919B07C}" name="PROUDUIT" totalsRowLabel="Total" dataDxfId="12" totalsRowDxfId="5"/>
    <tableColumn id="2" xr3:uid="{29A3DD5F-B696-4920-BA85-EF07D8FE4102}" name="PU" dataDxfId="11" totalsRowDxfId="4"/>
    <tableColumn id="3" xr3:uid="{654DE91E-C5F5-49C4-9742-093CB9D39449}" name="Q" dataDxfId="10" totalsRowDxfId="3"/>
    <tableColumn id="4" xr3:uid="{F3C7F826-24B4-4F61-B859-5E8E5D220391}" name="HT" dataDxfId="9" totalsRowDxfId="2">
      <calculatedColumnFormula>+'format tableau '!$D3*'format tableau '!$E3</calculatedColumnFormula>
    </tableColumn>
    <tableColumn id="5" xr3:uid="{A0934A15-E216-4CD5-B285-72042B7FD1EB}" name="TVA" dataDxfId="8" totalsRowDxfId="1">
      <calculatedColumnFormula>+'format tableau '!$F3*0.19</calculatedColumnFormula>
    </tableColumn>
    <tableColumn id="6" xr3:uid="{7CCB0679-34CC-4897-8CE6-027DCD924A19}" name="TTC" totalsRowFunction="sum" dataDxfId="7" totalsRowDxfId="0">
      <calculatedColumnFormula>+'format tableau '!$F3+'format tableau '!$G3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22"/>
  <sheetViews>
    <sheetView topLeftCell="H1" zoomScaleNormal="100" workbookViewId="0">
      <selection activeCell="R1" sqref="R1:U1048576"/>
    </sheetView>
  </sheetViews>
  <sheetFormatPr baseColWidth="10" defaultRowHeight="15" x14ac:dyDescent="0.25"/>
  <sheetData>
    <row r="1" spans="1:13" x14ac:dyDescent="0.25">
      <c r="B1" s="43" t="s">
        <v>82</v>
      </c>
      <c r="C1" s="39"/>
      <c r="D1" s="39"/>
      <c r="E1" s="39"/>
      <c r="F1" s="42" t="s">
        <v>83</v>
      </c>
    </row>
    <row r="3" spans="1:13" x14ac:dyDescent="0.25">
      <c r="A3" s="27"/>
      <c r="B3" s="34" t="s">
        <v>37</v>
      </c>
      <c r="C3" s="34" t="s">
        <v>38</v>
      </c>
      <c r="D3" s="34" t="s">
        <v>39</v>
      </c>
      <c r="E3" s="34" t="s">
        <v>40</v>
      </c>
      <c r="F3" s="34" t="s">
        <v>41</v>
      </c>
      <c r="G3" s="34" t="s">
        <v>42</v>
      </c>
      <c r="H3" s="34" t="s">
        <v>43</v>
      </c>
      <c r="I3" s="34" t="s">
        <v>44</v>
      </c>
      <c r="J3" s="34" t="s">
        <v>45</v>
      </c>
      <c r="K3" s="34" t="s">
        <v>46</v>
      </c>
      <c r="L3" s="34" t="s">
        <v>47</v>
      </c>
      <c r="M3" s="34" t="s">
        <v>48</v>
      </c>
    </row>
    <row r="4" spans="1:13" ht="30" x14ac:dyDescent="0.25">
      <c r="A4" s="40" t="s">
        <v>61</v>
      </c>
      <c r="B4" s="41">
        <v>50000</v>
      </c>
      <c r="C4" s="41">
        <v>70000</v>
      </c>
      <c r="D4" s="41">
        <v>90000</v>
      </c>
      <c r="E4" s="41">
        <v>110000</v>
      </c>
      <c r="F4" s="41">
        <v>130000</v>
      </c>
      <c r="G4" s="41">
        <v>150000</v>
      </c>
      <c r="H4" s="41">
        <v>170000</v>
      </c>
      <c r="I4" s="41">
        <v>190000</v>
      </c>
      <c r="J4" s="41">
        <v>210000</v>
      </c>
      <c r="K4" s="41">
        <v>230000</v>
      </c>
      <c r="L4" s="41">
        <v>250000</v>
      </c>
      <c r="M4" s="41">
        <v>270000</v>
      </c>
    </row>
    <row r="5" spans="1:13" x14ac:dyDescent="0.25">
      <c r="A5" s="34" t="s">
        <v>56</v>
      </c>
      <c r="B5" s="33">
        <v>35000</v>
      </c>
      <c r="C5" s="33">
        <v>40000</v>
      </c>
      <c r="D5" s="33">
        <v>45000</v>
      </c>
      <c r="E5" s="33">
        <v>50000</v>
      </c>
      <c r="F5" s="33">
        <v>55000</v>
      </c>
      <c r="G5" s="33">
        <v>60000</v>
      </c>
      <c r="H5" s="33">
        <v>65000</v>
      </c>
      <c r="I5" s="33">
        <v>70000</v>
      </c>
      <c r="J5" s="33">
        <v>75000</v>
      </c>
      <c r="K5" s="33">
        <v>80000</v>
      </c>
      <c r="L5" s="33">
        <v>85000</v>
      </c>
      <c r="M5" s="33">
        <v>90000</v>
      </c>
    </row>
    <row r="6" spans="1:13" x14ac:dyDescent="0.25">
      <c r="A6" s="34" t="s">
        <v>50</v>
      </c>
      <c r="B6" s="33">
        <f>+B4-B5</f>
        <v>15000</v>
      </c>
      <c r="C6" s="33">
        <f t="shared" ref="C6:M6" si="0">+C4-C5</f>
        <v>30000</v>
      </c>
      <c r="D6" s="33">
        <f t="shared" si="0"/>
        <v>45000</v>
      </c>
      <c r="E6" s="33">
        <f t="shared" si="0"/>
        <v>60000</v>
      </c>
      <c r="F6" s="33">
        <f t="shared" si="0"/>
        <v>75000</v>
      </c>
      <c r="G6" s="33">
        <f t="shared" si="0"/>
        <v>90000</v>
      </c>
      <c r="H6" s="33">
        <f t="shared" si="0"/>
        <v>105000</v>
      </c>
      <c r="I6" s="33">
        <f>+I4-I5</f>
        <v>120000</v>
      </c>
      <c r="J6" s="33">
        <f t="shared" si="0"/>
        <v>135000</v>
      </c>
      <c r="K6" s="33">
        <f t="shared" si="0"/>
        <v>150000</v>
      </c>
      <c r="L6" s="33">
        <f t="shared" si="0"/>
        <v>165000</v>
      </c>
      <c r="M6" s="33">
        <f t="shared" si="0"/>
        <v>180000</v>
      </c>
    </row>
    <row r="7" spans="1:13" x14ac:dyDescent="0.25">
      <c r="A7" s="45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spans="1:13" ht="15.75" x14ac:dyDescent="0.25">
      <c r="A8" s="39"/>
      <c r="B8" s="49" t="s">
        <v>79</v>
      </c>
      <c r="C8" s="48"/>
      <c r="D8" s="44"/>
      <c r="E8" s="44"/>
      <c r="F8" s="44"/>
      <c r="G8" s="44"/>
      <c r="H8" s="48"/>
      <c r="I8" s="47" t="s">
        <v>80</v>
      </c>
      <c r="K8" s="46" t="s">
        <v>81</v>
      </c>
      <c r="L8" s="44"/>
      <c r="M8" s="44"/>
    </row>
    <row r="10" spans="1:13" x14ac:dyDescent="0.25">
      <c r="A10" s="27"/>
      <c r="B10" s="34" t="s">
        <v>49</v>
      </c>
      <c r="C10" s="34" t="s">
        <v>56</v>
      </c>
      <c r="D10" s="34" t="s">
        <v>50</v>
      </c>
    </row>
    <row r="11" spans="1:13" x14ac:dyDescent="0.25">
      <c r="A11" s="34" t="s">
        <v>37</v>
      </c>
      <c r="B11" s="35">
        <v>150000</v>
      </c>
      <c r="C11" s="35">
        <v>35000</v>
      </c>
      <c r="D11" s="35">
        <f t="shared" ref="D11:D22" si="1">+B11-C11</f>
        <v>115000</v>
      </c>
    </row>
    <row r="12" spans="1:13" x14ac:dyDescent="0.25">
      <c r="A12" s="34" t="s">
        <v>38</v>
      </c>
      <c r="B12" s="35">
        <v>70000</v>
      </c>
      <c r="C12" s="35">
        <v>40000</v>
      </c>
      <c r="D12" s="35">
        <f t="shared" si="1"/>
        <v>30000</v>
      </c>
    </row>
    <row r="13" spans="1:13" x14ac:dyDescent="0.25">
      <c r="A13" s="34" t="s">
        <v>39</v>
      </c>
      <c r="B13" s="35">
        <v>90000</v>
      </c>
      <c r="C13" s="35">
        <v>45000</v>
      </c>
      <c r="D13" s="35">
        <f t="shared" si="1"/>
        <v>45000</v>
      </c>
    </row>
    <row r="14" spans="1:13" x14ac:dyDescent="0.25">
      <c r="A14" s="34" t="s">
        <v>40</v>
      </c>
      <c r="B14" s="35">
        <v>110000</v>
      </c>
      <c r="C14" s="35">
        <v>50000</v>
      </c>
      <c r="D14" s="35">
        <f t="shared" si="1"/>
        <v>60000</v>
      </c>
    </row>
    <row r="15" spans="1:13" x14ac:dyDescent="0.25">
      <c r="A15" s="34" t="s">
        <v>41</v>
      </c>
      <c r="B15" s="35">
        <v>130000</v>
      </c>
      <c r="C15" s="35">
        <v>55000</v>
      </c>
      <c r="D15" s="35">
        <f t="shared" si="1"/>
        <v>75000</v>
      </c>
    </row>
    <row r="16" spans="1:13" x14ac:dyDescent="0.25">
      <c r="A16" s="34" t="s">
        <v>42</v>
      </c>
      <c r="B16" s="35">
        <v>150000</v>
      </c>
      <c r="C16" s="35">
        <v>60000</v>
      </c>
      <c r="D16" s="35">
        <f t="shared" si="1"/>
        <v>90000</v>
      </c>
    </row>
    <row r="17" spans="1:4" x14ac:dyDescent="0.25">
      <c r="A17" s="34" t="s">
        <v>43</v>
      </c>
      <c r="B17" s="35">
        <v>170000</v>
      </c>
      <c r="C17" s="35">
        <v>65000</v>
      </c>
      <c r="D17" s="35">
        <f t="shared" si="1"/>
        <v>105000</v>
      </c>
    </row>
    <row r="18" spans="1:4" x14ac:dyDescent="0.25">
      <c r="A18" s="34" t="s">
        <v>44</v>
      </c>
      <c r="B18" s="35">
        <v>190000</v>
      </c>
      <c r="C18" s="35">
        <v>70000</v>
      </c>
      <c r="D18" s="35">
        <f t="shared" si="1"/>
        <v>120000</v>
      </c>
    </row>
    <row r="19" spans="1:4" x14ac:dyDescent="0.25">
      <c r="A19" s="34" t="s">
        <v>45</v>
      </c>
      <c r="B19" s="35">
        <v>210000</v>
      </c>
      <c r="C19" s="35">
        <v>75000</v>
      </c>
      <c r="D19" s="35">
        <f t="shared" si="1"/>
        <v>135000</v>
      </c>
    </row>
    <row r="20" spans="1:4" x14ac:dyDescent="0.25">
      <c r="A20" s="34" t="s">
        <v>46</v>
      </c>
      <c r="B20" s="35">
        <v>230000</v>
      </c>
      <c r="C20" s="35">
        <v>80000</v>
      </c>
      <c r="D20" s="35">
        <f t="shared" si="1"/>
        <v>150000</v>
      </c>
    </row>
    <row r="21" spans="1:4" x14ac:dyDescent="0.25">
      <c r="A21" s="34" t="s">
        <v>47</v>
      </c>
      <c r="B21" s="35">
        <v>250000</v>
      </c>
      <c r="C21" s="35">
        <v>85000</v>
      </c>
      <c r="D21" s="35">
        <f t="shared" si="1"/>
        <v>165000</v>
      </c>
    </row>
    <row r="22" spans="1:4" x14ac:dyDescent="0.25">
      <c r="A22" s="34" t="s">
        <v>48</v>
      </c>
      <c r="B22" s="35">
        <v>270000</v>
      </c>
      <c r="C22" s="35">
        <v>90000</v>
      </c>
      <c r="D22" s="35">
        <f t="shared" si="1"/>
        <v>180000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I19"/>
  <sheetViews>
    <sheetView zoomScale="120" zoomScaleNormal="120" workbookViewId="0">
      <selection activeCell="B2" sqref="B2"/>
    </sheetView>
  </sheetViews>
  <sheetFormatPr baseColWidth="10" defaultColWidth="12.28515625" defaultRowHeight="15" x14ac:dyDescent="0.25"/>
  <cols>
    <col min="5" max="5" width="2.5703125" customWidth="1"/>
    <col min="6" max="6" width="20.140625" bestFit="1" customWidth="1"/>
    <col min="7" max="7" width="29.85546875" bestFit="1" customWidth="1"/>
  </cols>
  <sheetData>
    <row r="1" spans="1:9" x14ac:dyDescent="0.25">
      <c r="A1" s="27"/>
      <c r="B1" s="34" t="s">
        <v>49</v>
      </c>
      <c r="C1" s="34" t="s">
        <v>56</v>
      </c>
      <c r="D1" s="34" t="s">
        <v>50</v>
      </c>
    </row>
    <row r="2" spans="1:9" x14ac:dyDescent="0.25">
      <c r="A2" s="34" t="s">
        <v>37</v>
      </c>
      <c r="B2" s="35">
        <v>50000</v>
      </c>
      <c r="C2" s="35">
        <v>35000</v>
      </c>
      <c r="D2" s="35">
        <f t="shared" ref="D2:D13" si="0">+B2-C2</f>
        <v>15000</v>
      </c>
      <c r="G2" s="12">
        <f>SUM(B2:B13)</f>
        <v>1920000</v>
      </c>
    </row>
    <row r="3" spans="1:9" x14ac:dyDescent="0.25">
      <c r="A3" s="34" t="s">
        <v>38</v>
      </c>
      <c r="B3" s="35">
        <v>70000</v>
      </c>
      <c r="C3" s="35">
        <v>40000</v>
      </c>
      <c r="D3" s="35">
        <f t="shared" si="0"/>
        <v>30000</v>
      </c>
    </row>
    <row r="4" spans="1:9" x14ac:dyDescent="0.25">
      <c r="A4" s="34" t="s">
        <v>39</v>
      </c>
      <c r="B4" s="35">
        <v>90000</v>
      </c>
      <c r="C4" s="35">
        <v>45000</v>
      </c>
      <c r="D4" s="35">
        <f t="shared" si="0"/>
        <v>45000</v>
      </c>
    </row>
    <row r="5" spans="1:9" x14ac:dyDescent="0.25">
      <c r="A5" s="34" t="s">
        <v>40</v>
      </c>
      <c r="B5" s="35">
        <v>110000</v>
      </c>
      <c r="C5" s="35">
        <v>50000</v>
      </c>
      <c r="D5" s="35">
        <f t="shared" si="0"/>
        <v>60000</v>
      </c>
    </row>
    <row r="6" spans="1:9" x14ac:dyDescent="0.25">
      <c r="A6" s="34" t="s">
        <v>41</v>
      </c>
      <c r="B6" s="35">
        <v>130000</v>
      </c>
      <c r="C6" s="35">
        <v>55000</v>
      </c>
      <c r="D6" s="35">
        <f t="shared" si="0"/>
        <v>75000</v>
      </c>
      <c r="H6" s="12"/>
      <c r="I6" s="12"/>
    </row>
    <row r="7" spans="1:9" x14ac:dyDescent="0.25">
      <c r="A7" s="34" t="s">
        <v>42</v>
      </c>
      <c r="B7" s="35">
        <v>150000</v>
      </c>
      <c r="C7" s="35">
        <v>60000</v>
      </c>
      <c r="D7" s="35">
        <f t="shared" si="0"/>
        <v>90000</v>
      </c>
    </row>
    <row r="8" spans="1:9" x14ac:dyDescent="0.25">
      <c r="A8" s="34" t="s">
        <v>43</v>
      </c>
      <c r="B8" s="35">
        <v>170000</v>
      </c>
      <c r="C8" s="35">
        <v>65000</v>
      </c>
      <c r="D8" s="35">
        <f t="shared" si="0"/>
        <v>105000</v>
      </c>
    </row>
    <row r="9" spans="1:9" x14ac:dyDescent="0.25">
      <c r="A9" s="34" t="s">
        <v>44</v>
      </c>
      <c r="B9" s="35">
        <v>190000</v>
      </c>
      <c r="C9" s="35">
        <v>70000</v>
      </c>
      <c r="D9" s="35">
        <f t="shared" si="0"/>
        <v>120000</v>
      </c>
    </row>
    <row r="10" spans="1:9" x14ac:dyDescent="0.25">
      <c r="A10" s="34" t="s">
        <v>45</v>
      </c>
      <c r="B10" s="35">
        <v>210000</v>
      </c>
      <c r="C10" s="35">
        <v>75000</v>
      </c>
      <c r="D10" s="35">
        <f t="shared" si="0"/>
        <v>135000</v>
      </c>
    </row>
    <row r="11" spans="1:9" x14ac:dyDescent="0.25">
      <c r="A11" s="34" t="s">
        <v>46</v>
      </c>
      <c r="B11" s="35">
        <v>230000</v>
      </c>
      <c r="C11" s="35">
        <v>80000</v>
      </c>
      <c r="D11" s="35">
        <f t="shared" si="0"/>
        <v>150000</v>
      </c>
    </row>
    <row r="12" spans="1:9" x14ac:dyDescent="0.25">
      <c r="A12" s="34" t="s">
        <v>47</v>
      </c>
      <c r="B12" s="35">
        <v>250000</v>
      </c>
      <c r="C12" s="35">
        <v>85000</v>
      </c>
      <c r="D12" s="35">
        <f t="shared" si="0"/>
        <v>165000</v>
      </c>
    </row>
    <row r="13" spans="1:9" x14ac:dyDescent="0.25">
      <c r="A13" s="34" t="s">
        <v>48</v>
      </c>
      <c r="B13" s="35">
        <v>270000</v>
      </c>
      <c r="C13" s="35">
        <v>90000</v>
      </c>
      <c r="D13" s="35">
        <f t="shared" si="0"/>
        <v>180000</v>
      </c>
    </row>
    <row r="14" spans="1:9" x14ac:dyDescent="0.25">
      <c r="A14" s="36" t="s">
        <v>21</v>
      </c>
      <c r="B14" s="37">
        <f>SUM(B2:B13)</f>
        <v>1920000</v>
      </c>
      <c r="C14" s="37">
        <f t="shared" ref="C14:D14" si="1">SUM(C2:C13)</f>
        <v>750000</v>
      </c>
      <c r="D14" s="37">
        <f t="shared" si="1"/>
        <v>1170000</v>
      </c>
      <c r="F14" s="36" t="s">
        <v>68</v>
      </c>
      <c r="G14" s="42" t="s">
        <v>73</v>
      </c>
    </row>
    <row r="15" spans="1:9" x14ac:dyDescent="0.25">
      <c r="A15" s="36" t="s">
        <v>25</v>
      </c>
      <c r="B15" s="38">
        <f>+COUNT(B2:B13)</f>
        <v>12</v>
      </c>
      <c r="C15" s="38">
        <f t="shared" ref="C15:D15" si="2">+COUNT(C2:C13)</f>
        <v>12</v>
      </c>
      <c r="D15" s="38">
        <f t="shared" si="2"/>
        <v>12</v>
      </c>
      <c r="F15" s="36" t="s">
        <v>69</v>
      </c>
      <c r="G15" s="42" t="s">
        <v>74</v>
      </c>
    </row>
    <row r="16" spans="1:9" x14ac:dyDescent="0.25">
      <c r="A16" s="36" t="s">
        <v>23</v>
      </c>
      <c r="B16" s="37">
        <f>+MAX(B2:B13)</f>
        <v>270000</v>
      </c>
      <c r="C16" s="37">
        <f t="shared" ref="C16:D16" si="3">+MAX(C2:C13)</f>
        <v>90000</v>
      </c>
      <c r="D16" s="37">
        <f t="shared" si="3"/>
        <v>180000</v>
      </c>
      <c r="F16" s="36" t="s">
        <v>70</v>
      </c>
      <c r="G16" s="42" t="s">
        <v>75</v>
      </c>
    </row>
    <row r="17" spans="1:7" x14ac:dyDescent="0.25">
      <c r="A17" s="36" t="s">
        <v>24</v>
      </c>
      <c r="B17" s="37">
        <f>+MIN(B2:B13)</f>
        <v>50000</v>
      </c>
      <c r="C17" s="37">
        <f t="shared" ref="C17:D17" si="4">+MIN(C2:C13)</f>
        <v>35000</v>
      </c>
      <c r="D17" s="37">
        <f t="shared" si="4"/>
        <v>15000</v>
      </c>
      <c r="F17" s="36" t="s">
        <v>71</v>
      </c>
      <c r="G17" s="42" t="s">
        <v>76</v>
      </c>
    </row>
    <row r="18" spans="1:7" x14ac:dyDescent="0.25">
      <c r="A18" s="36" t="s">
        <v>22</v>
      </c>
      <c r="B18" s="37">
        <f>+AVERAGE(B2:B13)</f>
        <v>160000</v>
      </c>
      <c r="C18" s="37">
        <f t="shared" ref="C18:D18" si="5">+AVERAGE(C2:C13)</f>
        <v>62500</v>
      </c>
      <c r="D18" s="37">
        <f t="shared" si="5"/>
        <v>97500</v>
      </c>
      <c r="F18" s="36" t="s">
        <v>72</v>
      </c>
      <c r="G18" s="42" t="s">
        <v>77</v>
      </c>
    </row>
    <row r="19" spans="1:7" x14ac:dyDescent="0.25">
      <c r="A19" s="36" t="s">
        <v>22</v>
      </c>
      <c r="B19" s="37">
        <f>+B14/B15</f>
        <v>160000</v>
      </c>
      <c r="C19" s="37">
        <f t="shared" ref="C19:D19" si="6">+C14/C15</f>
        <v>62500</v>
      </c>
      <c r="D19" s="37">
        <f t="shared" si="6"/>
        <v>97500</v>
      </c>
      <c r="F19" s="36" t="s">
        <v>72</v>
      </c>
      <c r="G19" s="4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H23"/>
  <sheetViews>
    <sheetView topLeftCell="B1" zoomScale="110" zoomScaleNormal="110" workbookViewId="0">
      <selection activeCell="J1" sqref="J1"/>
    </sheetView>
  </sheetViews>
  <sheetFormatPr baseColWidth="10" defaultRowHeight="18.75" x14ac:dyDescent="0.3"/>
  <cols>
    <col min="1" max="1" width="29.140625" style="10" hidden="1" customWidth="1"/>
    <col min="2" max="2" width="11.42578125" style="10"/>
    <col min="3" max="3" width="17.85546875" style="10" bestFit="1" customWidth="1"/>
    <col min="4" max="4" width="12.5703125" style="10" bestFit="1" customWidth="1"/>
    <col min="5" max="5" width="7.7109375" style="10" bestFit="1" customWidth="1"/>
    <col min="6" max="6" width="14" style="10" bestFit="1" customWidth="1"/>
    <col min="7" max="7" width="12.5703125" style="10" bestFit="1" customWidth="1"/>
    <col min="8" max="8" width="16" style="10" bestFit="1" customWidth="1"/>
    <col min="9" max="16384" width="11.42578125" style="10"/>
  </cols>
  <sheetData>
    <row r="2" spans="1:8" x14ac:dyDescent="0.3">
      <c r="A2" s="50" t="s">
        <v>63</v>
      </c>
      <c r="C2" s="71" t="s">
        <v>57</v>
      </c>
      <c r="D2" s="51" t="s">
        <v>58</v>
      </c>
      <c r="E2" s="51" t="s">
        <v>51</v>
      </c>
      <c r="F2" s="51" t="s">
        <v>52</v>
      </c>
      <c r="G2" s="51" t="s">
        <v>53</v>
      </c>
      <c r="H2" s="51" t="s">
        <v>54</v>
      </c>
    </row>
    <row r="3" spans="1:8" x14ac:dyDescent="0.3">
      <c r="A3" s="52" t="s">
        <v>62</v>
      </c>
      <c r="C3" s="65" t="s">
        <v>60</v>
      </c>
      <c r="D3" s="54">
        <v>50000</v>
      </c>
      <c r="E3" s="53">
        <v>6</v>
      </c>
      <c r="F3" s="54">
        <f>+'format tableau '!$D3*'format tableau '!$E3</f>
        <v>300000</v>
      </c>
      <c r="G3" s="54">
        <f>+'format tableau '!$F3*0.19</f>
        <v>57000</v>
      </c>
      <c r="H3" s="69">
        <f>+'format tableau '!$F3+'format tableau '!$G3</f>
        <v>357000</v>
      </c>
    </row>
    <row r="4" spans="1:8" x14ac:dyDescent="0.3">
      <c r="C4" s="65" t="s">
        <v>60</v>
      </c>
      <c r="D4" s="54">
        <v>50000</v>
      </c>
      <c r="E4" s="53">
        <v>6</v>
      </c>
      <c r="F4" s="54">
        <f>+'format tableau '!$D4*'format tableau '!$E4</f>
        <v>300000</v>
      </c>
      <c r="G4" s="54">
        <f>+'format tableau '!$F4*0.19</f>
        <v>57000</v>
      </c>
      <c r="H4" s="69">
        <f>+'format tableau '!$F4+'format tableau '!$G4</f>
        <v>357000</v>
      </c>
    </row>
    <row r="5" spans="1:8" x14ac:dyDescent="0.3">
      <c r="C5" s="65" t="s">
        <v>60</v>
      </c>
      <c r="D5" s="54">
        <v>50000</v>
      </c>
      <c r="E5" s="53">
        <v>6</v>
      </c>
      <c r="F5" s="54">
        <f>+'format tableau '!$D5*'format tableau '!$E5</f>
        <v>300000</v>
      </c>
      <c r="G5" s="54">
        <f>+'format tableau '!$F5*0.19</f>
        <v>57000</v>
      </c>
      <c r="H5" s="69">
        <f>+'format tableau '!$F5+'format tableau '!$G5</f>
        <v>357000</v>
      </c>
    </row>
    <row r="6" spans="1:8" x14ac:dyDescent="0.3">
      <c r="A6" s="50" t="s">
        <v>64</v>
      </c>
      <c r="C6" s="65" t="s">
        <v>60</v>
      </c>
      <c r="D6" s="54">
        <v>50000</v>
      </c>
      <c r="E6" s="53">
        <v>6</v>
      </c>
      <c r="F6" s="54">
        <f>+'format tableau '!$D6*'format tableau '!$E6</f>
        <v>300000</v>
      </c>
      <c r="G6" s="54">
        <f>+'format tableau '!$F6*0.19</f>
        <v>57000</v>
      </c>
      <c r="H6" s="69">
        <f>+'format tableau '!$F6+'format tableau '!$G6</f>
        <v>357000</v>
      </c>
    </row>
    <row r="7" spans="1:8" x14ac:dyDescent="0.3">
      <c r="A7" s="52" t="s">
        <v>65</v>
      </c>
      <c r="C7" s="66" t="s">
        <v>59</v>
      </c>
      <c r="D7" s="54">
        <v>60000</v>
      </c>
      <c r="E7" s="53">
        <v>4</v>
      </c>
      <c r="F7" s="54">
        <f>+'format tableau '!$D7*'format tableau '!$E7</f>
        <v>240000</v>
      </c>
      <c r="G7" s="54">
        <f>+'format tableau '!$F7*0.19</f>
        <v>45600</v>
      </c>
      <c r="H7" s="69">
        <f>+'format tableau '!$F7+'format tableau '!$G7</f>
        <v>285600</v>
      </c>
    </row>
    <row r="8" spans="1:8" x14ac:dyDescent="0.3">
      <c r="C8" s="66" t="s">
        <v>59</v>
      </c>
      <c r="D8" s="54">
        <v>60000</v>
      </c>
      <c r="E8" s="53">
        <v>4</v>
      </c>
      <c r="F8" s="54">
        <f>+'format tableau '!$D8*'format tableau '!$E8</f>
        <v>240000</v>
      </c>
      <c r="G8" s="54">
        <f>+'format tableau '!$F8*0.19</f>
        <v>45600</v>
      </c>
      <c r="H8" s="69">
        <f>+'format tableau '!$F8+'format tableau '!$G8</f>
        <v>285600</v>
      </c>
    </row>
    <row r="9" spans="1:8" x14ac:dyDescent="0.3">
      <c r="A9" s="50" t="s">
        <v>66</v>
      </c>
      <c r="C9" s="66" t="s">
        <v>59</v>
      </c>
      <c r="D9" s="54">
        <v>60000</v>
      </c>
      <c r="E9" s="53">
        <v>4</v>
      </c>
      <c r="F9" s="54">
        <f>+'format tableau '!$D9*'format tableau '!$E9</f>
        <v>240000</v>
      </c>
      <c r="G9" s="54">
        <f>+'format tableau '!$F9*0.19</f>
        <v>45600</v>
      </c>
      <c r="H9" s="69">
        <f>+'format tableau '!$F9+'format tableau '!$G9</f>
        <v>285600</v>
      </c>
    </row>
    <row r="10" spans="1:8" x14ac:dyDescent="0.3">
      <c r="A10" s="52" t="s">
        <v>67</v>
      </c>
      <c r="C10" s="66" t="s">
        <v>59</v>
      </c>
      <c r="D10" s="54">
        <v>60000</v>
      </c>
      <c r="E10" s="53">
        <v>4</v>
      </c>
      <c r="F10" s="54">
        <f>+'format tableau '!$D10*'format tableau '!$E10</f>
        <v>240000</v>
      </c>
      <c r="G10" s="54">
        <f>+'format tableau '!$F10*0.19</f>
        <v>45600</v>
      </c>
      <c r="H10" s="69">
        <f>+'format tableau '!$F10+'format tableau '!$G10</f>
        <v>285600</v>
      </c>
    </row>
    <row r="11" spans="1:8" x14ac:dyDescent="0.3">
      <c r="C11" s="66" t="s">
        <v>59</v>
      </c>
      <c r="D11" s="54">
        <v>60000</v>
      </c>
      <c r="E11" s="53">
        <v>4</v>
      </c>
      <c r="F11" s="54">
        <f>+'format tableau '!$D11*'format tableau '!$E11</f>
        <v>240000</v>
      </c>
      <c r="G11" s="54">
        <f>+'format tableau '!$F11*0.19</f>
        <v>45600</v>
      </c>
      <c r="H11" s="69">
        <f>+'format tableau '!$F11+'format tableau '!$G11</f>
        <v>285600</v>
      </c>
    </row>
    <row r="12" spans="1:8" x14ac:dyDescent="0.3">
      <c r="C12" s="66" t="s">
        <v>59</v>
      </c>
      <c r="D12" s="54">
        <v>60000</v>
      </c>
      <c r="E12" s="53">
        <v>4</v>
      </c>
      <c r="F12" s="54">
        <f>+'format tableau '!$D12*'format tableau '!$E12</f>
        <v>240000</v>
      </c>
      <c r="G12" s="54">
        <f>+'format tableau '!$F12*0.19</f>
        <v>45600</v>
      </c>
      <c r="H12" s="69">
        <f>+'format tableau '!$F12+'format tableau '!$G12</f>
        <v>285600</v>
      </c>
    </row>
    <row r="13" spans="1:8" x14ac:dyDescent="0.3">
      <c r="C13" s="66" t="s">
        <v>59</v>
      </c>
      <c r="D13" s="54">
        <v>60000</v>
      </c>
      <c r="E13" s="53">
        <v>4</v>
      </c>
      <c r="F13" s="54">
        <f>+'format tableau '!$D13*'format tableau '!$E13</f>
        <v>240000</v>
      </c>
      <c r="G13" s="54">
        <f>+'format tableau '!$F13*0.19</f>
        <v>45600</v>
      </c>
      <c r="H13" s="69">
        <f>+'format tableau '!$F13+'format tableau '!$G13</f>
        <v>285600</v>
      </c>
    </row>
    <row r="14" spans="1:8" x14ac:dyDescent="0.3">
      <c r="C14" s="65" t="s">
        <v>60</v>
      </c>
      <c r="D14" s="54">
        <v>50000</v>
      </c>
      <c r="E14" s="53">
        <v>4</v>
      </c>
      <c r="F14" s="54">
        <f>+'format tableau '!$D14*'format tableau '!$E14</f>
        <v>200000</v>
      </c>
      <c r="G14" s="54">
        <f>+'format tableau '!$F14*0.19</f>
        <v>38000</v>
      </c>
      <c r="H14" s="69">
        <f>+'format tableau '!$F14+'format tableau '!$G14</f>
        <v>238000</v>
      </c>
    </row>
    <row r="15" spans="1:8" x14ac:dyDescent="0.3">
      <c r="C15" s="67" t="s">
        <v>60</v>
      </c>
      <c r="D15" s="56">
        <v>50000</v>
      </c>
      <c r="E15" s="55">
        <v>4</v>
      </c>
      <c r="F15" s="56">
        <f>+'format tableau '!$D15*'format tableau '!$E15</f>
        <v>200000</v>
      </c>
      <c r="G15" s="56">
        <f>+'format tableau '!$F15*0.19</f>
        <v>38000</v>
      </c>
      <c r="H15" s="70">
        <f>+'format tableau '!$F15+'format tableau '!$G15</f>
        <v>238000</v>
      </c>
    </row>
    <row r="16" spans="1:8" x14ac:dyDescent="0.3">
      <c r="C16" s="65" t="s">
        <v>60</v>
      </c>
      <c r="D16" s="54">
        <v>50000</v>
      </c>
      <c r="E16" s="53">
        <v>4</v>
      </c>
      <c r="F16" s="54">
        <f>+'format tableau '!$D16*'format tableau '!$E16</f>
        <v>200000</v>
      </c>
      <c r="G16" s="54">
        <f>+'format tableau '!$F16*0.19</f>
        <v>38000</v>
      </c>
      <c r="H16" s="69">
        <f>+'format tableau '!$F16+'format tableau '!$G16</f>
        <v>238000</v>
      </c>
    </row>
    <row r="17" spans="3:8" x14ac:dyDescent="0.3">
      <c r="C17" s="65" t="s">
        <v>60</v>
      </c>
      <c r="D17" s="54">
        <v>50000</v>
      </c>
      <c r="E17" s="53">
        <v>4</v>
      </c>
      <c r="F17" s="54">
        <f>+'format tableau '!$D17*'format tableau '!$E17</f>
        <v>200000</v>
      </c>
      <c r="G17" s="54">
        <f>+'format tableau '!$F17*0.19</f>
        <v>38000</v>
      </c>
      <c r="H17" s="69">
        <f>+'format tableau '!$F17+'format tableau '!$G17</f>
        <v>238000</v>
      </c>
    </row>
    <row r="18" spans="3:8" x14ac:dyDescent="0.3">
      <c r="C18" s="68" t="s">
        <v>55</v>
      </c>
      <c r="D18" s="54">
        <v>20000</v>
      </c>
      <c r="E18" s="53">
        <v>5</v>
      </c>
      <c r="F18" s="54">
        <f>+'format tableau '!$D18*'format tableau '!$E18</f>
        <v>100000</v>
      </c>
      <c r="G18" s="54">
        <f>+'format tableau '!$F18*0.19</f>
        <v>19000</v>
      </c>
      <c r="H18" s="69">
        <f>+'format tableau '!$F18+'format tableau '!$G18</f>
        <v>119000</v>
      </c>
    </row>
    <row r="19" spans="3:8" x14ac:dyDescent="0.3">
      <c r="C19" s="68" t="s">
        <v>55</v>
      </c>
      <c r="D19" s="54">
        <v>20000</v>
      </c>
      <c r="E19" s="53">
        <v>5</v>
      </c>
      <c r="F19" s="54">
        <f>+'format tableau '!$D19*'format tableau '!$E19</f>
        <v>100000</v>
      </c>
      <c r="G19" s="54">
        <f>+'format tableau '!$F19*0.19</f>
        <v>19000</v>
      </c>
      <c r="H19" s="69">
        <f>+'format tableau '!$F19+'format tableau '!$G19</f>
        <v>119000</v>
      </c>
    </row>
    <row r="20" spans="3:8" x14ac:dyDescent="0.3">
      <c r="C20" s="68" t="s">
        <v>55</v>
      </c>
      <c r="D20" s="54">
        <v>20000</v>
      </c>
      <c r="E20" s="53">
        <v>5</v>
      </c>
      <c r="F20" s="54">
        <f>+'format tableau '!$D20*'format tableau '!$E20</f>
        <v>100000</v>
      </c>
      <c r="G20" s="54">
        <f>+'format tableau '!$F20*0.19</f>
        <v>19000</v>
      </c>
      <c r="H20" s="69">
        <f>+'format tableau '!$F20+'format tableau '!$G20</f>
        <v>119000</v>
      </c>
    </row>
    <row r="21" spans="3:8" x14ac:dyDescent="0.3">
      <c r="C21" s="68" t="s">
        <v>55</v>
      </c>
      <c r="D21" s="56">
        <v>20000</v>
      </c>
      <c r="E21" s="55">
        <v>5</v>
      </c>
      <c r="F21" s="56">
        <f>+'format tableau '!$D21*'format tableau '!$E21</f>
        <v>100000</v>
      </c>
      <c r="G21" s="56">
        <f>+'format tableau '!$F21*0.19</f>
        <v>19000</v>
      </c>
      <c r="H21" s="70">
        <f>+'format tableau '!$F21+'format tableau '!$G21</f>
        <v>119000</v>
      </c>
    </row>
    <row r="22" spans="3:8" x14ac:dyDescent="0.3">
      <c r="C22" s="68" t="s">
        <v>55</v>
      </c>
      <c r="D22" s="58">
        <v>50000</v>
      </c>
      <c r="E22" s="57">
        <v>4</v>
      </c>
      <c r="F22" s="58">
        <f>+'format tableau '!$D22*'format tableau '!$E22</f>
        <v>200000</v>
      </c>
      <c r="G22" s="58">
        <f>+'format tableau '!$F22*0.19</f>
        <v>38000</v>
      </c>
      <c r="H22" s="72">
        <f>+'format tableau '!$F22+'format tableau '!$G22</f>
        <v>238000</v>
      </c>
    </row>
    <row r="23" spans="3:8" x14ac:dyDescent="0.3">
      <c r="C23" s="73" t="s">
        <v>89</v>
      </c>
      <c r="D23" s="74"/>
      <c r="E23" s="74"/>
      <c r="F23" s="74"/>
      <c r="G23" s="74"/>
      <c r="H23" s="75">
        <f>SUBTOTAL(109,Tableau1[TTC])</f>
        <v>5093200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I11"/>
  <sheetViews>
    <sheetView zoomScale="110" zoomScaleNormal="110" workbookViewId="0">
      <selection activeCell="F9" sqref="F9"/>
    </sheetView>
  </sheetViews>
  <sheetFormatPr baseColWidth="10" defaultRowHeight="15" x14ac:dyDescent="0.25"/>
  <cols>
    <col min="1" max="3" width="21.140625" customWidth="1"/>
    <col min="4" max="4" width="3.5703125" customWidth="1"/>
    <col min="5" max="5" width="7.5703125" bestFit="1" customWidth="1"/>
    <col min="6" max="6" width="13.5703125" bestFit="1" customWidth="1"/>
    <col min="7" max="7" width="28" bestFit="1" customWidth="1"/>
    <col min="8" max="8" width="17.5703125" bestFit="1" customWidth="1"/>
    <col min="9" max="9" width="28" bestFit="1" customWidth="1"/>
  </cols>
  <sheetData>
    <row r="2" spans="1:9" x14ac:dyDescent="0.25">
      <c r="B2" s="76" t="s">
        <v>88</v>
      </c>
      <c r="C2" s="77"/>
      <c r="D2" s="59"/>
      <c r="E2" s="59"/>
      <c r="F2" s="59"/>
      <c r="G2" s="59"/>
      <c r="H2" s="59"/>
    </row>
    <row r="3" spans="1:9" x14ac:dyDescent="0.25">
      <c r="B3" s="78">
        <v>1.1000000000000001</v>
      </c>
      <c r="C3" s="79"/>
      <c r="D3" s="28"/>
      <c r="E3" s="28"/>
      <c r="F3" s="28"/>
      <c r="G3" s="28"/>
      <c r="H3" s="28"/>
    </row>
    <row r="5" spans="1:9" x14ac:dyDescent="0.25">
      <c r="A5" s="30" t="s">
        <v>32</v>
      </c>
      <c r="B5" s="30" t="s">
        <v>33</v>
      </c>
      <c r="C5" s="30" t="s">
        <v>34</v>
      </c>
      <c r="D5" s="59"/>
      <c r="E5" s="60" t="s">
        <v>35</v>
      </c>
      <c r="F5" s="60" t="s">
        <v>33</v>
      </c>
      <c r="G5" s="60">
        <v>1.1000000000000001</v>
      </c>
      <c r="H5" s="60">
        <v>1.1499999999999999</v>
      </c>
      <c r="I5" s="60">
        <v>1.75</v>
      </c>
    </row>
    <row r="6" spans="1:9" x14ac:dyDescent="0.25">
      <c r="A6" s="31" t="s">
        <v>85</v>
      </c>
      <c r="B6" s="32">
        <v>150000</v>
      </c>
      <c r="C6" s="26">
        <f>+B6*$B$3</f>
        <v>165000</v>
      </c>
      <c r="D6" s="29"/>
      <c r="E6" s="61" t="s">
        <v>85</v>
      </c>
      <c r="F6" s="62">
        <v>20000</v>
      </c>
      <c r="G6" s="63">
        <f>+$F6*G$5</f>
        <v>22000</v>
      </c>
      <c r="H6" s="63">
        <f t="shared" ref="H6:I8" si="0">+$F6*H$5</f>
        <v>23000</v>
      </c>
      <c r="I6" s="63">
        <f t="shared" si="0"/>
        <v>35000</v>
      </c>
    </row>
    <row r="7" spans="1:9" x14ac:dyDescent="0.25">
      <c r="A7" s="31" t="s">
        <v>86</v>
      </c>
      <c r="B7" s="32">
        <v>24000</v>
      </c>
      <c r="C7" s="26">
        <f>+B7*$B$3</f>
        <v>26400.000000000004</v>
      </c>
      <c r="D7" s="29"/>
      <c r="E7" s="61" t="s">
        <v>86</v>
      </c>
      <c r="F7" s="64">
        <v>30000</v>
      </c>
      <c r="G7" s="63">
        <f t="shared" ref="G7" si="1">+$F7*G$5</f>
        <v>33000</v>
      </c>
      <c r="H7" s="63">
        <f t="shared" si="0"/>
        <v>34500</v>
      </c>
      <c r="I7" s="63">
        <f>+$F7*I$5</f>
        <v>52500</v>
      </c>
    </row>
    <row r="8" spans="1:9" x14ac:dyDescent="0.25">
      <c r="A8" s="31" t="s">
        <v>87</v>
      </c>
      <c r="B8" s="32">
        <v>50000</v>
      </c>
      <c r="C8" s="26">
        <f>+B8*$B$3</f>
        <v>55000.000000000007</v>
      </c>
      <c r="D8" s="29"/>
      <c r="E8" s="61" t="s">
        <v>87</v>
      </c>
      <c r="F8" s="62">
        <v>40000</v>
      </c>
      <c r="G8" s="63">
        <f>+$F8*G$5</f>
        <v>44000</v>
      </c>
      <c r="H8" s="63">
        <f>+$F8*H$5</f>
        <v>46000</v>
      </c>
      <c r="I8" s="63">
        <f t="shared" si="0"/>
        <v>70000</v>
      </c>
    </row>
    <row r="9" spans="1:9" x14ac:dyDescent="0.25">
      <c r="G9" s="27" t="s">
        <v>26</v>
      </c>
      <c r="H9" s="27" t="s">
        <v>27</v>
      </c>
    </row>
    <row r="10" spans="1:9" x14ac:dyDescent="0.25">
      <c r="G10" s="27" t="s">
        <v>28</v>
      </c>
      <c r="H10" s="27" t="s">
        <v>29</v>
      </c>
    </row>
    <row r="11" spans="1:9" x14ac:dyDescent="0.25">
      <c r="G11" s="27" t="s">
        <v>30</v>
      </c>
      <c r="H11" s="27" t="s">
        <v>31</v>
      </c>
    </row>
  </sheetData>
  <mergeCells count="2">
    <mergeCell ref="B2:C2"/>
    <mergeCell ref="B3:C3"/>
  </mergeCells>
  <pageMargins left="0.7" right="0.7" top="0.75" bottom="0.75" header="0.3" footer="0.3"/>
  <ignoredErrors>
    <ignoredError sqref="A6:A8 E6:E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B4:J24"/>
  <sheetViews>
    <sheetView tabSelected="1" topLeftCell="A6" zoomScale="110" zoomScaleNormal="110" workbookViewId="0">
      <selection activeCell="D25" sqref="D25"/>
    </sheetView>
  </sheetViews>
  <sheetFormatPr baseColWidth="10" defaultRowHeight="15" x14ac:dyDescent="0.25"/>
  <cols>
    <col min="2" max="2" width="16.42578125" customWidth="1"/>
    <col min="3" max="3" width="8.140625" bestFit="1" customWidth="1"/>
    <col min="4" max="4" width="50.5703125" bestFit="1" customWidth="1"/>
    <col min="5" max="5" width="12.42578125" bestFit="1" customWidth="1"/>
    <col min="6" max="7" width="16.42578125" customWidth="1"/>
  </cols>
  <sheetData>
    <row r="4" spans="2:10" x14ac:dyDescent="0.25">
      <c r="B4" s="5" t="s">
        <v>16</v>
      </c>
      <c r="C4" s="5"/>
      <c r="D4" s="5"/>
      <c r="E4" s="3"/>
      <c r="F4" s="2"/>
      <c r="G4" s="1"/>
    </row>
    <row r="5" spans="2:10" x14ac:dyDescent="0.25">
      <c r="B5" s="5" t="s">
        <v>15</v>
      </c>
      <c r="C5" s="5"/>
      <c r="D5" s="5"/>
      <c r="E5" s="3"/>
      <c r="F5" s="6" t="s">
        <v>17</v>
      </c>
      <c r="G5" s="7">
        <f ca="1">+TODAY()</f>
        <v>45310</v>
      </c>
    </row>
    <row r="6" spans="2:10" x14ac:dyDescent="0.25">
      <c r="B6" s="5" t="s">
        <v>14</v>
      </c>
      <c r="C6" s="5"/>
      <c r="D6" s="5"/>
      <c r="E6" s="3"/>
      <c r="F6" s="2"/>
      <c r="G6" s="1"/>
    </row>
    <row r="7" spans="2:10" x14ac:dyDescent="0.25">
      <c r="B7" s="4"/>
      <c r="C7" s="4"/>
      <c r="D7" s="80"/>
      <c r="E7" s="80"/>
      <c r="F7" s="80"/>
      <c r="G7" s="1"/>
    </row>
    <row r="8" spans="2:10" x14ac:dyDescent="0.25">
      <c r="B8" s="83"/>
      <c r="C8" s="83"/>
      <c r="D8" s="83"/>
      <c r="E8" s="83"/>
      <c r="F8" s="83"/>
      <c r="G8" s="83"/>
    </row>
    <row r="9" spans="2:10" x14ac:dyDescent="0.25">
      <c r="B9" s="13" t="s">
        <v>13</v>
      </c>
      <c r="C9" s="13" t="s">
        <v>12</v>
      </c>
      <c r="D9" s="13" t="s">
        <v>11</v>
      </c>
      <c r="E9" s="14" t="s">
        <v>10</v>
      </c>
      <c r="F9" s="14" t="s">
        <v>9</v>
      </c>
      <c r="G9" s="13" t="s">
        <v>8</v>
      </c>
    </row>
    <row r="10" spans="2:10" x14ac:dyDescent="0.25">
      <c r="B10" s="82" t="s">
        <v>18</v>
      </c>
      <c r="C10" s="82"/>
      <c r="D10" s="82"/>
      <c r="E10" s="15">
        <f>+G10</f>
        <v>200000</v>
      </c>
      <c r="F10" s="15"/>
      <c r="G10" s="15">
        <v>200000</v>
      </c>
    </row>
    <row r="11" spans="2:10" x14ac:dyDescent="0.25">
      <c r="B11" s="16">
        <f>+IF(D11="","",ROW()-10)</f>
        <v>1</v>
      </c>
      <c r="C11" s="17">
        <v>44894</v>
      </c>
      <c r="D11" s="18" t="s">
        <v>36</v>
      </c>
      <c r="E11" s="19">
        <v>10000</v>
      </c>
      <c r="F11" s="19"/>
      <c r="G11" s="15">
        <f>+G10+E11-F11</f>
        <v>210000</v>
      </c>
      <c r="I11" s="81"/>
      <c r="J11" s="81"/>
    </row>
    <row r="12" spans="2:10" x14ac:dyDescent="0.25">
      <c r="B12" s="16">
        <f t="shared" ref="B12:B22" si="0">+IF(D12="","",ROW()-10)</f>
        <v>2</v>
      </c>
      <c r="C12" s="17">
        <v>44894</v>
      </c>
      <c r="D12" s="18" t="s">
        <v>84</v>
      </c>
      <c r="E12" s="20"/>
      <c r="F12" s="21">
        <v>5000</v>
      </c>
      <c r="G12" s="15">
        <f t="shared" ref="G12:G22" si="1">+G11+E12-F12</f>
        <v>205000</v>
      </c>
    </row>
    <row r="13" spans="2:10" x14ac:dyDescent="0.25">
      <c r="B13" s="16" t="str">
        <f t="shared" si="0"/>
        <v/>
      </c>
      <c r="C13" s="17">
        <v>44894</v>
      </c>
      <c r="D13" s="18"/>
      <c r="E13" s="19"/>
      <c r="F13" s="20">
        <v>50000</v>
      </c>
      <c r="G13" s="15">
        <f>+G12+E13-F13</f>
        <v>155000</v>
      </c>
    </row>
    <row r="14" spans="2:10" x14ac:dyDescent="0.25">
      <c r="B14" s="16" t="str">
        <f t="shared" si="0"/>
        <v/>
      </c>
      <c r="C14" s="17">
        <v>44894</v>
      </c>
      <c r="D14" s="18"/>
      <c r="E14" s="19">
        <v>15000</v>
      </c>
      <c r="F14" s="21"/>
      <c r="G14" s="15">
        <f t="shared" si="1"/>
        <v>170000</v>
      </c>
    </row>
    <row r="15" spans="2:10" x14ac:dyDescent="0.25">
      <c r="B15" s="16" t="str">
        <f t="shared" si="0"/>
        <v/>
      </c>
      <c r="C15" s="17">
        <v>44894</v>
      </c>
      <c r="D15" s="18"/>
      <c r="E15" s="19"/>
      <c r="F15" s="20">
        <v>30000</v>
      </c>
      <c r="G15" s="15">
        <f t="shared" si="1"/>
        <v>140000</v>
      </c>
    </row>
    <row r="16" spans="2:10" x14ac:dyDescent="0.25">
      <c r="B16" s="16" t="str">
        <f t="shared" si="0"/>
        <v/>
      </c>
      <c r="C16" s="17">
        <v>44894</v>
      </c>
      <c r="D16" s="18"/>
      <c r="E16" s="19">
        <v>5000</v>
      </c>
      <c r="F16" s="22"/>
      <c r="G16" s="15">
        <f t="shared" si="1"/>
        <v>145000</v>
      </c>
    </row>
    <row r="17" spans="2:7" x14ac:dyDescent="0.25">
      <c r="B17" s="16" t="str">
        <f t="shared" si="0"/>
        <v/>
      </c>
      <c r="C17" s="17">
        <v>44894</v>
      </c>
      <c r="D17" s="18"/>
      <c r="E17" s="19"/>
      <c r="F17" s="22"/>
      <c r="G17" s="15">
        <f t="shared" si="1"/>
        <v>145000</v>
      </c>
    </row>
    <row r="18" spans="2:7" x14ac:dyDescent="0.25">
      <c r="B18" s="16" t="str">
        <f t="shared" si="0"/>
        <v/>
      </c>
      <c r="C18" s="17">
        <v>44894</v>
      </c>
      <c r="D18" s="18"/>
      <c r="E18" s="19"/>
      <c r="F18" s="22"/>
      <c r="G18" s="15">
        <f t="shared" si="1"/>
        <v>145000</v>
      </c>
    </row>
    <row r="19" spans="2:7" x14ac:dyDescent="0.25">
      <c r="B19" s="16" t="str">
        <f t="shared" si="0"/>
        <v/>
      </c>
      <c r="C19" s="17">
        <v>44894</v>
      </c>
      <c r="D19" s="18"/>
      <c r="E19" s="19"/>
      <c r="F19" s="22"/>
      <c r="G19" s="15">
        <f t="shared" si="1"/>
        <v>145000</v>
      </c>
    </row>
    <row r="20" spans="2:7" x14ac:dyDescent="0.25">
      <c r="B20" s="16" t="str">
        <f t="shared" si="0"/>
        <v/>
      </c>
      <c r="C20" s="17">
        <v>44894</v>
      </c>
      <c r="D20" s="18"/>
      <c r="E20" s="19"/>
      <c r="F20" s="22"/>
      <c r="G20" s="15">
        <f t="shared" si="1"/>
        <v>145000</v>
      </c>
    </row>
    <row r="21" spans="2:7" x14ac:dyDescent="0.25">
      <c r="B21" s="16" t="str">
        <f t="shared" si="0"/>
        <v/>
      </c>
      <c r="C21" s="17">
        <v>44894</v>
      </c>
      <c r="D21" s="18"/>
      <c r="E21" s="19"/>
      <c r="F21" s="22"/>
      <c r="G21" s="15">
        <f t="shared" si="1"/>
        <v>145000</v>
      </c>
    </row>
    <row r="22" spans="2:7" x14ac:dyDescent="0.25">
      <c r="B22" s="16" t="str">
        <f t="shared" si="0"/>
        <v/>
      </c>
      <c r="C22" s="17">
        <v>44894</v>
      </c>
      <c r="D22" s="18"/>
      <c r="E22" s="19"/>
      <c r="F22" s="22"/>
      <c r="G22" s="15">
        <f t="shared" si="1"/>
        <v>145000</v>
      </c>
    </row>
    <row r="23" spans="2:7" x14ac:dyDescent="0.25">
      <c r="B23" s="82" t="s">
        <v>19</v>
      </c>
      <c r="C23" s="82"/>
      <c r="D23" s="82"/>
      <c r="E23" s="15">
        <f>SUM(E10:E22)</f>
        <v>230000</v>
      </c>
      <c r="F23" s="15">
        <f>SUM(F10:F22)</f>
        <v>85000</v>
      </c>
      <c r="G23" s="15"/>
    </row>
    <row r="24" spans="2:7" x14ac:dyDescent="0.25">
      <c r="B24" s="82" t="s">
        <v>20</v>
      </c>
      <c r="C24" s="82"/>
      <c r="D24" s="82"/>
      <c r="E24" s="23">
        <f>+E23-F23</f>
        <v>145000</v>
      </c>
      <c r="F24" s="24"/>
      <c r="G24" s="25"/>
    </row>
  </sheetData>
  <mergeCells count="6">
    <mergeCell ref="D7:F7"/>
    <mergeCell ref="I11:J11"/>
    <mergeCell ref="B23:D23"/>
    <mergeCell ref="B24:D24"/>
    <mergeCell ref="B8:G8"/>
    <mergeCell ref="B10:D10"/>
  </mergeCells>
  <conditionalFormatting sqref="E24">
    <cfRule type="expression" dxfId="6" priority="1">
      <formula>$E$24&lt;50000</formula>
    </cfRule>
  </conditionalFormatting>
  <pageMargins left="0.51181102362204722" right="0.51181102362204722" top="1.5354330708661419" bottom="0.55118110236220474" header="0.9055118110236221" footer="0.31496062992125984"/>
  <pageSetup paperSize="9" scale="6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4:M24"/>
  <sheetViews>
    <sheetView showGridLines="0" zoomScale="90" zoomScaleNormal="90" workbookViewId="0">
      <selection activeCell="F12" sqref="F12:I12"/>
    </sheetView>
  </sheetViews>
  <sheetFormatPr baseColWidth="10" defaultColWidth="9.140625" defaultRowHeight="15" x14ac:dyDescent="0.25"/>
  <cols>
    <col min="3" max="3" width="15" bestFit="1" customWidth="1"/>
    <col min="6" max="6" width="18.42578125" customWidth="1"/>
    <col min="7" max="7" width="13.42578125" bestFit="1" customWidth="1"/>
    <col min="9" max="9" width="10.85546875" customWidth="1"/>
    <col min="13" max="13" width="10.42578125" customWidth="1"/>
  </cols>
  <sheetData>
    <row r="4" spans="2:13" ht="18.75" x14ac:dyDescent="0.3">
      <c r="B4" s="8" t="s">
        <v>0</v>
      </c>
      <c r="C4" s="9">
        <f ca="1">+TODAY()</f>
        <v>45310</v>
      </c>
      <c r="D4" s="10"/>
      <c r="E4" s="10"/>
      <c r="F4" s="10"/>
      <c r="G4" s="10"/>
    </row>
    <row r="5" spans="2:13" ht="18.75" x14ac:dyDescent="0.3">
      <c r="B5" s="10"/>
      <c r="C5" s="10"/>
      <c r="D5" s="10"/>
      <c r="E5" s="10"/>
      <c r="F5" s="10"/>
      <c r="G5" s="10"/>
    </row>
    <row r="6" spans="2:13" ht="19.5" thickBot="1" x14ac:dyDescent="0.35">
      <c r="B6" s="127" t="s">
        <v>1</v>
      </c>
      <c r="C6" s="127"/>
      <c r="D6" s="127"/>
      <c r="E6" s="127"/>
      <c r="F6" s="127"/>
      <c r="G6" s="11">
        <f>+J16</f>
        <v>145000</v>
      </c>
    </row>
    <row r="7" spans="2:13" ht="15.75" x14ac:dyDescent="0.25">
      <c r="B7" s="128" t="s">
        <v>2</v>
      </c>
      <c r="C7" s="116"/>
      <c r="D7" s="116"/>
      <c r="E7" s="129"/>
      <c r="F7" s="115" t="s">
        <v>3</v>
      </c>
      <c r="G7" s="116"/>
      <c r="H7" s="116"/>
      <c r="I7" s="129"/>
      <c r="J7" s="115" t="s">
        <v>4</v>
      </c>
      <c r="K7" s="116"/>
      <c r="L7" s="116"/>
      <c r="M7" s="117"/>
    </row>
    <row r="8" spans="2:13" ht="18.75" x14ac:dyDescent="0.25">
      <c r="B8" s="124">
        <v>2000</v>
      </c>
      <c r="C8" s="125"/>
      <c r="D8" s="125"/>
      <c r="E8" s="126"/>
      <c r="F8" s="121">
        <v>25</v>
      </c>
      <c r="G8" s="122"/>
      <c r="H8" s="122"/>
      <c r="I8" s="123"/>
      <c r="J8" s="118">
        <f>+B8*F8</f>
        <v>50000</v>
      </c>
      <c r="K8" s="119"/>
      <c r="L8" s="119"/>
      <c r="M8" s="120"/>
    </row>
    <row r="9" spans="2:13" ht="18.75" x14ac:dyDescent="0.25">
      <c r="B9" s="124">
        <v>1000</v>
      </c>
      <c r="C9" s="125"/>
      <c r="D9" s="125"/>
      <c r="E9" s="126"/>
      <c r="F9" s="121">
        <v>80</v>
      </c>
      <c r="G9" s="122"/>
      <c r="H9" s="122"/>
      <c r="I9" s="123"/>
      <c r="J9" s="118">
        <f>+B9*F9</f>
        <v>80000</v>
      </c>
      <c r="K9" s="119"/>
      <c r="L9" s="119"/>
      <c r="M9" s="120"/>
    </row>
    <row r="10" spans="2:13" ht="18.75" x14ac:dyDescent="0.25">
      <c r="B10" s="124">
        <v>500</v>
      </c>
      <c r="C10" s="125"/>
      <c r="D10" s="125"/>
      <c r="E10" s="126"/>
      <c r="F10" s="121">
        <v>13</v>
      </c>
      <c r="G10" s="122"/>
      <c r="H10" s="122"/>
      <c r="I10" s="123"/>
      <c r="J10" s="118">
        <f t="shared" ref="J10:J15" si="0">+B10*F10</f>
        <v>6500</v>
      </c>
      <c r="K10" s="119"/>
      <c r="L10" s="119"/>
      <c r="M10" s="120"/>
    </row>
    <row r="11" spans="2:13" ht="18.75" x14ac:dyDescent="0.25">
      <c r="B11" s="124">
        <v>200</v>
      </c>
      <c r="C11" s="125"/>
      <c r="D11" s="125"/>
      <c r="E11" s="126"/>
      <c r="F11" s="121">
        <v>35</v>
      </c>
      <c r="G11" s="122"/>
      <c r="H11" s="122"/>
      <c r="I11" s="123"/>
      <c r="J11" s="118">
        <f t="shared" si="0"/>
        <v>7000</v>
      </c>
      <c r="K11" s="119"/>
      <c r="L11" s="119"/>
      <c r="M11" s="120"/>
    </row>
    <row r="12" spans="2:13" ht="18.75" x14ac:dyDescent="0.25">
      <c r="B12" s="124">
        <v>100</v>
      </c>
      <c r="C12" s="125"/>
      <c r="D12" s="125"/>
      <c r="E12" s="126"/>
      <c r="F12" s="121">
        <v>5</v>
      </c>
      <c r="G12" s="122"/>
      <c r="H12" s="122"/>
      <c r="I12" s="123"/>
      <c r="J12" s="118">
        <f t="shared" si="0"/>
        <v>500</v>
      </c>
      <c r="K12" s="119"/>
      <c r="L12" s="119"/>
      <c r="M12" s="120"/>
    </row>
    <row r="13" spans="2:13" ht="18.75" x14ac:dyDescent="0.25">
      <c r="B13" s="124">
        <v>50</v>
      </c>
      <c r="C13" s="125"/>
      <c r="D13" s="125"/>
      <c r="E13" s="126"/>
      <c r="F13" s="121">
        <v>20</v>
      </c>
      <c r="G13" s="122"/>
      <c r="H13" s="122"/>
      <c r="I13" s="123"/>
      <c r="J13" s="118">
        <f t="shared" si="0"/>
        <v>1000</v>
      </c>
      <c r="K13" s="119"/>
      <c r="L13" s="119"/>
      <c r="M13" s="120"/>
    </row>
    <row r="14" spans="2:13" ht="18.75" x14ac:dyDescent="0.25">
      <c r="B14" s="124">
        <v>20</v>
      </c>
      <c r="C14" s="125"/>
      <c r="D14" s="125"/>
      <c r="E14" s="126"/>
      <c r="F14" s="121"/>
      <c r="G14" s="122"/>
      <c r="H14" s="122"/>
      <c r="I14" s="123"/>
      <c r="J14" s="118">
        <f t="shared" si="0"/>
        <v>0</v>
      </c>
      <c r="K14" s="119"/>
      <c r="L14" s="119"/>
      <c r="M14" s="120"/>
    </row>
    <row r="15" spans="2:13" ht="18.75" x14ac:dyDescent="0.25">
      <c r="B15" s="124">
        <v>10</v>
      </c>
      <c r="C15" s="125"/>
      <c r="D15" s="125"/>
      <c r="E15" s="126"/>
      <c r="F15" s="121"/>
      <c r="G15" s="122"/>
      <c r="H15" s="122"/>
      <c r="I15" s="123"/>
      <c r="J15" s="118">
        <f t="shared" si="0"/>
        <v>0</v>
      </c>
      <c r="K15" s="119"/>
      <c r="L15" s="119"/>
      <c r="M15" s="120"/>
    </row>
    <row r="16" spans="2:13" ht="18.75" x14ac:dyDescent="0.3">
      <c r="B16" s="106" t="s">
        <v>5</v>
      </c>
      <c r="C16" s="107"/>
      <c r="D16" s="107"/>
      <c r="E16" s="107"/>
      <c r="F16" s="107"/>
      <c r="G16" s="107"/>
      <c r="H16" s="107"/>
      <c r="I16" s="108"/>
      <c r="J16" s="101">
        <f>SUM(J8:M15)</f>
        <v>145000</v>
      </c>
      <c r="K16" s="102"/>
      <c r="L16" s="102"/>
      <c r="M16" s="103"/>
    </row>
    <row r="17" spans="2:13" ht="18.75" x14ac:dyDescent="0.3">
      <c r="B17" s="109" t="s">
        <v>6</v>
      </c>
      <c r="C17" s="110"/>
      <c r="D17" s="110"/>
      <c r="E17" s="110"/>
      <c r="F17" s="110"/>
      <c r="G17" s="110"/>
      <c r="H17" s="110"/>
      <c r="I17" s="110"/>
      <c r="J17" s="104">
        <f>+'suivi de caisse'!E24</f>
        <v>145000</v>
      </c>
      <c r="K17" s="104"/>
      <c r="L17" s="104"/>
      <c r="M17" s="105"/>
    </row>
    <row r="18" spans="2:13" ht="18.75" x14ac:dyDescent="0.3">
      <c r="B18" s="111" t="s">
        <v>7</v>
      </c>
      <c r="C18" s="112"/>
      <c r="D18" s="112"/>
      <c r="E18" s="112"/>
      <c r="F18" s="112"/>
      <c r="G18" s="112"/>
      <c r="H18" s="112"/>
      <c r="I18" s="112"/>
      <c r="J18" s="113">
        <f>+J16-J17</f>
        <v>0</v>
      </c>
      <c r="K18" s="113"/>
      <c r="L18" s="113"/>
      <c r="M18" s="114"/>
    </row>
    <row r="19" spans="2:13" x14ac:dyDescent="0.25">
      <c r="B19" s="84"/>
      <c r="C19" s="85"/>
      <c r="D19" s="85"/>
      <c r="E19" s="85"/>
      <c r="F19" s="85"/>
      <c r="G19" s="85"/>
      <c r="H19" s="85"/>
      <c r="I19" s="86"/>
      <c r="J19" s="93"/>
      <c r="K19" s="94"/>
      <c r="L19" s="94"/>
      <c r="M19" s="95"/>
    </row>
    <row r="20" spans="2:13" x14ac:dyDescent="0.25">
      <c r="B20" s="87"/>
      <c r="C20" s="88"/>
      <c r="D20" s="88"/>
      <c r="E20" s="88"/>
      <c r="F20" s="88"/>
      <c r="G20" s="88"/>
      <c r="H20" s="88"/>
      <c r="I20" s="89"/>
      <c r="J20" s="96"/>
      <c r="K20" s="81"/>
      <c r="L20" s="81"/>
      <c r="M20" s="97"/>
    </row>
    <row r="21" spans="2:13" x14ac:dyDescent="0.25">
      <c r="B21" s="87"/>
      <c r="C21" s="88"/>
      <c r="D21" s="88"/>
      <c r="E21" s="88"/>
      <c r="F21" s="88"/>
      <c r="G21" s="88"/>
      <c r="H21" s="88"/>
      <c r="I21" s="89"/>
      <c r="J21" s="96"/>
      <c r="K21" s="81"/>
      <c r="L21" s="81"/>
      <c r="M21" s="97"/>
    </row>
    <row r="22" spans="2:13" hidden="1" x14ac:dyDescent="0.25">
      <c r="B22" s="87"/>
      <c r="C22" s="88"/>
      <c r="D22" s="88"/>
      <c r="E22" s="88"/>
      <c r="F22" s="88"/>
      <c r="G22" s="88"/>
      <c r="H22" s="88"/>
      <c r="I22" s="89"/>
      <c r="J22" s="96"/>
      <c r="K22" s="81"/>
      <c r="L22" s="81"/>
      <c r="M22" s="97"/>
    </row>
    <row r="23" spans="2:13" hidden="1" x14ac:dyDescent="0.25">
      <c r="B23" s="87"/>
      <c r="C23" s="88"/>
      <c r="D23" s="88"/>
      <c r="E23" s="88"/>
      <c r="F23" s="88"/>
      <c r="G23" s="88"/>
      <c r="H23" s="88"/>
      <c r="I23" s="89"/>
      <c r="J23" s="96"/>
      <c r="K23" s="81"/>
      <c r="L23" s="81"/>
      <c r="M23" s="97"/>
    </row>
    <row r="24" spans="2:13" ht="30.75" customHeight="1" thickBot="1" x14ac:dyDescent="0.3">
      <c r="B24" s="90"/>
      <c r="C24" s="91"/>
      <c r="D24" s="91"/>
      <c r="E24" s="91"/>
      <c r="F24" s="91"/>
      <c r="G24" s="91"/>
      <c r="H24" s="91"/>
      <c r="I24" s="92"/>
      <c r="J24" s="98"/>
      <c r="K24" s="99"/>
      <c r="L24" s="99"/>
      <c r="M24" s="100"/>
    </row>
  </sheetData>
  <mergeCells count="36">
    <mergeCell ref="B12:E12"/>
    <mergeCell ref="B13:E13"/>
    <mergeCell ref="B14:E14"/>
    <mergeCell ref="B15:E15"/>
    <mergeCell ref="B6:F6"/>
    <mergeCell ref="B7:E7"/>
    <mergeCell ref="B8:E8"/>
    <mergeCell ref="B9:E9"/>
    <mergeCell ref="B10:E10"/>
    <mergeCell ref="B11:E11"/>
    <mergeCell ref="F13:I13"/>
    <mergeCell ref="F14:I14"/>
    <mergeCell ref="F15:I15"/>
    <mergeCell ref="F7:I7"/>
    <mergeCell ref="F8:I8"/>
    <mergeCell ref="F9:I9"/>
    <mergeCell ref="F10:I10"/>
    <mergeCell ref="F11:I11"/>
    <mergeCell ref="F12:I12"/>
    <mergeCell ref="J14:M14"/>
    <mergeCell ref="J15:M15"/>
    <mergeCell ref="J12:M12"/>
    <mergeCell ref="J13:M13"/>
    <mergeCell ref="J7:M7"/>
    <mergeCell ref="J8:M8"/>
    <mergeCell ref="J9:M9"/>
    <mergeCell ref="J10:M10"/>
    <mergeCell ref="J11:M11"/>
    <mergeCell ref="B19:I24"/>
    <mergeCell ref="J19:M24"/>
    <mergeCell ref="J16:M16"/>
    <mergeCell ref="J17:M17"/>
    <mergeCell ref="B16:I16"/>
    <mergeCell ref="B17:I17"/>
    <mergeCell ref="B18:I18"/>
    <mergeCell ref="J18:M1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graphiques</vt:lpstr>
      <vt:lpstr>LES FORMULES BASIQUES</vt:lpstr>
      <vt:lpstr>format tableau </vt:lpstr>
      <vt:lpstr>figer les cellules</vt:lpstr>
      <vt:lpstr>suivi de caisse</vt:lpstr>
      <vt:lpstr>PV DE CAISSE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2024-01-19T10:15:53Z</dcterms:modified>
</cp:coreProperties>
</file>