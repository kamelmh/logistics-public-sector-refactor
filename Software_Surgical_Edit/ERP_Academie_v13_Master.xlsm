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13_ncr:1_{A240FC95-1615-404D-A6E9-B28565B1D295}" xr6:coauthVersionLast="36" xr6:coauthVersionMax="36" xr10:uidLastSave="{00000000-0000-0000-0000-000000000000}"/>
  <bookViews>
    <workbookView xWindow="0" yWindow="0" windowWidth="16380" windowHeight="8190" tabRatio="500" firstSheet="14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calcMode="manual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J31" i="5"/>
  <c r="I31" i="5"/>
  <c r="F31" i="5"/>
  <c r="G31" i="5" s="1"/>
  <c r="C31" i="5"/>
  <c r="J30" i="5"/>
  <c r="I30" i="5"/>
  <c r="F30" i="5"/>
  <c r="G30" i="5" s="1"/>
  <c r="C30" i="5"/>
  <c r="J29" i="5"/>
  <c r="I29" i="5"/>
  <c r="F29" i="5"/>
  <c r="G29" i="5" s="1"/>
  <c r="C29" i="5"/>
  <c r="J28" i="5"/>
  <c r="I28" i="5"/>
  <c r="F28" i="5"/>
  <c r="G28" i="5" s="1"/>
  <c r="C28" i="5"/>
  <c r="J27" i="5"/>
  <c r="I27" i="5"/>
  <c r="F27" i="5"/>
  <c r="G27" i="5" s="1"/>
  <c r="C27" i="5"/>
  <c r="J26" i="5"/>
  <c r="I26" i="5"/>
  <c r="F26" i="5"/>
  <c r="G26" i="5" s="1"/>
  <c r="C26" i="5"/>
  <c r="J25" i="5"/>
  <c r="I25" i="5"/>
  <c r="F25" i="5"/>
  <c r="G25" i="5" s="1"/>
  <c r="C25" i="5"/>
  <c r="J24" i="5"/>
  <c r="I24" i="5"/>
  <c r="F24" i="5"/>
  <c r="G24" i="5" s="1"/>
  <c r="C24" i="5"/>
  <c r="J23" i="5"/>
  <c r="I23" i="5"/>
  <c r="F23" i="5"/>
  <c r="G23" i="5" s="1"/>
  <c r="C23" i="5"/>
  <c r="J22" i="5"/>
  <c r="I22" i="5"/>
  <c r="F22" i="5"/>
  <c r="G22" i="5" s="1"/>
  <c r="C22" i="5"/>
  <c r="J21" i="5"/>
  <c r="I21" i="5"/>
  <c r="F21" i="5"/>
  <c r="G21" i="5" s="1"/>
  <c r="C21" i="5"/>
  <c r="J20" i="5"/>
  <c r="I20" i="5"/>
  <c r="F20" i="5"/>
  <c r="G20" i="5" s="1"/>
  <c r="C20" i="5"/>
  <c r="J19" i="5"/>
  <c r="I19" i="5"/>
  <c r="F19" i="5"/>
  <c r="G19" i="5" s="1"/>
  <c r="C19" i="5"/>
  <c r="J18" i="5"/>
  <c r="I18" i="5"/>
  <c r="F18" i="5"/>
  <c r="G18" i="5" s="1"/>
  <c r="C18" i="5"/>
  <c r="J17" i="5"/>
  <c r="I17" i="5"/>
  <c r="F17" i="5"/>
  <c r="G17" i="5" s="1"/>
  <c r="C17" i="5"/>
  <c r="J16" i="5"/>
  <c r="I16" i="5"/>
  <c r="F16" i="5"/>
  <c r="G16" i="5" s="1"/>
  <c r="C16" i="5"/>
  <c r="J15" i="5"/>
  <c r="I15" i="5"/>
  <c r="F15" i="5"/>
  <c r="G15" i="5" s="1"/>
  <c r="C15" i="5"/>
  <c r="J14" i="5"/>
  <c r="I14" i="5"/>
  <c r="F14" i="5"/>
  <c r="G14" i="5" s="1"/>
  <c r="C14" i="5"/>
  <c r="J13" i="5"/>
  <c r="I13" i="5"/>
  <c r="F13" i="5"/>
  <c r="G13" i="5" s="1"/>
  <c r="C13" i="5"/>
  <c r="J12" i="5"/>
  <c r="I12" i="5"/>
  <c r="F12" i="5"/>
  <c r="G12" i="5" s="1"/>
  <c r="C12" i="5"/>
  <c r="J11" i="5"/>
  <c r="I11" i="5"/>
  <c r="F11" i="5"/>
  <c r="G11" i="5" s="1"/>
  <c r="C11" i="5"/>
  <c r="J10" i="5"/>
  <c r="I10" i="5"/>
  <c r="F10" i="5"/>
  <c r="G10" i="5" s="1"/>
  <c r="C10" i="5"/>
  <c r="J9" i="5"/>
  <c r="I9" i="5"/>
  <c r="F9" i="5"/>
  <c r="G9" i="5" s="1"/>
  <c r="C9" i="5"/>
  <c r="J8" i="5"/>
  <c r="I8" i="5"/>
  <c r="F8" i="5"/>
  <c r="G8" i="5" s="1"/>
  <c r="C8" i="5"/>
  <c r="J7" i="5"/>
  <c r="I7" i="5"/>
  <c r="F7" i="5"/>
  <c r="G7" i="5" s="1"/>
  <c r="C7" i="5"/>
  <c r="J6" i="5"/>
  <c r="I6" i="5"/>
  <c r="F6" i="5"/>
  <c r="G6" i="5" s="1"/>
  <c r="C6" i="5"/>
  <c r="J5" i="5"/>
  <c r="I5" i="5"/>
  <c r="F5" i="5"/>
  <c r="G5" i="5" s="1"/>
  <c r="C5" i="5"/>
  <c r="J4" i="5"/>
  <c r="I4" i="5"/>
  <c r="F4" i="5"/>
  <c r="G4" i="5" s="1"/>
  <c r="C4" i="5"/>
  <c r="J3" i="5"/>
  <c r="I3" i="5"/>
  <c r="F3" i="5"/>
  <c r="K31" i="5" s="1"/>
  <c r="L31" i="5" s="1"/>
  <c r="H12" i="6" s="1"/>
  <c r="H20" i="7" s="1"/>
  <c r="C3" i="5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G3" i="5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K6" i="5"/>
  <c r="L6" i="5" s="1"/>
  <c r="K10" i="5"/>
  <c r="L10" i="5" s="1"/>
  <c r="K14" i="5"/>
  <c r="L14" i="5" s="1"/>
  <c r="K18" i="5"/>
  <c r="L18" i="5" s="1"/>
  <c r="K22" i="5"/>
  <c r="L22" i="5" s="1"/>
  <c r="H5" i="6" s="1"/>
  <c r="H13" i="7" s="1"/>
  <c r="K26" i="5"/>
  <c r="L26" i="5" s="1"/>
  <c r="H8" i="6" s="1"/>
  <c r="H16" i="7" s="1"/>
  <c r="K30" i="5"/>
  <c r="L30" i="5" s="1"/>
  <c r="H4" i="6" s="1"/>
  <c r="H12" i="7" s="1"/>
  <c r="E13" i="7"/>
  <c r="J5" i="6"/>
  <c r="F13" i="7" s="1"/>
  <c r="K5" i="6"/>
  <c r="K4" i="5"/>
  <c r="L4" i="5" s="1"/>
  <c r="K8" i="5"/>
  <c r="L8" i="5" s="1"/>
  <c r="K12" i="5"/>
  <c r="L12" i="5" s="1"/>
  <c r="H10" i="6" s="1"/>
  <c r="H18" i="7" s="1"/>
  <c r="K16" i="5"/>
  <c r="L16" i="5" s="1"/>
  <c r="H14" i="6" s="1"/>
  <c r="H22" i="7" s="1"/>
  <c r="K20" i="5"/>
  <c r="L20" i="5" s="1"/>
  <c r="K24" i="5"/>
  <c r="L24" i="5" s="1"/>
  <c r="H13" i="6" s="1"/>
  <c r="H21" i="7" s="1"/>
  <c r="K28" i="5"/>
  <c r="L28" i="5" s="1"/>
  <c r="F4" i="6"/>
  <c r="I5" i="6"/>
  <c r="I13" i="7" s="1"/>
  <c r="E12" i="7"/>
  <c r="K3" i="5"/>
  <c r="L3" i="5" s="1"/>
  <c r="K5" i="5"/>
  <c r="L5" i="5" s="1"/>
  <c r="K7" i="5"/>
  <c r="L7" i="5" s="1"/>
  <c r="K9" i="5"/>
  <c r="L9" i="5" s="1"/>
  <c r="K11" i="5"/>
  <c r="L11" i="5" s="1"/>
  <c r="K13" i="5"/>
  <c r="L13" i="5" s="1"/>
  <c r="H11" i="6" s="1"/>
  <c r="H19" i="7" s="1"/>
  <c r="K15" i="5"/>
  <c r="L15" i="5" s="1"/>
  <c r="K17" i="5"/>
  <c r="L17" i="5" s="1"/>
  <c r="H15" i="6" s="1"/>
  <c r="H23" i="7" s="1"/>
  <c r="K19" i="5"/>
  <c r="L19" i="5" s="1"/>
  <c r="K21" i="5"/>
  <c r="L21" i="5" s="1"/>
  <c r="H9" i="6" s="1"/>
  <c r="H17" i="7" s="1"/>
  <c r="K23" i="5"/>
  <c r="L23" i="5" s="1"/>
  <c r="H7" i="6" s="1"/>
  <c r="H15" i="7" s="1"/>
  <c r="K25" i="5"/>
  <c r="L25" i="5" s="1"/>
  <c r="K27" i="5"/>
  <c r="L27" i="5" s="1"/>
  <c r="H6" i="6" s="1"/>
  <c r="H14" i="7" s="1"/>
  <c r="K29" i="5"/>
  <c r="L29" i="5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11" i="6" l="1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<sst xmlns="http://schemas.openxmlformats.org/spreadsheetml/2006/main" count="1211" uniqueCount="761">
  <si>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</si>
  <si>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</si>
  <si>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</si>
  <si>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</si>
  <si>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</si>
  <si>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</si>
  <si>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</si>
  <si>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</si>
  <si>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</si>
  <si>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</si>
  <si>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</si>
  <si>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</si>
  <si>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</si>
  <si>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</si>
  <si>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</si>
  <si>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</si>
  <si>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</si>
  <si>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</si>
  <si>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</si>
  <si>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</si>
  <si>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</si>
  <si>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</si>
  <si>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</si>
  <si>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</si>
  <si>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</si>
  <si>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</si>
  <si>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</si>
  <si>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</si>
  <si>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</si>
  <si>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</si>
  <si>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</si>
  <si>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</si>
  <si>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</si>
  <si>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</si>
  <si>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</si>
  <si>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</si>
  <si>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</si>
  <si>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</si>
  <si>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</si>
  <si>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</si>
  <si>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</si>
  <si>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</si>
  <si>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</si>
  <si>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</si>
  <si>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</si>
  <si>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</si>
  <si>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</si>
  <si>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</si>
  <si>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</si>
  <si>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</si>
  <si>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</si>
  <si>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</si>
  <si>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</si>
  <si>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Rame papier A4 80g/m²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</si>
  <si>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</si>
  <si>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</si>
  <si>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</si>
  <si>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</si>
  <si>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</si>
  <si>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</si>
  <si>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</si>
  <si>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</si>
  <si>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</si>
  <si>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</si>
  <si>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</si>
  <si>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Stylos bille boîte/50</t>
  </si>
  <si>
    <t>ART-007</t>
  </si>
  <si>
    <t>Registre grand format 5m</t>
  </si>
  <si>
    <t>ART-008</t>
  </si>
  <si>
    <t>ART-009</t>
  </si>
  <si>
    <t>ART-010</t>
  </si>
  <si>
    <t>Chemise cartonnée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</si>
  <si>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</si>
  <si>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</si>
  <si>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</si>
  <si>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</si>
  <si>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</si>
  <si>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</si>
  <si>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</si>
  <si>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</si>
  <si>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</si>
  <si>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</si>
  <si>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</si>
  <si>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</si>
  <si>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</si>
  <si>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Entreprise Nat. des Arts et Papeteries</t>
  </si>
  <si>
    <t>Alger</t>
  </si>
  <si>
    <t>021-XX-XX-XX</t>
  </si>
  <si>
    <t>Articles papeterie, impression</t>
  </si>
  <si>
    <t>F-002</t>
  </si>
  <si>
    <t>Fournisseur bureautique multi-services</t>
  </si>
  <si>
    <t>Oran</t>
  </si>
  <si>
    <t>041-XX-XX-XX</t>
  </si>
  <si>
    <t>Consommables informatiques, toners</t>
  </si>
  <si>
    <t>F-003</t>
  </si>
  <si>
    <t>Articles de bureau et consommables</t>
  </si>
  <si>
    <t>Mascara</t>
  </si>
  <si>
    <t>045-XX-XX-XX</t>
  </si>
  <si>
    <t>Matériel de bureau, classement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</si>
  <si>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</si>
  <si>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</si>
  <si>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</si>
  <si>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</si>
  <si>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</si>
  <si>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</si>
  <si>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</si>
  <si>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</si>
  <si>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</si>
  <si>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</si>
  <si>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</si>
  <si>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</si>
  <si>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</si>
  <si>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</si>
  <si>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</si>
  <si>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</si>
  <si>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</si>
  <si>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</si>
  <si>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</si>
  <si>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</si>
  <si>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</si>
  <si>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</si>
  <si>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</si>
  <si>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</si>
  <si>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</si>
  <si>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</si>
  <si>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</si>
  <si>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</si>
  <si>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</si>
  <si>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</si>
  <si>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</si>
  <si>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</si>
  <si>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</si>
  <si>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</si>
  <si>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</si>
  <si>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</si>
  <si>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</si>
  <si>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</si>
  <si>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</si>
  <si>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</si>
  <si>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</si>
  <si>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</si>
  <si>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</si>
  <si>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</si>
  <si>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</si>
  <si>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</si>
  <si>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</si>
  <si>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</si>
  <si>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</si>
  <si>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</si>
  <si>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</si>
  <si>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</si>
  <si>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</si>
  <si>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</si>
  <si>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</si>
  <si>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</si>
  <si>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</si>
  <si>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</si>
  <si>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</si>
  <si>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</si>
  <si>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</si>
  <si>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</si>
  <si>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</si>
  <si>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</si>
  <si>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</si>
  <si>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</si>
  <si>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</si>
  <si>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</si>
  <si>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</si>
  <si>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</si>
  <si>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</si>
  <si>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</si>
  <si>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</si>
  <si>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</si>
  <si>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</si>
  <si>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</si>
  <si>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</si>
  <si>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</si>
  <si>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</si>
  <si>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</si>
  <si>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</si>
  <si>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</si>
  <si>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</si>
  <si>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</si>
  <si>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</si>
  <si>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</si>
  <si>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</si>
  <si>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</si>
  <si>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SI-2025</t>
  </si>
  <si>
    <t>رصيد افتتاحي 31/12/2025</t>
  </si>
  <si>
    <t>OUT</t>
  </si>
  <si>
    <t>BS-J1-001</t>
  </si>
  <si>
    <t>مصلحة الرواتب + المستخدمين</t>
  </si>
  <si>
    <t>BS-J1-002</t>
  </si>
  <si>
    <t>مصلحة الموظفين + الامتحانات</t>
  </si>
  <si>
    <t>BS-J1-003</t>
  </si>
  <si>
    <t>عدة مصالح — نهاية يناير</t>
  </si>
  <si>
    <t>BR-001</t>
  </si>
  <si>
    <t>وصل استلام — Toner G030</t>
  </si>
  <si>
    <t>وصل استلام — رزمة ورق A3</t>
  </si>
  <si>
    <t>SI-001</t>
  </si>
  <si>
    <t>رصيد افتتاحي فيفري</t>
  </si>
  <si>
    <t>BS-F1-001</t>
  </si>
  <si>
    <t>مصلحة الطباعة</t>
  </si>
  <si>
    <t>BS-F1-002</t>
  </si>
  <si>
    <t>مصلحة الرواتب والطبع</t>
  </si>
  <si>
    <t>BS-F1-003</t>
  </si>
  <si>
    <t>مصلحة الدراسات</t>
  </si>
  <si>
    <t>BS-F1-004</t>
  </si>
  <si>
    <t>عدة مكاتب</t>
  </si>
  <si>
    <t>BS-F1-005</t>
  </si>
  <si>
    <t>!! نفاد مؤكد G030 → 0 وحدة</t>
  </si>
  <si>
    <t>BS-F1-006</t>
  </si>
  <si>
    <t>مصلحة الأرشيف</t>
  </si>
  <si>
    <t>BS-F1-007</t>
  </si>
  <si>
    <t>BS-F2-001</t>
  </si>
  <si>
    <t>طباعة نتائج الامتحانات</t>
  </si>
  <si>
    <t>BS-M1-001</t>
  </si>
  <si>
    <t>مكتب الإدارة</t>
  </si>
  <si>
    <t>BS-M1-002</t>
  </si>
  <si>
    <t>!! رصيد حرج A3 → 2 رزمة</t>
  </si>
  <si>
    <t>BS-M1-003</t>
  </si>
  <si>
    <t>أمانة المدير + عدة مصالح</t>
  </si>
  <si>
    <t>BS-M1-004</t>
  </si>
  <si>
    <t>مصلحة الموظفين</t>
  </si>
  <si>
    <t>BS-M1-005</t>
  </si>
  <si>
    <t>رصيد أخير مُوثَّق = 130</t>
  </si>
  <si>
    <t>BS-M1-006</t>
  </si>
  <si>
    <t>!! رصيد حرج → 1 وحدة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</si>
  <si>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</si>
  <si>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</si>
  <si>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</si>
  <si>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</si>
  <si>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</si>
  <si>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</si>
  <si>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</si>
  <si>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</si>
  <si>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</si>
  <si>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</si>
  <si>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</si>
  <si>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</si>
  <si>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</si>
  <si>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</si>
  <si>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</si>
  <si>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</si>
  <si>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</si>
  <si>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</si>
  <si>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</si>
  <si>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</si>
  <si>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</si>
  <si>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</si>
  <si>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</si>
  <si>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</si>
  <si>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</si>
  <si>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</si>
  <si>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</si>
  <si>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</si>
  <si>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</si>
  <si>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</si>
  <si>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</si>
  <si>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</si>
  <si>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</si>
  <si>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</si>
  <si>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</si>
  <si>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</si>
  <si>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</si>
  <si>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</si>
  <si>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</si>
  <si>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</si>
  <si>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</si>
  <si>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</si>
  <si>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</si>
  <si>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</si>
  <si>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</si>
  <si>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</si>
  <si>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</si>
  <si>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</si>
  <si>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</si>
  <si>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</si>
  <si>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</si>
  <si>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</si>
  <si>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</si>
  <si>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</si>
  <si>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</si>
  <si>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</si>
  <si>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</si>
  <si>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</si>
  <si>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</si>
  <si>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</si>
  <si>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</si>
  <si>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</si>
  <si>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</si>
  <si>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</si>
  <si>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</si>
  <si>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</si>
  <si>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</si>
  <si>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</si>
  <si>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</si>
  <si>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</si>
  <si>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</si>
  <si>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</si>
  <si>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</si>
  <si>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</si>
  <si>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</si>
  <si>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</si>
  <si>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</si>
  <si>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</si>
  <si>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</si>
  <si>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</si>
  <si>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</si>
  <si>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</si>
  <si>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</si>
  <si>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</si>
  <si>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</si>
  <si>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</si>
  <si>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</si>
  <si>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</si>
  <si>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</si>
  <si>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</si>
  <si>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</si>
  <si>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</si>
  <si>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</si>
  <si>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</si>
  <si>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</si>
  <si>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</si>
  <si>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</si>
  <si>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</si>
  <si>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</si>
  <si>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</si>
  <si>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</si>
  <si>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</si>
  <si>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</si>
  <si>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</si>
  <si>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</si>
  <si>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</si>
  <si>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</si>
  <si>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</si>
  <si>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</si>
  <si>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</si>
  <si>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</si>
  <si>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</si>
  <si>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</si>
  <si>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</si>
  <si>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</si>
  <si>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</si>
  <si>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</si>
  <si>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</si>
  <si>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</si>
  <si>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</si>
  <si>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</si>
  <si>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</si>
  <si>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</si>
  <si>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</si>
  <si>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</si>
  <si>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</si>
  <si>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</si>
  <si>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</si>
  <si>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</si>
  <si>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</si>
  <si>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</si>
  <si>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</si>
  <si>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</si>
  <si>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</si>
  <si>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</si>
  <si>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</si>
  <si>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</si>
  <si>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</si>
  <si>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</si>
  <si>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</si>
  <si>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</si>
  <si>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</si>
  <si>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</si>
  <si>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</si>
  <si>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</si>
  <si>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</si>
  <si>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</si>
  <si>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</si>
  <si>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</si>
  <si>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</si>
  <si>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</si>
  <si>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</si>
  <si>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</si>
  <si>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</si>
  <si>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</si>
  <si>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</si>
  <si>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</si>
  <si>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</si>
  <si>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</si>
  <si>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</si>
  <si>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</si>
  <si>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</si>
  <si>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</si>
  <si>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</si>
  <si>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</si>
  <si>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</si>
  <si>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</si>
  <si>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</si>
  <si>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</si>
  <si>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</si>
  <si>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</si>
  <si>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</si>
  <si>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</si>
  <si>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</si>
  <si>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</si>
  <si>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</si>
  <si>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</si>
  <si>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</si>
  <si>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</si>
  <si>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</si>
  <si>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</si>
  <si>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</si>
  <si>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</si>
  <si>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</si>
  <si>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</si>
  <si>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</si>
  <si>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</si>
  <si>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</si>
  <si>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</si>
  <si>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</si>
  <si>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</si>
  <si>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</si>
  <si>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</si>
  <si>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</si>
  <si>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</si>
  <si>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</si>
  <si>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</si>
  <si>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</si>
  <si>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</si>
  <si>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</si>
  <si>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</si>
  <si>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</si>
  <si>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</si>
  <si>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</si>
  <si>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</si>
  <si>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</si>
  <si>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</si>
  <si>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</si>
  <si>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</si>
  <si>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</si>
  <si>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</si>
  <si>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</si>
  <si>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</si>
  <si>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</si>
  <si>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</si>
  <si>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</si>
  <si>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</si>
  <si>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</si>
  <si>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</si>
  <si>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</si>
  <si>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</si>
  <si>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</si>
  <si>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</si>
  <si>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</si>
  <si>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</si>
  <si>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</si>
  <si>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</si>
  <si>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</si>
  <si>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</si>
  <si>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</si>
  <si>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</si>
  <si>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</si>
  <si>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</si>
  <si>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</si>
  <si>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</si>
  <si>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</si>
  <si>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</si>
  <si>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</si>
  <si>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</si>
  <si>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</si>
  <si>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</si>
  <si>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</si>
  <si>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</si>
  <si>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</si>
  <si>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</si>
  <si>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</si>
  <si>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</si>
  <si>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</si>
  <si>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</si>
  <si>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</si>
  <si>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</si>
  <si>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</si>
  <si>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</si>
  <si>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</si>
  <si>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</si>
  <si>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</si>
  <si>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</si>
  <si>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</si>
  <si>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</si>
  <si>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</si>
  <si>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</si>
  <si>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</si>
  <si>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</si>
  <si>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</si>
  <si>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</si>
  <si>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</si>
  <si>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</si>
  <si>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</si>
  <si>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</si>
  <si>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</si>
  <si>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</si>
  <si>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</si>
  <si>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</si>
  <si>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</si>
  <si>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</si>
  <si>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</si>
  <si>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</si>
  <si>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</si>
  <si>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</si>
  <si>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</si>
  <si>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</si>
  <si>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</si>
  <si>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</si>
  <si>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</si>
  <si>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</si>
  <si>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</si>
  <si>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</si>
  <si>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</si>
  <si>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</si>
  <si>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</si>
  <si>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</si>
  <si>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</si>
  <si>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</si>
  <si>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</si>
  <si>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</si>
  <si>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</si>
  <si>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</si>
  <si>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</si>
  <si>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</si>
  <si>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</si>
  <si>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</si>
  <si>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</si>
  <si>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</si>
  <si>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</si>
  <si>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</si>
  <si>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</si>
  <si>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</si>
  <si>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</si>
  <si>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</si>
  <si>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</si>
  <si>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</si>
  <si>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</si>
  <si>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</si>
  <si>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</si>
  <si>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</si>
  <si>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</si>
  <si>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</si>
  <si>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</si>
  <si>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</si>
  <si>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</si>
  <si>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</si>
  <si>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</si>
  <si>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</si>
  <si>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</si>
  <si>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</si>
  <si>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</si>
  <si>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</si>
  <si>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</si>
  <si>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</si>
  <si>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</si>
  <si>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</si>
  <si>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</si>
  <si>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</si>
  <si>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</si>
  <si>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</si>
  <si>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</si>
  <si>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</si>
  <si>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</si>
  <si>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</si>
  <si>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</si>
  <si>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</si>
  <si>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</si>
  <si>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</si>
  <si>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</si>
  <si>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</si>
  <si>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</si>
  <si>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</si>
  <si>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</si>
  <si>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</si>
  <si>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</si>
  <si>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</si>
  <si>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</si>
  <si>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</si>
  <si>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</si>
  <si>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</si>
  <si>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frmStockEntry v13.2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</si>
  <si>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</si>
  <si>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</si>
  <si>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</si>
  <si>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</si>
  <si>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</si>
  <si>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</si>
  <si>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</si>
  <si>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</si>
  <si>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</si>
  <si>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</si>
  <si>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</si>
  <si>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</si>
  <si>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</si>
  <si>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</si>
  <si>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</si>
  <si>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</si>
  <si>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</si>
  <si>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</si>
  <si>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</si>
  <si>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</si>
  <si>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</si>
  <si>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</si>
  <si>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</si>
  <si>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</si>
  <si>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</si>
  <si>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</si>
  <si>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</si>
  <si>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</si>
  <si>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</si>
  <si>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</si>
  <si>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</si>
  <si>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</si>
  <si>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</si>
  <si>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</si>
  <si>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</si>
  <si>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</si>
  <si>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</si>
  <si>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</si>
  <si>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</si>
  <si>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</si>
  <si>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</si>
  <si>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</si>
  <si>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</si>
  <si>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</si>
  <si>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</si>
  <si>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</si>
  <si>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</si>
  <si>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Fournisseur Externe</t>
  </si>
  <si>
    <t>BS-2026-2604-001</t>
  </si>
  <si>
    <t>DATE</t>
  </si>
  <si>
    <t>Service 1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</si>
  <si>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</si>
  <si>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</si>
  <si>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</si>
  <si>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</si>
  <si>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</si>
  <si>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</si>
  <si>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</si>
  <si>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</si>
  <si>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</si>
  <si>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</si>
  <si>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</si>
  <si>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</si>
  <si>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</si>
  <si>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</si>
  <si>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</si>
  <si>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</si>
  <si>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</si>
  <si>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</si>
  <si>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</si>
  <si>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</si>
  <si>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</si>
  <si>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</si>
  <si>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</si>
  <si>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</si>
  <si>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</si>
  <si>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</si>
  <si>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</si>
  <si>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</si>
  <si>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</si>
  <si>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</si>
  <si>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</si>
  <si>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</si>
  <si>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</si>
  <si>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</si>
  <si>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</si>
  <si>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</si>
  <si>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</si>
  <si>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</si>
  <si>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</si>
  <si>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</si>
  <si>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</si>
  <si>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</si>
  <si>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</si>
  <si>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</si>
  <si>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</si>
  <si>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</si>
  <si>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</si>
  <si>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</si>
  <si>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</si>
  <si>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</si>
  <si>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</si>
  <si>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</si>
  <si>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</si>
  <si>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</si>
  <si>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</si>
  <si>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</si>
  <si>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</si>
  <si>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</si>
  <si>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</si>
  <si>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</si>
  <si>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</si>
  <si>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</si>
  <si>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</si>
  <si>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</si>
  <si>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</si>
  <si>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</si>
  <si>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</si>
  <si>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</si>
  <si>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</si>
  <si>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</si>
  <si>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</si>
  <si>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</si>
  <si>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</si>
  <si>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</si>
  <si>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</si>
  <si>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</si>
  <si>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</si>
  <si>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</si>
  <si>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</si>
  <si>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</si>
  <si>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</si>
  <si>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</si>
  <si>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</si>
  <si>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</si>
  <si>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</si>
  <si>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</si>
  <si>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</si>
  <si>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</si>
  <si>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</si>
  <si>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</si>
  <si>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</si>
  <si>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</si>
  <si>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</si>
  <si>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</si>
  <si>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</si>
  <si>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</si>
  <si>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</si>
  <si>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</si>
  <si>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</si>
  <si>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</si>
  <si>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</si>
  <si>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</si>
  <si>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</si>
  <si>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</si>
  <si>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</si>
  <si>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</si>
  <si>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</si>
  <si>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</si>
  <si>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</si>
  <si>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</si>
  <si>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</si>
  <si>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</si>
  <si>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</si>
  <si>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</si>
  <si>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</si>
  <si>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</si>
  <si>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</si>
  <si>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</si>
  <si>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</si>
  <si>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</si>
  <si>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</si>
  <si>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</si>
  <si>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</si>
  <si>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</si>
  <si>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Service 2</t>
  </si>
  <si>
    <t>DA-2026-2604-001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</si>
</sst>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5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1F6B2E"/>
      <name val="Calibri"/>
      <charset val="1"/>
    </font>
    <font>
      <i/>
      <sz val="9"/>
      <color rgb="FF000000"/>
      <name val="FreeSans"/>
      <family val="2"/>
      <charset val="1"/>
    </font>
    <font>
      <b/>
      <sz val="11"/>
      <color rgb="FF7B3F00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FFFBF0"/>
        <bgColor rgb="FFFFFEF0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293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48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35" fillId="29" borderId="1" xfId="0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49" fillId="4" borderId="1" xfId="0" applyFont="1" applyFill="1" applyBorder="1" applyAlignment="1">
      <alignment horizontal="left" vertical="center"/>
    </xf>
    <xf numFmtId="14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50" fillId="10" borderId="1" xfId="0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49" fillId="10" borderId="1" xfId="0" applyFont="1" applyFill="1" applyBorder="1" applyAlignment="1">
      <alignment horizontal="left" vertical="center"/>
    </xf>
    <xf numFmtId="0" fontId="18" fillId="10" borderId="1" xfId="0" applyFont="1" applyFill="1" applyBorder="1" applyAlignment="1">
      <alignment horizontal="left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2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 readingOrder="2"/>
    </xf>
    <xf numFmtId="3" fontId="0" fillId="34" borderId="1" xfId="0" applyNumberFormat="1" applyFill="1" applyBorder="1" applyAlignment="1">
      <alignment horizontal="center" vertical="center" readingOrder="2"/>
    </xf>
    <xf numFmtId="3" fontId="21" fillId="35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6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8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1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1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9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2" borderId="1" xfId="0" applyNumberFormat="1" applyFont="1" applyFill="1" applyBorder="1" applyAlignment="1">
      <alignment horizontal="center" vertical="center"/>
    </xf>
    <xf numFmtId="0" fontId="27" fillId="43" borderId="3" xfId="0" applyFont="1" applyFill="1" applyBorder="1" applyAlignment="1">
      <alignment horizontal="center" vertical="center" readingOrder="2"/>
    </xf>
    <xf numFmtId="0" fontId="27" fillId="44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5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9" fillId="17" borderId="1" xfId="0" applyFont="1" applyFill="1" applyBorder="1" applyAlignment="1">
      <alignment horizontal="left" vertical="center" wrapText="1"/>
    </xf>
    <xf numFmtId="0" fontId="59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62" fillId="0" borderId="0" xfId="0" applyFont="1" applyAlignment="1"/>
    <xf numFmtId="0" fontId="63" fillId="0" borderId="0" xfId="0" applyFont="1" applyAlignment="1"/>
    <xf numFmtId="0" fontId="64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5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5" fillId="14" borderId="2" xfId="0" applyFont="1" applyFill="1" applyBorder="1" applyAlignment="1">
      <alignment horizontal="left" vertical="center" wrapText="1"/>
    </xf>
    <xf numFmtId="0" fontId="17" fillId="46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7" fillId="0" borderId="0" xfId="0" applyFont="1" applyAlignment="1"/>
    <xf numFmtId="0" fontId="0" fillId="0" borderId="0" xfId="0" applyAlignment="1"/>
    <xf numFmtId="3" fontId="0" fillId="10" borderId="30" xfId="0" applyNumberFormat="1" applyFill="1" applyBorder="1" applyAlignment="1">
      <alignment horizontal="center" vertical="center"/>
    </xf>
    <xf numFmtId="3" fontId="0" fillId="0" borderId="0" xfId="0" applyNumberForma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50" borderId="0" xfId="0" applyFill="1" applyAlignment="1"/>
    <xf numFmtId="170" fontId="0" fillId="50" borderId="0" xfId="0" applyNumberFormat="1" applyFill="1" applyAlignment="1"/>
    <xf numFmtId="0" fontId="67" fillId="50" borderId="0" xfId="0" applyFont="1" applyFill="1" applyAlignment="1">
      <alignment horizontal="right"/>
    </xf>
    <xf numFmtId="0" fontId="70" fillId="50" borderId="0" xfId="0" applyFont="1" applyFill="1" applyAlignment="1">
      <alignment horizontal="left"/>
    </xf>
    <xf numFmtId="0" fontId="71" fillId="50" borderId="0" xfId="0" applyFont="1" applyFill="1" applyAlignment="1">
      <alignment horizontal="left"/>
    </xf>
    <xf numFmtId="0" fontId="72" fillId="50" borderId="0" xfId="0" applyFont="1" applyFill="1" applyAlignment="1">
      <alignment horizontal="left"/>
    </xf>
    <xf numFmtId="169" fontId="70" fillId="50" borderId="0" xfId="0" applyNumberFormat="1" applyFont="1" applyFill="1" applyAlignment="1">
      <alignment horizontal="left"/>
    </xf>
    <xf numFmtId="0" fontId="68" fillId="48" borderId="0" xfId="0" applyFont="1" applyFill="1" applyAlignment="1"/>
    <xf numFmtId="0" fontId="68" fillId="48" borderId="0" xfId="0" applyFont="1" applyFill="1" applyAlignment="1">
      <alignment horizontal="center"/>
    </xf>
    <xf numFmtId="0" fontId="0" fillId="50" borderId="2" xfId="0" applyFill="1" applyBorder="1" applyAlignment="1"/>
    <xf numFmtId="0" fontId="73" fillId="50" borderId="0" xfId="0" applyFont="1" applyFill="1" applyAlignment="1"/>
    <xf numFmtId="0" fontId="0" fillId="0" borderId="0" xfId="0" applyFill="1" applyAlignment="1"/>
    <xf numFmtId="0" fontId="67" fillId="0" borderId="0" xfId="0" applyFont="1" applyFill="1" applyAlignment="1"/>
    <xf numFmtId="0" fontId="68" fillId="48" borderId="2" xfId="0" applyFont="1" applyFill="1" applyBorder="1" applyAlignment="1">
      <alignment horizontal="center"/>
    </xf>
    <xf numFmtId="0" fontId="0" fillId="51" borderId="2" xfId="0" applyFill="1" applyBorder="1" applyAlignment="1"/>
    <xf numFmtId="0" fontId="0" fillId="52" borderId="2" xfId="0" applyFill="1" applyBorder="1" applyAlignment="1"/>
    <xf numFmtId="169" fontId="0" fillId="51" borderId="2" xfId="0" applyNumberFormat="1" applyFill="1" applyBorder="1" applyAlignment="1"/>
    <xf numFmtId="169" fontId="0" fillId="52" borderId="2" xfId="0" applyNumberFormat="1" applyFill="1" applyBorder="1" applyAlignment="1"/>
    <xf numFmtId="169" fontId="67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8" fillId="49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4" fillId="53" borderId="0" xfId="0" applyFont="1" applyFill="1" applyAlignment="1">
      <alignment horizontal="center" vertical="center"/>
    </xf>
    <xf numFmtId="0" fontId="67" fillId="54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4" fillId="14" borderId="0" xfId="0" applyFont="1" applyFill="1" applyAlignment="1">
      <alignment horizontal="center" vertical="center"/>
    </xf>
    <xf numFmtId="0" fontId="17" fillId="39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51" fillId="36" borderId="0" xfId="0" applyFont="1" applyFill="1" applyAlignment="1">
      <alignment horizontal="center" vertical="center"/>
    </xf>
    <xf numFmtId="0" fontId="53" fillId="40" borderId="4" xfId="0" applyFont="1" applyFill="1" applyBorder="1" applyAlignment="1">
      <alignment horizontal="center" vertical="center" readingOrder="2"/>
    </xf>
    <xf numFmtId="0" fontId="54" fillId="15" borderId="4" xfId="0" applyFont="1" applyFill="1" applyBorder="1" applyAlignment="1">
      <alignment horizontal="center" vertical="center" readingOrder="2"/>
    </xf>
    <xf numFmtId="0" fontId="4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7" fillId="36" borderId="4" xfId="0" applyFont="1" applyFill="1" applyBorder="1" applyAlignment="1">
      <alignment horizontal="center" vertical="center"/>
    </xf>
    <xf numFmtId="0" fontId="55" fillId="4" borderId="4" xfId="0" applyFont="1" applyFill="1" applyBorder="1" applyAlignment="1">
      <alignment horizontal="center" vertical="center" readingOrder="2"/>
    </xf>
    <xf numFmtId="0" fontId="17" fillId="38" borderId="4" xfId="0" applyFont="1" applyFill="1" applyBorder="1" applyAlignment="1">
      <alignment horizontal="center" vertical="center"/>
    </xf>
    <xf numFmtId="0" fontId="52" fillId="8" borderId="4" xfId="0" applyFont="1" applyFill="1" applyBorder="1" applyAlignment="1">
      <alignment horizontal="center" vertical="center" readingOrder="2"/>
    </xf>
    <xf numFmtId="0" fontId="26" fillId="38" borderId="0" xfId="0" applyFont="1" applyFill="1" applyAlignment="1">
      <alignment horizontal="center" vertical="center"/>
    </xf>
    <xf numFmtId="0" fontId="58" fillId="0" borderId="7" xfId="0" applyFont="1" applyBorder="1" applyAlignment="1">
      <alignment horizontal="left" vertical="center" wrapText="1"/>
    </xf>
    <xf numFmtId="0" fontId="38" fillId="2" borderId="6" xfId="0" applyFont="1" applyFill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left" vertical="center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9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56" fillId="17" borderId="7" xfId="0" applyFont="1" applyFill="1" applyBorder="1" applyAlignment="1">
      <alignment horizontal="left" vertical="center"/>
    </xf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0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0" fillId="18" borderId="2" xfId="0" applyFont="1" applyFill="1" applyBorder="1" applyAlignment="1">
      <alignment horizontal="right" vertical="center"/>
    </xf>
    <xf numFmtId="0" fontId="61" fillId="15" borderId="2" xfId="0" applyFont="1" applyFill="1" applyBorder="1" applyAlignment="1">
      <alignment horizontal="right" vertical="center"/>
    </xf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7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51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6" fillId="47" borderId="0" xfId="0" applyFont="1" applyFill="1" applyAlignment="1">
      <alignment horizontal="center" vertical="center"/>
    </xf>
    <xf numFmtId="0" fontId="46" fillId="46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9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206" t="s">
        <v>0</v>
      </c>
      <c r="B1" s="205"/>
      <c r="C1" s="205"/>
    </row>
    <row r="2" spans="1:3" ht="15" customHeight="1">
      <c r="A2" s="208" t="s">
        <v>1</v>
      </c>
      <c r="B2" s="205"/>
      <c r="C2" s="205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204" t="s">
        <v>14</v>
      </c>
      <c r="B11" s="205"/>
      <c r="C11" s="205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3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9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207" t="s">
        <v>23</v>
      </c>
      <c r="B17" s="205"/>
      <c r="C17" s="205"/>
    </row>
    <row r="18" spans="1:3" ht="18" customHeight="1">
      <c r="A18" s="15" t="s">
        <v>24</v>
      </c>
      <c r="B18" s="202" t="s">
        <v>25</v>
      </c>
      <c r="C18" s="203"/>
    </row>
    <row r="19" spans="1:3" ht="18" customHeight="1">
      <c r="A19" s="15" t="s">
        <v>26</v>
      </c>
      <c r="B19" s="202" t="s">
        <v>27</v>
      </c>
      <c r="C19" s="203"/>
    </row>
    <row r="20" spans="1:3" ht="18" customHeight="1">
      <c r="A20" s="15" t="s">
        <v>28</v>
      </c>
      <c r="B20" s="202" t="s">
        <v>29</v>
      </c>
      <c r="C20" s="203"/>
    </row>
    <row r="21" spans="1:3" ht="18" customHeight="1">
      <c r="A21" s="15" t="s">
        <v>30</v>
      </c>
      <c r="B21" s="202" t="s">
        <v>31</v>
      </c>
      <c r="C21" s="203"/>
    </row>
    <row r="22" spans="1:3" ht="18" customHeight="1">
      <c r="A22" s="16" t="s">
        <v>32</v>
      </c>
      <c r="B22" s="200" t="s">
        <v>33</v>
      </c>
      <c r="C22" s="201"/>
    </row>
    <row r="23" spans="1:3" ht="18" customHeight="1">
      <c r="A23" s="16" t="s">
        <v>34</v>
      </c>
      <c r="B23" s="200" t="s">
        <v>35</v>
      </c>
      <c r="C23" s="201"/>
    </row>
    <row r="24" spans="1:3" ht="18" customHeight="1">
      <c r="A24" s="16" t="s">
        <v>36</v>
      </c>
      <c r="B24" s="200" t="s">
        <v>37</v>
      </c>
      <c r="C24" s="201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209" t="s">
        <v>46</v>
      </c>
      <c r="B1" s="205"/>
      <c r="C1" s="205"/>
      <c r="D1" s="205"/>
      <c r="E1" s="205"/>
      <c r="F1" s="205"/>
      <c r="G1" s="210"/>
      <c r="H1" s="210"/>
      <c r="I1" s="205"/>
      <c r="J1" s="205"/>
      <c r="K1" s="205"/>
      <c r="L1" s="205"/>
      <c r="M1" s="205"/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5">
        <v>3000</v>
      </c>
    </row>
    <row r="4" spans="1:1">
      <c r="A4" s="25">
        <v>600</v>
      </c>
    </row>
    <row r="5" spans="1:1">
      <c r="A5" s="27">
        <v>150</v>
      </c>
    </row>
    <row r="6" spans="1:1">
      <c r="A6" s="27">
        <v>800</v>
      </c>
    </row>
    <row r="7" spans="1:1">
      <c r="A7" s="27">
        <v>30</v>
      </c>
    </row>
    <row r="8" spans="1:1">
      <c r="A8" s="27">
        <v>300</v>
      </c>
    </row>
    <row r="9" spans="1:1">
      <c r="A9" s="27">
        <v>200</v>
      </c>
    </row>
    <row r="10" spans="1:1">
      <c r="A10" s="27">
        <v>50</v>
      </c>
    </row>
    <row r="11" spans="1:1">
      <c r="A11" s="27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211" t="s">
        <v>74</v>
      </c>
      <c r="B1" s="205"/>
      <c r="C1" s="205"/>
      <c r="D1" s="205"/>
      <c r="E1" s="205"/>
      <c r="F1" s="205"/>
      <c r="G1" s="205"/>
      <c r="H1" s="205"/>
      <c r="I1" s="205"/>
    </row>
    <row r="2" spans="1:9" ht="19.5" customHeight="1">
      <c r="A2" s="28" t="s">
        <v>75</v>
      </c>
      <c r="B2" s="28" t="s">
        <v>76</v>
      </c>
      <c r="C2" s="28" t="s">
        <v>77</v>
      </c>
      <c r="D2" s="28" t="s">
        <v>78</v>
      </c>
      <c r="E2" s="28" t="s">
        <v>79</v>
      </c>
      <c r="F2" s="28" t="s">
        <v>80</v>
      </c>
      <c r="G2" s="28" t="s">
        <v>81</v>
      </c>
      <c r="H2" s="28" t="s">
        <v>82</v>
      </c>
      <c r="I2" s="28" t="s">
        <v>83</v>
      </c>
    </row>
    <row r="3" spans="1:9" ht="15" customHeight="1">
      <c r="A3" s="29" t="s">
        <v>84</v>
      </c>
      <c r="B3" s="30" t="s">
        <v>55</v>
      </c>
      <c r="C3" s="30" t="s">
        <v>85</v>
      </c>
      <c r="D3" s="30" t="s">
        <v>86</v>
      </c>
      <c r="E3" s="30" t="s">
        <v>87</v>
      </c>
      <c r="F3" s="29" t="s">
        <v>54</v>
      </c>
      <c r="G3" s="29">
        <v>8</v>
      </c>
      <c r="H3" s="29">
        <v>95</v>
      </c>
      <c r="I3" s="30" t="s">
        <v>88</v>
      </c>
    </row>
    <row r="4" spans="1:9" ht="15" customHeight="1">
      <c r="A4" s="31" t="s">
        <v>89</v>
      </c>
      <c r="B4" s="32" t="s">
        <v>58</v>
      </c>
      <c r="C4" s="32" t="s">
        <v>90</v>
      </c>
      <c r="D4" s="32" t="s">
        <v>91</v>
      </c>
      <c r="E4" s="32" t="s">
        <v>92</v>
      </c>
      <c r="F4" s="31" t="s">
        <v>54</v>
      </c>
      <c r="G4" s="31">
        <v>5</v>
      </c>
      <c r="H4" s="31">
        <v>90</v>
      </c>
      <c r="I4" s="32" t="s">
        <v>93</v>
      </c>
    </row>
    <row r="5" spans="1:9" ht="15" customHeight="1">
      <c r="A5" s="29" t="s">
        <v>94</v>
      </c>
      <c r="B5" s="30" t="s">
        <v>61</v>
      </c>
      <c r="C5" s="30" t="s">
        <v>95</v>
      </c>
      <c r="D5" s="30" t="s">
        <v>96</v>
      </c>
      <c r="E5" s="30" t="s">
        <v>97</v>
      </c>
      <c r="F5" s="29" t="s">
        <v>57</v>
      </c>
      <c r="G5" s="29">
        <v>7</v>
      </c>
      <c r="H5" s="29">
        <v>80</v>
      </c>
      <c r="I5" s="30" t="s">
        <v>98</v>
      </c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215" t="s">
        <v>99</v>
      </c>
      <c r="B1" s="216"/>
      <c r="C1" s="216"/>
      <c r="D1" s="216"/>
      <c r="E1" s="217"/>
    </row>
    <row r="2" spans="1:5" ht="27.75" customHeight="1">
      <c r="A2" s="223" t="s">
        <v>100</v>
      </c>
      <c r="B2" s="213"/>
      <c r="C2" s="213"/>
      <c r="D2" s="213"/>
      <c r="E2" s="201"/>
    </row>
    <row r="3" spans="1:5" ht="24" customHeight="1">
      <c r="A3" s="218" t="s">
        <v>101</v>
      </c>
      <c r="B3" s="219"/>
      <c r="C3" s="219"/>
      <c r="D3" s="219"/>
      <c r="E3" s="220"/>
    </row>
    <row r="4" spans="1:5" ht="19.5" customHeight="1">
      <c r="A4" s="225" t="s">
        <v>102</v>
      </c>
      <c r="B4" s="226"/>
      <c r="C4" s="226"/>
      <c r="D4" s="226"/>
      <c r="E4" s="226"/>
    </row>
    <row r="5" spans="1:5" ht="25.5" customHeight="1">
      <c r="A5" s="33" t="s">
        <v>103</v>
      </c>
      <c r="B5" s="34" t="s">
        <v>104</v>
      </c>
      <c r="C5" s="35" t="s">
        <v>105</v>
      </c>
      <c r="D5" s="36" t="s">
        <v>106</v>
      </c>
      <c r="E5" s="37" t="s">
        <v>107</v>
      </c>
    </row>
    <row r="6" spans="1:5" ht="25.5" customHeight="1">
      <c r="A6" s="38" t="s">
        <v>108</v>
      </c>
      <c r="B6" s="39" t="s">
        <v>109</v>
      </c>
      <c r="C6" s="40" t="s">
        <v>110</v>
      </c>
      <c r="D6" s="36" t="s">
        <v>106</v>
      </c>
      <c r="E6" s="41" t="s">
        <v>111</v>
      </c>
    </row>
    <row r="7" spans="1:5" ht="25.5" customHeight="1">
      <c r="A7" s="33" t="s">
        <v>112</v>
      </c>
      <c r="B7" s="34" t="s">
        <v>113</v>
      </c>
      <c r="C7" s="35" t="s">
        <v>114</v>
      </c>
      <c r="D7" s="36" t="s">
        <v>106</v>
      </c>
      <c r="E7" s="37" t="s">
        <v>115</v>
      </c>
    </row>
    <row r="8" spans="1:5" ht="25.5" customHeight="1">
      <c r="A8" s="38" t="s">
        <v>116</v>
      </c>
      <c r="B8" s="39" t="s">
        <v>117</v>
      </c>
      <c r="C8" s="40" t="s">
        <v>118</v>
      </c>
      <c r="D8" s="36" t="s">
        <v>106</v>
      </c>
      <c r="E8" s="41" t="s">
        <v>119</v>
      </c>
    </row>
    <row r="9" spans="1:5" ht="25.5" customHeight="1">
      <c r="A9" s="33" t="s">
        <v>120</v>
      </c>
      <c r="B9" s="34" t="s">
        <v>121</v>
      </c>
      <c r="C9" s="35" t="s">
        <v>122</v>
      </c>
      <c r="D9" s="36" t="s">
        <v>106</v>
      </c>
      <c r="E9" s="37" t="s">
        <v>123</v>
      </c>
    </row>
    <row r="11" spans="1:5" ht="24" customHeight="1">
      <c r="A11" s="218" t="s">
        <v>124</v>
      </c>
      <c r="B11" s="219"/>
      <c r="C11" s="219"/>
      <c r="D11" s="219"/>
      <c r="E11" s="220"/>
    </row>
    <row r="12" spans="1:5" ht="25.5" customHeight="1">
      <c r="A12" s="38" t="s">
        <v>125</v>
      </c>
      <c r="B12" s="39" t="s">
        <v>126</v>
      </c>
      <c r="C12" s="40" t="s">
        <v>52</v>
      </c>
      <c r="D12" s="36" t="s">
        <v>106</v>
      </c>
      <c r="E12" s="41" t="s">
        <v>127</v>
      </c>
    </row>
    <row r="13" spans="1:5" ht="25.5" customHeight="1">
      <c r="A13" s="33" t="s">
        <v>128</v>
      </c>
      <c r="B13" s="34" t="s">
        <v>129</v>
      </c>
      <c r="C13" s="35" t="s">
        <v>129</v>
      </c>
      <c r="D13" s="36" t="s">
        <v>106</v>
      </c>
      <c r="E13" s="37" t="s">
        <v>130</v>
      </c>
    </row>
    <row r="15" spans="1:5" ht="24" customHeight="1">
      <c r="A15" s="218" t="s">
        <v>131</v>
      </c>
      <c r="B15" s="219"/>
      <c r="C15" s="219"/>
      <c r="D15" s="219"/>
      <c r="E15" s="220"/>
    </row>
    <row r="16" spans="1:5" ht="21.75" customHeight="1">
      <c r="A16" s="42" t="s">
        <v>132</v>
      </c>
      <c r="B16" s="43" t="s">
        <v>133</v>
      </c>
      <c r="C16" s="44" t="s">
        <v>134</v>
      </c>
      <c r="D16" s="45" t="s">
        <v>135</v>
      </c>
      <c r="E16" s="37" t="s">
        <v>136</v>
      </c>
    </row>
    <row r="17" spans="1:8" ht="21.75" customHeight="1">
      <c r="A17" s="46" t="s">
        <v>137</v>
      </c>
      <c r="B17" s="47" t="s">
        <v>138</v>
      </c>
      <c r="C17" s="48" t="s">
        <v>139</v>
      </c>
      <c r="D17" s="49" t="s">
        <v>140</v>
      </c>
      <c r="E17" s="41" t="s">
        <v>141</v>
      </c>
    </row>
    <row r="18" spans="1:8" ht="21.75" customHeight="1">
      <c r="A18" s="42" t="s">
        <v>142</v>
      </c>
      <c r="B18" s="43" t="s">
        <v>143</v>
      </c>
      <c r="C18" s="44" t="s">
        <v>144</v>
      </c>
      <c r="D18" s="45" t="s">
        <v>145</v>
      </c>
      <c r="E18" s="37" t="s">
        <v>146</v>
      </c>
    </row>
    <row r="19" spans="1:8" ht="21.75" customHeight="1">
      <c r="A19" s="46" t="s">
        <v>147</v>
      </c>
      <c r="B19" s="47" t="s">
        <v>148</v>
      </c>
      <c r="C19" s="48" t="s">
        <v>149</v>
      </c>
      <c r="D19" s="49" t="s">
        <v>150</v>
      </c>
      <c r="E19" s="41" t="s">
        <v>151</v>
      </c>
    </row>
    <row r="20" spans="1:8" ht="21.75" customHeight="1">
      <c r="A20" s="42" t="s">
        <v>152</v>
      </c>
      <c r="B20" s="43" t="s">
        <v>153</v>
      </c>
      <c r="C20" s="44" t="s">
        <v>154</v>
      </c>
      <c r="D20" s="45" t="s">
        <v>155</v>
      </c>
      <c r="E20" s="37" t="s">
        <v>156</v>
      </c>
    </row>
    <row r="21" spans="1:8" ht="21.75" customHeight="1">
      <c r="A21" s="46" t="s">
        <v>157</v>
      </c>
      <c r="B21" s="47" t="s">
        <v>158</v>
      </c>
      <c r="C21" s="48" t="s">
        <v>159</v>
      </c>
      <c r="D21" s="49" t="s">
        <v>160</v>
      </c>
      <c r="E21" s="41" t="s">
        <v>161</v>
      </c>
    </row>
    <row r="23" spans="1:8" ht="24" customHeight="1">
      <c r="A23" s="218" t="s">
        <v>162</v>
      </c>
      <c r="B23" s="219"/>
      <c r="C23" s="219"/>
      <c r="D23" s="219"/>
      <c r="E23" s="220"/>
    </row>
    <row r="24" spans="1:8" ht="27.75" customHeight="1">
      <c r="A24" s="33" t="s">
        <v>163</v>
      </c>
      <c r="B24" s="221" t="s">
        <v>164</v>
      </c>
      <c r="C24" s="201"/>
      <c r="D24" s="214" t="s">
        <v>165</v>
      </c>
      <c r="E24" s="201"/>
    </row>
    <row r="25" spans="1:8" ht="27.75" customHeight="1">
      <c r="A25" s="38" t="s">
        <v>163</v>
      </c>
      <c r="B25" s="222" t="s">
        <v>166</v>
      </c>
      <c r="C25" s="201"/>
      <c r="D25" s="224" t="s">
        <v>167</v>
      </c>
      <c r="E25" s="201"/>
    </row>
    <row r="26" spans="1:8" ht="27.75" customHeight="1">
      <c r="A26" s="33" t="s">
        <v>163</v>
      </c>
      <c r="B26" s="221" t="s">
        <v>168</v>
      </c>
      <c r="C26" s="201"/>
      <c r="D26" s="214" t="s">
        <v>169</v>
      </c>
      <c r="E26" s="201"/>
    </row>
    <row r="27" spans="1:8" ht="27.75" customHeight="1">
      <c r="A27" s="38" t="s">
        <v>163</v>
      </c>
      <c r="B27" s="222" t="s">
        <v>170</v>
      </c>
      <c r="C27" s="201"/>
      <c r="D27" s="224" t="s">
        <v>171</v>
      </c>
      <c r="E27" s="201"/>
    </row>
    <row r="30" spans="1:8" ht="13.5" customHeight="1">
      <c r="A30" s="212" t="s">
        <v>172</v>
      </c>
      <c r="B30" s="213"/>
      <c r="C30" s="213"/>
      <c r="D30" s="213"/>
      <c r="E30" s="213"/>
      <c r="F30" s="213"/>
      <c r="G30" s="213"/>
      <c r="H30" s="201"/>
    </row>
    <row r="32" spans="1:8" ht="15" customHeight="1">
      <c r="A32" s="50" t="s">
        <v>173</v>
      </c>
    </row>
  </sheetData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41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27" t="s">
        <v>633</v>
      </c>
      <c r="B1" s="228"/>
      <c r="C1" s="228"/>
      <c r="D1" s="228"/>
      <c r="E1" s="228"/>
      <c r="F1" s="228"/>
      <c r="G1" s="228"/>
      <c r="H1" s="228"/>
      <c r="I1" s="228"/>
      <c r="J1" s="228"/>
      <c r="K1" s="205"/>
      <c r="L1" s="205"/>
      <c r="M1" s="205"/>
    </row>
    <row r="2" spans="1:13" ht="48" customHeight="1">
      <c r="A2" s="51" t="s">
        <v>174</v>
      </c>
      <c r="B2" s="52" t="s">
        <v>47</v>
      </c>
      <c r="C2" s="53" t="s">
        <v>175</v>
      </c>
      <c r="D2" s="54" t="s">
        <v>176</v>
      </c>
      <c r="E2" s="55" t="s">
        <v>177</v>
      </c>
      <c r="F2" s="51" t="s">
        <v>178</v>
      </c>
      <c r="G2" s="51" t="s">
        <v>179</v>
      </c>
      <c r="H2" s="56" t="s">
        <v>180</v>
      </c>
      <c r="I2" s="57" t="s">
        <v>181</v>
      </c>
      <c r="J2" s="58" t="s">
        <v>182</v>
      </c>
      <c r="K2" s="59" t="s">
        <v>183</v>
      </c>
      <c r="L2" s="52" t="s">
        <v>184</v>
      </c>
      <c r="M2" s="60" t="s">
        <v>185</v>
      </c>
    </row>
    <row r="3" spans="1:13" ht="15" customHeight="1">
      <c r="A3" s="61">
        <v>46022</v>
      </c>
      <c r="B3" s="26" t="s">
        <v>52</v>
      </c>
      <c r="C3" s="62" t="str">
        <f>IFERROR(VLOOKUP(B3,ARTICLES!$A$2:$G$485,2,0),"—")</f>
        <v>—</v>
      </c>
      <c r="D3" s="63" t="s">
        <v>186</v>
      </c>
      <c r="E3" s="64">
        <v>405</v>
      </c>
      <c r="F3" s="64">
        <f>IFERROR(VLOOKUP(B3,ARTICLES!$A$2:$H$485,8,0),0)</f>
        <v>0</v>
      </c>
      <c r="G3" s="64">
        <f t="shared" ref="G3:G31" si="0">E3*F3</f>
        <v>0</v>
      </c>
      <c r="H3" s="65" t="s">
        <v>187</v>
      </c>
      <c r="I3" s="66">
        <f>IFERROR(VLOOKUP(B3,ARTICLES!$A$2:$H$485,8,0),0)</f>
        <v>0</v>
      </c>
      <c r="J3" s="67">
        <f>SUMPRODUCT(($B$3:$B3=B3)*($D$3:$D3="IN")*$E$3:$E3)-SUMPRODUCT(($B$3:$B3=B3)*($D$3:$D3="OUT")*$E$3:$E3)</f>
        <v>405</v>
      </c>
      <c r="K3" s="67">
        <f>SUMPRODUCT(($B$3:$B3=B3)*($D$3:$D3="IN")*$E$3:$E3*$F$3:$F3)</f>
        <v>0</v>
      </c>
      <c r="L3" s="68">
        <f>IFERROR(K3/MAX(1,SUMPRODUCT(($B$3:$B3=B3)*($D$3:$D3="IN")*$E$3:$E3)),IFERROR(VLOOKUP(B3,ARTICLES!$A$2:$H$485,8,0),0))</f>
        <v>0</v>
      </c>
      <c r="M3" s="69" t="s">
        <v>188</v>
      </c>
    </row>
    <row r="4" spans="1:13" ht="15" customHeight="1">
      <c r="A4" s="70">
        <v>46030</v>
      </c>
      <c r="B4" s="24" t="s">
        <v>52</v>
      </c>
      <c r="C4" s="71" t="str">
        <f>IFERROR(VLOOKUP(B4,ARTICLES!$A$2:$G$485,2,0),"—")</f>
        <v>—</v>
      </c>
      <c r="D4" s="72" t="s">
        <v>189</v>
      </c>
      <c r="E4" s="73">
        <v>75</v>
      </c>
      <c r="F4" s="73">
        <f>IFERROR(VLOOKUP(B4,ARTICLES!$A$2:$H$485,8,0),0)</f>
        <v>0</v>
      </c>
      <c r="G4" s="73">
        <f t="shared" si="0"/>
        <v>0</v>
      </c>
      <c r="H4" s="65" t="s">
        <v>190</v>
      </c>
      <c r="I4" s="66">
        <f>IFERROR(VLOOKUP(B4,ARTICLES!$A$2:$H$485,8,0),0)</f>
        <v>0</v>
      </c>
      <c r="J4" s="67">
        <f>SUMPRODUCT(($B$3:$B4=B4)*($D$3:$D4="IN")*$E$3:$E4)-SUMPRODUCT(($B$3:$B4=B4)*($D$3:$D4="OUT")*$E$3:$E4)</f>
        <v>330</v>
      </c>
      <c r="K4" s="67">
        <f>SUMPRODUCT(($B$3:$B4=B4)*($D$3:$D4="IN")*$E$3:$E4*$F$3:$F4)</f>
        <v>0</v>
      </c>
      <c r="L4" s="68">
        <f>IFERROR(K4/MAX(1,SUMPRODUCT(($B$3:$B4=B4)*($D$3:$D4="IN")*$E$3:$E4)),IFERROR(VLOOKUP(B4,ARTICLES!$A$2:$H$485,8,0),0))</f>
        <v>0</v>
      </c>
      <c r="M4" s="74" t="s">
        <v>191</v>
      </c>
    </row>
    <row r="5" spans="1:13" ht="15" customHeight="1">
      <c r="A5" s="70">
        <v>46037</v>
      </c>
      <c r="B5" s="24" t="s">
        <v>52</v>
      </c>
      <c r="C5" s="71" t="str">
        <f>IFERROR(VLOOKUP(B5,ARTICLES!$A$2:$G$485,2,0),"—")</f>
        <v>—</v>
      </c>
      <c r="D5" s="72" t="s">
        <v>189</v>
      </c>
      <c r="E5" s="73">
        <v>55</v>
      </c>
      <c r="F5" s="73">
        <f>IFERROR(VLOOKUP(B5,ARTICLES!$A$2:$H$485,8,0),0)</f>
        <v>0</v>
      </c>
      <c r="G5" s="73">
        <f t="shared" si="0"/>
        <v>0</v>
      </c>
      <c r="H5" s="65" t="s">
        <v>192</v>
      </c>
      <c r="I5" s="66">
        <f>IFERROR(VLOOKUP(B5,ARTICLES!$A$2:$H$485,8,0),0)</f>
        <v>0</v>
      </c>
      <c r="J5" s="67">
        <f>SUMPRODUCT(($B$3:$B5=B5)*($D$3:$D5="IN")*$E$3:$E5)-SUMPRODUCT(($B$3:$B5=B5)*($D$3:$D5="OUT")*$E$3:$E5)</f>
        <v>275</v>
      </c>
      <c r="K5" s="67">
        <f>SUMPRODUCT(($B$3:$B5=B5)*($D$3:$D5="IN")*$E$3:$E5*$F$3:$F5)</f>
        <v>0</v>
      </c>
      <c r="L5" s="68">
        <f>IFERROR(K5/MAX(1,SUMPRODUCT(($B$3:$B5=B5)*($D$3:$D5="IN")*$E$3:$E5)),IFERROR(VLOOKUP(B5,ARTICLES!$A$2:$H$485,8,0),0))</f>
        <v>0</v>
      </c>
      <c r="M5" s="74" t="s">
        <v>193</v>
      </c>
    </row>
    <row r="6" spans="1:13" ht="15" customHeight="1">
      <c r="A6" s="70">
        <v>46050</v>
      </c>
      <c r="B6" s="24" t="s">
        <v>52</v>
      </c>
      <c r="C6" s="71" t="str">
        <f>IFERROR(VLOOKUP(B6,ARTICLES!$A$2:$G$485,2,0),"—")</f>
        <v>—</v>
      </c>
      <c r="D6" s="72" t="s">
        <v>189</v>
      </c>
      <c r="E6" s="73">
        <v>40</v>
      </c>
      <c r="F6" s="73">
        <f>IFERROR(VLOOKUP(B6,ARTICLES!$A$2:$H$485,8,0),0)</f>
        <v>0</v>
      </c>
      <c r="G6" s="73">
        <f t="shared" si="0"/>
        <v>0</v>
      </c>
      <c r="H6" s="65" t="s">
        <v>194</v>
      </c>
      <c r="I6" s="66">
        <f>IFERROR(VLOOKUP(B6,ARTICLES!$A$2:$H$485,8,0),0)</f>
        <v>0</v>
      </c>
      <c r="J6" s="67">
        <f>SUMPRODUCT(($B$3:$B6=B6)*($D$3:$D6="IN")*$E$3:$E6)-SUMPRODUCT(($B$3:$B6=B6)*($D$3:$D6="OUT")*$E$3:$E6)</f>
        <v>235</v>
      </c>
      <c r="K6" s="67">
        <f>SUMPRODUCT(($B$3:$B6=B6)*($D$3:$D6="IN")*$E$3:$E6*$F$3:$F6)</f>
        <v>0</v>
      </c>
      <c r="L6" s="68">
        <f>IFERROR(K6/MAX(1,SUMPRODUCT(($B$3:$B6=B6)*($D$3:$D6="IN")*$E$3:$E6)),IFERROR(VLOOKUP(B6,ARTICLES!$A$2:$H$485,8,0),0))</f>
        <v>0</v>
      </c>
      <c r="M6" s="74" t="s">
        <v>195</v>
      </c>
    </row>
    <row r="7" spans="1:13" ht="15" customHeight="1">
      <c r="A7" s="61">
        <v>46054</v>
      </c>
      <c r="B7" s="26" t="s">
        <v>56</v>
      </c>
      <c r="C7" s="62" t="str">
        <f>IFERROR(VLOOKUP(B7,ARTICLES!$A$2:$G$485,2,0),"—")</f>
        <v>—</v>
      </c>
      <c r="D7" s="63" t="s">
        <v>186</v>
      </c>
      <c r="E7" s="64">
        <v>5</v>
      </c>
      <c r="F7" s="64">
        <f>IFERROR(VLOOKUP(B7,ARTICLES!$A$2:$H$485,8,0),0)</f>
        <v>0</v>
      </c>
      <c r="G7" s="64">
        <f t="shared" si="0"/>
        <v>0</v>
      </c>
      <c r="H7" s="65" t="s">
        <v>196</v>
      </c>
      <c r="I7" s="66">
        <f>IFERROR(VLOOKUP(B7,ARTICLES!$A$2:$H$485,8,0),0)</f>
        <v>0</v>
      </c>
      <c r="J7" s="67">
        <f>SUMPRODUCT(($B$3:$B7=B7)*($D$3:$D7="IN")*$E$3:$E7)-SUMPRODUCT(($B$3:$B7=B7)*($D$3:$D7="OUT")*$E$3:$E7)</f>
        <v>5</v>
      </c>
      <c r="K7" s="67">
        <f>SUMPRODUCT(($B$3:$B7=B7)*($D$3:$D7="IN")*$E$3:$E7*$F$3:$F7)</f>
        <v>0</v>
      </c>
      <c r="L7" s="68">
        <f>IFERROR(K7/MAX(1,SUMPRODUCT(($B$3:$B7=B7)*($D$3:$D7="IN")*$E$3:$E7)),IFERROR(VLOOKUP(B7,ARTICLES!$A$2:$H$485,8,0),0))</f>
        <v>0</v>
      </c>
      <c r="M7" s="69" t="s">
        <v>197</v>
      </c>
    </row>
    <row r="8" spans="1:13" ht="15" customHeight="1">
      <c r="A8" s="61">
        <v>46054</v>
      </c>
      <c r="B8" s="26" t="s">
        <v>59</v>
      </c>
      <c r="C8" s="62" t="str">
        <f>IFERROR(VLOOKUP(B8,ARTICLES!$A$2:$G$485,2,0),"—")</f>
        <v>—</v>
      </c>
      <c r="D8" s="63" t="s">
        <v>186</v>
      </c>
      <c r="E8" s="64">
        <v>100</v>
      </c>
      <c r="F8" s="64">
        <f>IFERROR(VLOOKUP(B8,ARTICLES!$A$2:$H$485,8,0),0)</f>
        <v>0</v>
      </c>
      <c r="G8" s="64">
        <f t="shared" si="0"/>
        <v>0</v>
      </c>
      <c r="H8" s="65" t="s">
        <v>196</v>
      </c>
      <c r="I8" s="66">
        <f>IFERROR(VLOOKUP(B8,ARTICLES!$A$2:$H$485,8,0),0)</f>
        <v>0</v>
      </c>
      <c r="J8" s="67">
        <f>SUMPRODUCT(($B$3:$B8=B8)*($D$3:$D8="IN")*$E$3:$E8)-SUMPRODUCT(($B$3:$B8=B8)*($D$3:$D8="OUT")*$E$3:$E8)</f>
        <v>100</v>
      </c>
      <c r="K8" s="67">
        <f>SUMPRODUCT(($B$3:$B8=B8)*($D$3:$D8="IN")*$E$3:$E8*$F$3:$F8)</f>
        <v>0</v>
      </c>
      <c r="L8" s="68">
        <f>IFERROR(K8/MAX(1,SUMPRODUCT(($B$3:$B8=B8)*($D$3:$D8="IN")*$E$3:$E8)),IFERROR(VLOOKUP(B8,ARTICLES!$A$2:$H$485,8,0),0))</f>
        <v>0</v>
      </c>
      <c r="M8" s="69" t="s">
        <v>198</v>
      </c>
    </row>
    <row r="9" spans="1:13" ht="15" customHeight="1">
      <c r="A9" s="61">
        <v>46054</v>
      </c>
      <c r="B9" s="26" t="s">
        <v>60</v>
      </c>
      <c r="C9" s="62" t="str">
        <f>IFERROR(VLOOKUP(B9,ARTICLES!$A$2:$G$485,2,0),"—")</f>
        <v>—</v>
      </c>
      <c r="D9" s="63" t="s">
        <v>186</v>
      </c>
      <c r="E9" s="64">
        <v>240</v>
      </c>
      <c r="F9" s="64">
        <f>IFERROR(VLOOKUP(B9,ARTICLES!$A$2:$H$485,8,0),0)</f>
        <v>0</v>
      </c>
      <c r="G9" s="64">
        <f t="shared" si="0"/>
        <v>0</v>
      </c>
      <c r="H9" s="65" t="s">
        <v>199</v>
      </c>
      <c r="I9" s="66">
        <f>IFERROR(VLOOKUP(B9,ARTICLES!$A$2:$H$485,8,0),0)</f>
        <v>0</v>
      </c>
      <c r="J9" s="67">
        <f>SUMPRODUCT(($B$3:$B9=B9)*($D$3:$D9="IN")*$E$3:$E9)-SUMPRODUCT(($B$3:$B9=B9)*($D$3:$D9="OUT")*$E$3:$E9)</f>
        <v>240</v>
      </c>
      <c r="K9" s="67">
        <f>SUMPRODUCT(($B$3:$B9=B9)*($D$3:$D9="IN")*$E$3:$E9*$F$3:$F9)</f>
        <v>0</v>
      </c>
      <c r="L9" s="68">
        <f>IFERROR(K9/MAX(1,SUMPRODUCT(($B$3:$B9=B9)*($D$3:$D9="IN")*$E$3:$E9)),IFERROR(VLOOKUP(B9,ARTICLES!$A$2:$H$485,8,0),0))</f>
        <v>0</v>
      </c>
      <c r="M9" s="69" t="s">
        <v>200</v>
      </c>
    </row>
    <row r="10" spans="1:13" ht="15" customHeight="1">
      <c r="A10" s="61">
        <v>46054</v>
      </c>
      <c r="B10" s="26" t="s">
        <v>62</v>
      </c>
      <c r="C10" s="62" t="str">
        <f>IFERROR(VLOOKUP(B10,ARTICLES!$A$2:$G$485,2,0),"—")</f>
        <v>—</v>
      </c>
      <c r="D10" s="63" t="s">
        <v>186</v>
      </c>
      <c r="E10" s="64">
        <v>4</v>
      </c>
      <c r="F10" s="64">
        <f>IFERROR(VLOOKUP(B10,ARTICLES!$A$2:$H$485,8,0),0)</f>
        <v>0</v>
      </c>
      <c r="G10" s="64">
        <f t="shared" si="0"/>
        <v>0</v>
      </c>
      <c r="H10" s="65" t="s">
        <v>199</v>
      </c>
      <c r="I10" s="66">
        <f>IFERROR(VLOOKUP(B10,ARTICLES!$A$2:$H$485,8,0),0)</f>
        <v>0</v>
      </c>
      <c r="J10" s="67">
        <f>SUMPRODUCT(($B$3:$B10=B10)*($D$3:$D10="IN")*$E$3:$E10)-SUMPRODUCT(($B$3:$B10=B10)*($D$3:$D10="OUT")*$E$3:$E10)</f>
        <v>4</v>
      </c>
      <c r="K10" s="67">
        <f>SUMPRODUCT(($B$3:$B10=B10)*($D$3:$D10="IN")*$E$3:$E10*$F$3:$F10)</f>
        <v>0</v>
      </c>
      <c r="L10" s="68">
        <f>IFERROR(K10/MAX(1,SUMPRODUCT(($B$3:$B10=B10)*($D$3:$D10="IN")*$E$3:$E10)),IFERROR(VLOOKUP(B10,ARTICLES!$A$2:$H$485,8,0),0))</f>
        <v>0</v>
      </c>
      <c r="M10" s="69" t="s">
        <v>200</v>
      </c>
    </row>
    <row r="11" spans="1:13" ht="15" customHeight="1">
      <c r="A11" s="61">
        <v>46054</v>
      </c>
      <c r="B11" s="26" t="s">
        <v>64</v>
      </c>
      <c r="C11" s="62" t="str">
        <f>IFERROR(VLOOKUP(B11,ARTICLES!$A$2:$G$485,2,0),"—")</f>
        <v>—</v>
      </c>
      <c r="D11" s="63" t="s">
        <v>186</v>
      </c>
      <c r="E11" s="64">
        <v>50</v>
      </c>
      <c r="F11" s="64">
        <f>IFERROR(VLOOKUP(B11,ARTICLES!$A$2:$H$485,8,0),0)</f>
        <v>0</v>
      </c>
      <c r="G11" s="64">
        <f t="shared" si="0"/>
        <v>0</v>
      </c>
      <c r="H11" s="65" t="s">
        <v>199</v>
      </c>
      <c r="I11" s="66">
        <f>IFERROR(VLOOKUP(B11,ARTICLES!$A$2:$H$485,8,0),0)</f>
        <v>0</v>
      </c>
      <c r="J11" s="67">
        <f>SUMPRODUCT(($B$3:$B11=B11)*($D$3:$D11="IN")*$E$3:$E11)-SUMPRODUCT(($B$3:$B11=B11)*($D$3:$D11="OUT")*$E$3:$E11)</f>
        <v>50</v>
      </c>
      <c r="K11" s="67">
        <f>SUMPRODUCT(($B$3:$B11=B11)*($D$3:$D11="IN")*$E$3:$E11*$F$3:$F11)</f>
        <v>0</v>
      </c>
      <c r="L11" s="68">
        <f>IFERROR(K11/MAX(1,SUMPRODUCT(($B$3:$B11=B11)*($D$3:$D11="IN")*$E$3:$E11)),IFERROR(VLOOKUP(B11,ARTICLES!$A$2:$H$485,8,0),0))</f>
        <v>0</v>
      </c>
      <c r="M11" s="69" t="s">
        <v>200</v>
      </c>
    </row>
    <row r="12" spans="1:13" ht="15" customHeight="1">
      <c r="A12" s="61">
        <v>46054</v>
      </c>
      <c r="B12" s="26" t="s">
        <v>66</v>
      </c>
      <c r="C12" s="62" t="str">
        <f>IFERROR(VLOOKUP(B12,ARTICLES!$A$2:$G$485,2,0),"—")</f>
        <v>—</v>
      </c>
      <c r="D12" s="63" t="s">
        <v>186</v>
      </c>
      <c r="E12" s="64">
        <v>3</v>
      </c>
      <c r="F12" s="64">
        <f>IFERROR(VLOOKUP(B12,ARTICLES!$A$2:$H$485,8,0),0)</f>
        <v>0</v>
      </c>
      <c r="G12" s="64">
        <f t="shared" si="0"/>
        <v>0</v>
      </c>
      <c r="H12" s="65" t="s">
        <v>199</v>
      </c>
      <c r="I12" s="66">
        <f>IFERROR(VLOOKUP(B12,ARTICLES!$A$2:$H$485,8,0),0)</f>
        <v>0</v>
      </c>
      <c r="J12" s="67">
        <f>SUMPRODUCT(($B$3:$B12=B12)*($D$3:$D12="IN")*$E$3:$E12)-SUMPRODUCT(($B$3:$B12=B12)*($D$3:$D12="OUT")*$E$3:$E12)</f>
        <v>3</v>
      </c>
      <c r="K12" s="67">
        <f>SUMPRODUCT(($B$3:$B12=B12)*($D$3:$D12="IN")*$E$3:$E12*$F$3:$F12)</f>
        <v>0</v>
      </c>
      <c r="L12" s="68">
        <f>IFERROR(K12/MAX(1,SUMPRODUCT(($B$3:$B12=B12)*($D$3:$D12="IN")*$E$3:$E12)),IFERROR(VLOOKUP(B12,ARTICLES!$A$2:$H$485,8,0),0))</f>
        <v>0</v>
      </c>
      <c r="M12" s="69" t="s">
        <v>200</v>
      </c>
    </row>
    <row r="13" spans="1:13" ht="15" customHeight="1">
      <c r="A13" s="61">
        <v>46054</v>
      </c>
      <c r="B13" s="26" t="s">
        <v>68</v>
      </c>
      <c r="C13" s="62" t="str">
        <f>IFERROR(VLOOKUP(B13,ARTICLES!$A$2:$G$485,2,0),"—")</f>
        <v>—</v>
      </c>
      <c r="D13" s="63" t="s">
        <v>186</v>
      </c>
      <c r="E13" s="64">
        <v>5</v>
      </c>
      <c r="F13" s="64">
        <f>IFERROR(VLOOKUP(B13,ARTICLES!$A$2:$H$485,8,0),0)</f>
        <v>0</v>
      </c>
      <c r="G13" s="64">
        <f t="shared" si="0"/>
        <v>0</v>
      </c>
      <c r="H13" s="65" t="s">
        <v>199</v>
      </c>
      <c r="I13" s="66">
        <f>IFERROR(VLOOKUP(B13,ARTICLES!$A$2:$H$485,8,0),0)</f>
        <v>0</v>
      </c>
      <c r="J13" s="67">
        <f>SUMPRODUCT(($B$3:$B13=B13)*($D$3:$D13="IN")*$E$3:$E13)-SUMPRODUCT(($B$3:$B13=B13)*($D$3:$D13="OUT")*$E$3:$E13)</f>
        <v>5</v>
      </c>
      <c r="K13" s="67">
        <f>SUMPRODUCT(($B$3:$B13=B13)*($D$3:$D13="IN")*$E$3:$E13*$F$3:$F13)</f>
        <v>0</v>
      </c>
      <c r="L13" s="68">
        <f>IFERROR(K13/MAX(1,SUMPRODUCT(($B$3:$B13=B13)*($D$3:$D13="IN")*$E$3:$E13)),IFERROR(VLOOKUP(B13,ARTICLES!$A$2:$H$485,8,0),0))</f>
        <v>0</v>
      </c>
      <c r="M13" s="69" t="s">
        <v>200</v>
      </c>
    </row>
    <row r="14" spans="1:13" ht="15" customHeight="1">
      <c r="A14" s="61">
        <v>46054</v>
      </c>
      <c r="B14" s="26" t="s">
        <v>69</v>
      </c>
      <c r="C14" s="62" t="str">
        <f>IFERROR(VLOOKUP(B14,ARTICLES!$A$2:$G$485,2,0),"—")</f>
        <v>—</v>
      </c>
      <c r="D14" s="63" t="s">
        <v>186</v>
      </c>
      <c r="E14" s="64">
        <v>48</v>
      </c>
      <c r="F14" s="64">
        <f>IFERROR(VLOOKUP(B14,ARTICLES!$A$2:$H$485,8,0),0)</f>
        <v>0</v>
      </c>
      <c r="G14" s="64">
        <f t="shared" si="0"/>
        <v>0</v>
      </c>
      <c r="H14" s="65" t="s">
        <v>199</v>
      </c>
      <c r="I14" s="66">
        <f>IFERROR(VLOOKUP(B14,ARTICLES!$A$2:$H$485,8,0),0)</f>
        <v>0</v>
      </c>
      <c r="J14" s="67">
        <f>SUMPRODUCT(($B$3:$B14=B14)*($D$3:$D14="IN")*$E$3:$E14)-SUMPRODUCT(($B$3:$B14=B14)*($D$3:$D14="OUT")*$E$3:$E14)</f>
        <v>48</v>
      </c>
      <c r="K14" s="67">
        <f>SUMPRODUCT(($B$3:$B14=B14)*($D$3:$D14="IN")*$E$3:$E14*$F$3:$F14)</f>
        <v>0</v>
      </c>
      <c r="L14" s="68">
        <f>IFERROR(K14/MAX(1,SUMPRODUCT(($B$3:$B14=B14)*($D$3:$D14="IN")*$E$3:$E14)),IFERROR(VLOOKUP(B14,ARTICLES!$A$2:$H$485,8,0),0))</f>
        <v>0</v>
      </c>
      <c r="M14" s="69" t="s">
        <v>200</v>
      </c>
    </row>
    <row r="15" spans="1:13" ht="15" customHeight="1">
      <c r="A15" s="61">
        <v>46054</v>
      </c>
      <c r="B15" s="26" t="s">
        <v>70</v>
      </c>
      <c r="C15" s="62" t="str">
        <f>IFERROR(VLOOKUP(B15,ARTICLES!$A$2:$G$485,2,0),"—")</f>
        <v>—</v>
      </c>
      <c r="D15" s="63" t="s">
        <v>186</v>
      </c>
      <c r="E15" s="64">
        <v>24</v>
      </c>
      <c r="F15" s="64">
        <f>IFERROR(VLOOKUP(B15,ARTICLES!$A$2:$H$485,8,0),0)</f>
        <v>0</v>
      </c>
      <c r="G15" s="64">
        <f t="shared" si="0"/>
        <v>0</v>
      </c>
      <c r="H15" s="65" t="s">
        <v>199</v>
      </c>
      <c r="I15" s="66">
        <f>IFERROR(VLOOKUP(B15,ARTICLES!$A$2:$H$485,8,0),0)</f>
        <v>0</v>
      </c>
      <c r="J15" s="67">
        <f>SUMPRODUCT(($B$3:$B15=B15)*($D$3:$D15="IN")*$E$3:$E15)-SUMPRODUCT(($B$3:$B15=B15)*($D$3:$D15="OUT")*$E$3:$E15)</f>
        <v>24</v>
      </c>
      <c r="K15" s="67">
        <f>SUMPRODUCT(($B$3:$B15=B15)*($D$3:$D15="IN")*$E$3:$E15*$F$3:$F15)</f>
        <v>0</v>
      </c>
      <c r="L15" s="68">
        <f>IFERROR(K15/MAX(1,SUMPRODUCT(($B$3:$B15=B15)*($D$3:$D15="IN")*$E$3:$E15)),IFERROR(VLOOKUP(B15,ARTICLES!$A$2:$H$485,8,0),0))</f>
        <v>0</v>
      </c>
      <c r="M15" s="69" t="s">
        <v>200</v>
      </c>
    </row>
    <row r="16" spans="1:13" ht="15" customHeight="1">
      <c r="A16" s="61">
        <v>46054</v>
      </c>
      <c r="B16" s="26" t="s">
        <v>72</v>
      </c>
      <c r="C16" s="62" t="str">
        <f>IFERROR(VLOOKUP(B16,ARTICLES!$A$2:$G$485,2,0),"—")</f>
        <v>—</v>
      </c>
      <c r="D16" s="63" t="s">
        <v>186</v>
      </c>
      <c r="E16" s="64">
        <v>2</v>
      </c>
      <c r="F16" s="64">
        <f>IFERROR(VLOOKUP(B16,ARTICLES!$A$2:$H$485,8,0),0)</f>
        <v>0</v>
      </c>
      <c r="G16" s="64">
        <f t="shared" si="0"/>
        <v>0</v>
      </c>
      <c r="H16" s="65" t="s">
        <v>199</v>
      </c>
      <c r="I16" s="66">
        <f>IFERROR(VLOOKUP(B16,ARTICLES!$A$2:$H$485,8,0),0)</f>
        <v>0</v>
      </c>
      <c r="J16" s="67">
        <f>SUMPRODUCT(($B$3:$B16=B16)*($D$3:$D16="IN")*$E$3:$E16)-SUMPRODUCT(($B$3:$B16=B16)*($D$3:$D16="OUT")*$E$3:$E16)</f>
        <v>2</v>
      </c>
      <c r="K16" s="67">
        <f>SUMPRODUCT(($B$3:$B16=B16)*($D$3:$D16="IN")*$E$3:$E16*$F$3:$F16)</f>
        <v>0</v>
      </c>
      <c r="L16" s="68">
        <f>IFERROR(K16/MAX(1,SUMPRODUCT(($B$3:$B16=B16)*($D$3:$D16="IN")*$E$3:$E16)),IFERROR(VLOOKUP(B16,ARTICLES!$A$2:$H$485,8,0),0))</f>
        <v>0</v>
      </c>
      <c r="M16" s="69" t="s">
        <v>200</v>
      </c>
    </row>
    <row r="17" spans="1:13" ht="15" customHeight="1">
      <c r="A17" s="61">
        <v>46054</v>
      </c>
      <c r="B17" s="26" t="s">
        <v>73</v>
      </c>
      <c r="C17" s="62" t="str">
        <f>IFERROR(VLOOKUP(B17,ARTICLES!$A$2:$G$485,2,0),"—")</f>
        <v>—</v>
      </c>
      <c r="D17" s="63" t="s">
        <v>186</v>
      </c>
      <c r="E17" s="64">
        <v>16</v>
      </c>
      <c r="F17" s="64">
        <f>IFERROR(VLOOKUP(B17,ARTICLES!$A$2:$H$485,8,0),0)</f>
        <v>0</v>
      </c>
      <c r="G17" s="64">
        <f t="shared" si="0"/>
        <v>0</v>
      </c>
      <c r="H17" s="65" t="s">
        <v>199</v>
      </c>
      <c r="I17" s="66">
        <f>IFERROR(VLOOKUP(B17,ARTICLES!$A$2:$H$485,8,0),0)</f>
        <v>0</v>
      </c>
      <c r="J17" s="67">
        <f>SUMPRODUCT(($B$3:$B17=B17)*($D$3:$D17="IN")*$E$3:$E17)-SUMPRODUCT(($B$3:$B17=B17)*($D$3:$D17="OUT")*$E$3:$E17)</f>
        <v>16</v>
      </c>
      <c r="K17" s="67">
        <f>SUMPRODUCT(($B$3:$B17=B17)*($D$3:$D17="IN")*$E$3:$E17*$F$3:$F17)</f>
        <v>0</v>
      </c>
      <c r="L17" s="68">
        <f>IFERROR(K17/MAX(1,SUMPRODUCT(($B$3:$B17=B17)*($D$3:$D17="IN")*$E$3:$E17)),IFERROR(VLOOKUP(B17,ARTICLES!$A$2:$H$485,8,0),0))</f>
        <v>0</v>
      </c>
      <c r="M17" s="69" t="s">
        <v>200</v>
      </c>
    </row>
    <row r="18" spans="1:13" ht="15" customHeight="1">
      <c r="A18" s="70">
        <v>46058</v>
      </c>
      <c r="B18" s="24" t="s">
        <v>56</v>
      </c>
      <c r="C18" s="71" t="str">
        <f>IFERROR(VLOOKUP(B18,ARTICLES!$A$2:$G$485,2,0),"—")</f>
        <v>—</v>
      </c>
      <c r="D18" s="72" t="s">
        <v>189</v>
      </c>
      <c r="E18" s="73">
        <v>2</v>
      </c>
      <c r="F18" s="73">
        <f>IFERROR(VLOOKUP(B18,ARTICLES!$A$2:$H$485,8,0),0)</f>
        <v>0</v>
      </c>
      <c r="G18" s="73">
        <f t="shared" si="0"/>
        <v>0</v>
      </c>
      <c r="H18" s="65" t="s">
        <v>201</v>
      </c>
      <c r="I18" s="66">
        <f>IFERROR(VLOOKUP(B18,ARTICLES!$A$2:$H$485,8,0),0)</f>
        <v>0</v>
      </c>
      <c r="J18" s="67">
        <f>SUMPRODUCT(($B$3:$B18=B18)*($D$3:$D18="IN")*$E$3:$E18)-SUMPRODUCT(($B$3:$B18=B18)*($D$3:$D18="OUT")*$E$3:$E18)</f>
        <v>3</v>
      </c>
      <c r="K18" s="67">
        <f>SUMPRODUCT(($B$3:$B18=B18)*($D$3:$D18="IN")*$E$3:$E18*$F$3:$F18)</f>
        <v>0</v>
      </c>
      <c r="L18" s="68">
        <f>IFERROR(K18/MAX(1,SUMPRODUCT(($B$3:$B18=B18)*($D$3:$D18="IN")*$E$3:$E18)),IFERROR(VLOOKUP(B18,ARTICLES!$A$2:$H$485,8,0),0))</f>
        <v>0</v>
      </c>
      <c r="M18" s="74" t="s">
        <v>202</v>
      </c>
    </row>
    <row r="19" spans="1:13" ht="15" customHeight="1">
      <c r="A19" s="70">
        <v>46063</v>
      </c>
      <c r="B19" s="24" t="s">
        <v>52</v>
      </c>
      <c r="C19" s="71" t="str">
        <f>IFERROR(VLOOKUP(B19,ARTICLES!$A$2:$G$485,2,0),"—")</f>
        <v>—</v>
      </c>
      <c r="D19" s="72" t="s">
        <v>189</v>
      </c>
      <c r="E19" s="73">
        <v>35</v>
      </c>
      <c r="F19" s="73">
        <f>IFERROR(VLOOKUP(B19,ARTICLES!$A$2:$H$485,8,0),0)</f>
        <v>0</v>
      </c>
      <c r="G19" s="73">
        <f t="shared" si="0"/>
        <v>0</v>
      </c>
      <c r="H19" s="65" t="s">
        <v>203</v>
      </c>
      <c r="I19" s="66">
        <f>IFERROR(VLOOKUP(B19,ARTICLES!$A$2:$H$485,8,0),0)</f>
        <v>0</v>
      </c>
      <c r="J19" s="67">
        <f>SUMPRODUCT(($B$3:$B19=B19)*($D$3:$D19="IN")*$E$3:$E19)-SUMPRODUCT(($B$3:$B19=B19)*($D$3:$D19="OUT")*$E$3:$E19)</f>
        <v>200</v>
      </c>
      <c r="K19" s="67">
        <f>SUMPRODUCT(($B$3:$B19=B19)*($D$3:$D19="IN")*$E$3:$E19*$F$3:$F19)</f>
        <v>0</v>
      </c>
      <c r="L19" s="68">
        <f>IFERROR(K19/MAX(1,SUMPRODUCT(($B$3:$B19=B19)*($D$3:$D19="IN")*$E$3:$E19)),IFERROR(VLOOKUP(B19,ARTICLES!$A$2:$H$485,8,0),0))</f>
        <v>0</v>
      </c>
      <c r="M19" s="74" t="s">
        <v>204</v>
      </c>
    </row>
    <row r="20" spans="1:13" ht="15" customHeight="1">
      <c r="A20" s="70">
        <v>46068</v>
      </c>
      <c r="B20" s="24" t="s">
        <v>59</v>
      </c>
      <c r="C20" s="71" t="str">
        <f>IFERROR(VLOOKUP(B20,ARTICLES!$A$2:$G$485,2,0),"—")</f>
        <v>—</v>
      </c>
      <c r="D20" s="72" t="s">
        <v>189</v>
      </c>
      <c r="E20" s="73">
        <v>60</v>
      </c>
      <c r="F20" s="73">
        <f>IFERROR(VLOOKUP(B20,ARTICLES!$A$2:$H$485,8,0),0)</f>
        <v>0</v>
      </c>
      <c r="G20" s="73">
        <f t="shared" si="0"/>
        <v>0</v>
      </c>
      <c r="H20" s="65" t="s">
        <v>205</v>
      </c>
      <c r="I20" s="66">
        <f>IFERROR(VLOOKUP(B20,ARTICLES!$A$2:$H$485,8,0),0)</f>
        <v>0</v>
      </c>
      <c r="J20" s="67">
        <f>SUMPRODUCT(($B$3:$B20=B20)*($D$3:$D20="IN")*$E$3:$E20)-SUMPRODUCT(($B$3:$B20=B20)*($D$3:$D20="OUT")*$E$3:$E20)</f>
        <v>40</v>
      </c>
      <c r="K20" s="67">
        <f>SUMPRODUCT(($B$3:$B20=B20)*($D$3:$D20="IN")*$E$3:$E20*$F$3:$F20)</f>
        <v>0</v>
      </c>
      <c r="L20" s="68">
        <f>IFERROR(K20/MAX(1,SUMPRODUCT(($B$3:$B20=B20)*($D$3:$D20="IN")*$E$3:$E20)),IFERROR(VLOOKUP(B20,ARTICLES!$A$2:$H$485,8,0),0))</f>
        <v>0</v>
      </c>
      <c r="M20" s="74" t="s">
        <v>206</v>
      </c>
    </row>
    <row r="21" spans="1:13" ht="15" customHeight="1">
      <c r="A21" s="70">
        <v>46068</v>
      </c>
      <c r="B21" s="24" t="s">
        <v>64</v>
      </c>
      <c r="C21" s="71" t="str">
        <f>IFERROR(VLOOKUP(B21,ARTICLES!$A$2:$G$485,2,0),"—")</f>
        <v>—</v>
      </c>
      <c r="D21" s="72" t="s">
        <v>189</v>
      </c>
      <c r="E21" s="73">
        <v>20</v>
      </c>
      <c r="F21" s="73">
        <f>IFERROR(VLOOKUP(B21,ARTICLES!$A$2:$H$485,8,0),0)</f>
        <v>0</v>
      </c>
      <c r="G21" s="73">
        <f t="shared" si="0"/>
        <v>0</v>
      </c>
      <c r="H21" s="65" t="s">
        <v>207</v>
      </c>
      <c r="I21" s="66">
        <f>IFERROR(VLOOKUP(B21,ARTICLES!$A$2:$H$485,8,0),0)</f>
        <v>0</v>
      </c>
      <c r="J21" s="67">
        <f>SUMPRODUCT(($B$3:$B21=B21)*($D$3:$D21="IN")*$E$3:$E21)-SUMPRODUCT(($B$3:$B21=B21)*($D$3:$D21="OUT")*$E$3:$E21)</f>
        <v>30</v>
      </c>
      <c r="K21" s="67">
        <f>SUMPRODUCT(($B$3:$B21=B21)*($D$3:$D21="IN")*$E$3:$E21*$F$3:$F21)</f>
        <v>0</v>
      </c>
      <c r="L21" s="68">
        <f>IFERROR(K21/MAX(1,SUMPRODUCT(($B$3:$B21=B21)*($D$3:$D21="IN")*$E$3:$E21)),IFERROR(VLOOKUP(B21,ARTICLES!$A$2:$H$485,8,0),0))</f>
        <v>0</v>
      </c>
      <c r="M21" s="74" t="s">
        <v>208</v>
      </c>
    </row>
    <row r="22" spans="1:13" ht="15" customHeight="1">
      <c r="A22" s="70">
        <v>46073</v>
      </c>
      <c r="B22" s="24" t="s">
        <v>56</v>
      </c>
      <c r="C22" s="71" t="str">
        <f>IFERROR(VLOOKUP(B22,ARTICLES!$A$2:$G$485,2,0),"—")</f>
        <v>—</v>
      </c>
      <c r="D22" s="72" t="s">
        <v>189</v>
      </c>
      <c r="E22" s="73">
        <v>3</v>
      </c>
      <c r="F22" s="73">
        <f>IFERROR(VLOOKUP(B22,ARTICLES!$A$2:$H$485,8,0),0)</f>
        <v>0</v>
      </c>
      <c r="G22" s="73">
        <f t="shared" si="0"/>
        <v>0</v>
      </c>
      <c r="H22" s="65" t="s">
        <v>209</v>
      </c>
      <c r="I22" s="66">
        <f>IFERROR(VLOOKUP(B22,ARTICLES!$A$2:$H$485,8,0),0)</f>
        <v>0</v>
      </c>
      <c r="J22" s="67">
        <f>SUMPRODUCT(($B$3:$B22=B22)*($D$3:$D22="IN")*$E$3:$E22)-SUMPRODUCT(($B$3:$B22=B22)*($D$3:$D22="OUT")*$E$3:$E22)</f>
        <v>0</v>
      </c>
      <c r="K22" s="67">
        <f>SUMPRODUCT(($B$3:$B22=B22)*($D$3:$D22="IN")*$E$3:$E22*$F$3:$F22)</f>
        <v>0</v>
      </c>
      <c r="L22" s="68">
        <f>IFERROR(K22/MAX(1,SUMPRODUCT(($B$3:$B22=B22)*($D$3:$D22="IN")*$E$3:$E22)),IFERROR(VLOOKUP(B22,ARTICLES!$A$2:$H$485,8,0),0))</f>
        <v>0</v>
      </c>
      <c r="M22" s="75" t="s">
        <v>210</v>
      </c>
    </row>
    <row r="23" spans="1:13" ht="15" customHeight="1">
      <c r="A23" s="70">
        <v>46073</v>
      </c>
      <c r="B23" s="24" t="s">
        <v>60</v>
      </c>
      <c r="C23" s="71" t="str">
        <f>IFERROR(VLOOKUP(B23,ARTICLES!$A$2:$G$485,2,0),"—")</f>
        <v>—</v>
      </c>
      <c r="D23" s="72" t="s">
        <v>189</v>
      </c>
      <c r="E23" s="73">
        <v>50</v>
      </c>
      <c r="F23" s="73">
        <f>IFERROR(VLOOKUP(B23,ARTICLES!$A$2:$H$485,8,0),0)</f>
        <v>0</v>
      </c>
      <c r="G23" s="73">
        <f t="shared" si="0"/>
        <v>0</v>
      </c>
      <c r="H23" s="65" t="s">
        <v>211</v>
      </c>
      <c r="I23" s="66">
        <f>IFERROR(VLOOKUP(B23,ARTICLES!$A$2:$H$485,8,0),0)</f>
        <v>0</v>
      </c>
      <c r="J23" s="67">
        <f>SUMPRODUCT(($B$3:$B23=B23)*($D$3:$D23="IN")*$E$3:$E23)-SUMPRODUCT(($B$3:$B23=B23)*($D$3:$D23="OUT")*$E$3:$E23)</f>
        <v>190</v>
      </c>
      <c r="K23" s="67">
        <f>SUMPRODUCT(($B$3:$B23=B23)*($D$3:$D23="IN")*$E$3:$E23*$F$3:$F23)</f>
        <v>0</v>
      </c>
      <c r="L23" s="68">
        <f>IFERROR(K23/MAX(1,SUMPRODUCT(($B$3:$B23=B23)*($D$3:$D23="IN")*$E$3:$E23)),IFERROR(VLOOKUP(B23,ARTICLES!$A$2:$H$485,8,0),0))</f>
        <v>0</v>
      </c>
      <c r="M23" s="74" t="s">
        <v>212</v>
      </c>
    </row>
    <row r="24" spans="1:13" ht="15" customHeight="1">
      <c r="A24" s="70">
        <v>46073</v>
      </c>
      <c r="B24" s="24" t="s">
        <v>70</v>
      </c>
      <c r="C24" s="71" t="str">
        <f>IFERROR(VLOOKUP(B24,ARTICLES!$A$2:$G$485,2,0),"—")</f>
        <v>—</v>
      </c>
      <c r="D24" s="72" t="s">
        <v>189</v>
      </c>
      <c r="E24" s="73">
        <v>10</v>
      </c>
      <c r="F24" s="73">
        <f>IFERROR(VLOOKUP(B24,ARTICLES!$A$2:$H$485,8,0),0)</f>
        <v>0</v>
      </c>
      <c r="G24" s="73">
        <f t="shared" si="0"/>
        <v>0</v>
      </c>
      <c r="H24" s="65" t="s">
        <v>213</v>
      </c>
      <c r="I24" s="66">
        <f>IFERROR(VLOOKUP(B24,ARTICLES!$A$2:$H$485,8,0),0)</f>
        <v>0</v>
      </c>
      <c r="J24" s="67">
        <f>SUMPRODUCT(($B$3:$B24=B24)*($D$3:$D24="IN")*$E$3:$E24)-SUMPRODUCT(($B$3:$B24=B24)*($D$3:$D24="OUT")*$E$3:$E24)</f>
        <v>14</v>
      </c>
      <c r="K24" s="67">
        <f>SUMPRODUCT(($B$3:$B24=B24)*($D$3:$D24="IN")*$E$3:$E24*$F$3:$F24)</f>
        <v>0</v>
      </c>
      <c r="L24" s="68">
        <f>IFERROR(K24/MAX(1,SUMPRODUCT(($B$3:$B24=B24)*($D$3:$D24="IN")*$E$3:$E24)),IFERROR(VLOOKUP(B24,ARTICLES!$A$2:$H$485,8,0),0))</f>
        <v>0</v>
      </c>
      <c r="M24" s="74" t="s">
        <v>208</v>
      </c>
    </row>
    <row r="25" spans="1:13" ht="15" customHeight="1">
      <c r="A25" s="70">
        <v>46081</v>
      </c>
      <c r="B25" s="24" t="s">
        <v>52</v>
      </c>
      <c r="C25" s="71" t="str">
        <f>IFERROR(VLOOKUP(B25,ARTICLES!$A$2:$G$485,2,0),"—")</f>
        <v>—</v>
      </c>
      <c r="D25" s="72" t="s">
        <v>189</v>
      </c>
      <c r="E25" s="73">
        <v>20</v>
      </c>
      <c r="F25" s="73">
        <f>IFERROR(VLOOKUP(B25,ARTICLES!$A$2:$H$485,8,0),0)</f>
        <v>0</v>
      </c>
      <c r="G25" s="73">
        <f t="shared" si="0"/>
        <v>0</v>
      </c>
      <c r="H25" s="65" t="s">
        <v>214</v>
      </c>
      <c r="I25" s="66">
        <f>IFERROR(VLOOKUP(B25,ARTICLES!$A$2:$H$485,8,0),0)</f>
        <v>0</v>
      </c>
      <c r="J25" s="67">
        <f>SUMPRODUCT(($B$3:$B25=B25)*($D$3:$D25="IN")*$E$3:$E25)-SUMPRODUCT(($B$3:$B25=B25)*($D$3:$D25="OUT")*$E$3:$E25)</f>
        <v>180</v>
      </c>
      <c r="K25" s="67">
        <f>SUMPRODUCT(($B$3:$B25=B25)*($D$3:$D25="IN")*$E$3:$E25*$F$3:$F25)</f>
        <v>0</v>
      </c>
      <c r="L25" s="68">
        <f>IFERROR(K25/MAX(1,SUMPRODUCT(($B$3:$B25=B25)*($D$3:$D25="IN")*$E$3:$E25)),IFERROR(VLOOKUP(B25,ARTICLES!$A$2:$H$485,8,0),0))</f>
        <v>0</v>
      </c>
      <c r="M25" s="74" t="s">
        <v>215</v>
      </c>
    </row>
    <row r="26" spans="1:13" ht="15" customHeight="1">
      <c r="A26" s="70">
        <v>46082</v>
      </c>
      <c r="B26" s="24" t="s">
        <v>62</v>
      </c>
      <c r="C26" s="71" t="str">
        <f>IFERROR(VLOOKUP(B26,ARTICLES!$A$2:$G$485,2,0),"—")</f>
        <v>—</v>
      </c>
      <c r="D26" s="72" t="s">
        <v>189</v>
      </c>
      <c r="E26" s="73">
        <v>2</v>
      </c>
      <c r="F26" s="73">
        <f>IFERROR(VLOOKUP(B26,ARTICLES!$A$2:$H$485,8,0),0)</f>
        <v>0</v>
      </c>
      <c r="G26" s="73">
        <f t="shared" si="0"/>
        <v>0</v>
      </c>
      <c r="H26" s="65" t="s">
        <v>216</v>
      </c>
      <c r="I26" s="66">
        <f>IFERROR(VLOOKUP(B26,ARTICLES!$A$2:$H$485,8,0),0)</f>
        <v>0</v>
      </c>
      <c r="J26" s="67">
        <f>SUMPRODUCT(($B$3:$B26=B26)*($D$3:$D26="IN")*$E$3:$E26)-SUMPRODUCT(($B$3:$B26=B26)*($D$3:$D26="OUT")*$E$3:$E26)</f>
        <v>2</v>
      </c>
      <c r="K26" s="67">
        <f>SUMPRODUCT(($B$3:$B26=B26)*($D$3:$D26="IN")*$E$3:$E26*$F$3:$F26)</f>
        <v>0</v>
      </c>
      <c r="L26" s="68">
        <f>IFERROR(K26/MAX(1,SUMPRODUCT(($B$3:$B26=B26)*($D$3:$D26="IN")*$E$3:$E26)),IFERROR(VLOOKUP(B26,ARTICLES!$A$2:$H$485,8,0),0))</f>
        <v>0</v>
      </c>
      <c r="M26" s="74" t="s">
        <v>217</v>
      </c>
    </row>
    <row r="27" spans="1:13" ht="15" customHeight="1">
      <c r="A27" s="70">
        <v>46086</v>
      </c>
      <c r="B27" s="24" t="s">
        <v>59</v>
      </c>
      <c r="C27" s="71" t="str">
        <f>IFERROR(VLOOKUP(B27,ARTICLES!$A$2:$G$485,2,0),"—")</f>
        <v>—</v>
      </c>
      <c r="D27" s="72" t="s">
        <v>189</v>
      </c>
      <c r="E27" s="73">
        <v>38</v>
      </c>
      <c r="F27" s="73">
        <f>IFERROR(VLOOKUP(B27,ARTICLES!$A$2:$H$485,8,0),0)</f>
        <v>0</v>
      </c>
      <c r="G27" s="73">
        <f t="shared" si="0"/>
        <v>0</v>
      </c>
      <c r="H27" s="65" t="s">
        <v>218</v>
      </c>
      <c r="I27" s="66">
        <f>IFERROR(VLOOKUP(B27,ARTICLES!$A$2:$H$485,8,0),0)</f>
        <v>0</v>
      </c>
      <c r="J27" s="67">
        <f>SUMPRODUCT(($B$3:$B27=B27)*($D$3:$D27="IN")*$E$3:$E27)-SUMPRODUCT(($B$3:$B27=B27)*($D$3:$D27="OUT")*$E$3:$E27)</f>
        <v>2</v>
      </c>
      <c r="K27" s="67">
        <f>SUMPRODUCT(($B$3:$B27=B27)*($D$3:$D27="IN")*$E$3:$E27*$F$3:$F27)</f>
        <v>0</v>
      </c>
      <c r="L27" s="68">
        <f>IFERROR(K27/MAX(1,SUMPRODUCT(($B$3:$B27=B27)*($D$3:$D27="IN")*$E$3:$E27)),IFERROR(VLOOKUP(B27,ARTICLES!$A$2:$H$485,8,0),0))</f>
        <v>0</v>
      </c>
      <c r="M27" s="75" t="s">
        <v>219</v>
      </c>
    </row>
    <row r="28" spans="1:13" ht="15" customHeight="1">
      <c r="A28" s="70">
        <v>46086</v>
      </c>
      <c r="B28" s="24" t="s">
        <v>52</v>
      </c>
      <c r="C28" s="71" t="str">
        <f>IFERROR(VLOOKUP(B28,ARTICLES!$A$2:$G$485,2,0),"—")</f>
        <v>—</v>
      </c>
      <c r="D28" s="72" t="s">
        <v>189</v>
      </c>
      <c r="E28" s="73">
        <v>70</v>
      </c>
      <c r="F28" s="73">
        <f>IFERROR(VLOOKUP(B28,ARTICLES!$A$2:$H$485,8,0),0)</f>
        <v>0</v>
      </c>
      <c r="G28" s="73">
        <f t="shared" si="0"/>
        <v>0</v>
      </c>
      <c r="H28" s="65" t="s">
        <v>220</v>
      </c>
      <c r="I28" s="66">
        <f>IFERROR(VLOOKUP(B28,ARTICLES!$A$2:$H$485,8,0),0)</f>
        <v>0</v>
      </c>
      <c r="J28" s="67">
        <f>SUMPRODUCT(($B$3:$B28=B28)*($D$3:$D28="IN")*$E$3:$E28)-SUMPRODUCT(($B$3:$B28=B28)*($D$3:$D28="OUT")*$E$3:$E28)</f>
        <v>110</v>
      </c>
      <c r="K28" s="67">
        <f>SUMPRODUCT(($B$3:$B28=B28)*($D$3:$D28="IN")*$E$3:$E28*$F$3:$F28)</f>
        <v>0</v>
      </c>
      <c r="L28" s="68">
        <f>IFERROR(K28/MAX(1,SUMPRODUCT(($B$3:$B28=B28)*($D$3:$D28="IN")*$E$3:$E28)),IFERROR(VLOOKUP(B28,ARTICLES!$A$2:$H$485,8,0),0))</f>
        <v>0</v>
      </c>
      <c r="M28" s="74" t="s">
        <v>221</v>
      </c>
    </row>
    <row r="29" spans="1:13" ht="15" customHeight="1">
      <c r="A29" s="70">
        <v>46089</v>
      </c>
      <c r="B29" s="24" t="s">
        <v>69</v>
      </c>
      <c r="C29" s="71" t="str">
        <f>IFERROR(VLOOKUP(B29,ARTICLES!$A$2:$G$485,2,0),"—")</f>
        <v>—</v>
      </c>
      <c r="D29" s="72" t="s">
        <v>189</v>
      </c>
      <c r="E29" s="73">
        <v>25</v>
      </c>
      <c r="F29" s="73">
        <f>IFERROR(VLOOKUP(B29,ARTICLES!$A$2:$H$485,8,0),0)</f>
        <v>0</v>
      </c>
      <c r="G29" s="73">
        <f t="shared" si="0"/>
        <v>0</v>
      </c>
      <c r="H29" s="65" t="s">
        <v>222</v>
      </c>
      <c r="I29" s="66">
        <f>IFERROR(VLOOKUP(B29,ARTICLES!$A$2:$H$485,8,0),0)</f>
        <v>0</v>
      </c>
      <c r="J29" s="67">
        <f>SUMPRODUCT(($B$3:$B29=B29)*($D$3:$D29="IN")*$E$3:$E29)-SUMPRODUCT(($B$3:$B29=B29)*($D$3:$D29="OUT")*$E$3:$E29)</f>
        <v>23</v>
      </c>
      <c r="K29" s="67">
        <f>SUMPRODUCT(($B$3:$B29=B29)*($D$3:$D29="IN")*$E$3:$E29*$F$3:$F29)</f>
        <v>0</v>
      </c>
      <c r="L29" s="68">
        <f>IFERROR(K29/MAX(1,SUMPRODUCT(($B$3:$B29=B29)*($D$3:$D29="IN")*$E$3:$E29)),IFERROR(VLOOKUP(B29,ARTICLES!$A$2:$H$485,8,0),0))</f>
        <v>0</v>
      </c>
      <c r="M29" s="74" t="s">
        <v>223</v>
      </c>
    </row>
    <row r="30" spans="1:13" ht="15" customHeight="1">
      <c r="A30" s="70">
        <v>46090</v>
      </c>
      <c r="B30" s="24" t="s">
        <v>52</v>
      </c>
      <c r="C30" s="71" t="str">
        <f>IFERROR(VLOOKUP(B30,ARTICLES!$A$2:$G$485,2,0),"—")</f>
        <v>—</v>
      </c>
      <c r="D30" s="72" t="s">
        <v>189</v>
      </c>
      <c r="E30" s="73">
        <v>10</v>
      </c>
      <c r="F30" s="73">
        <f>IFERROR(VLOOKUP(B30,ARTICLES!$A$2:$H$485,8,0),0)</f>
        <v>0</v>
      </c>
      <c r="G30" s="73">
        <f t="shared" si="0"/>
        <v>0</v>
      </c>
      <c r="H30" s="65" t="s">
        <v>224</v>
      </c>
      <c r="I30" s="66">
        <f>IFERROR(VLOOKUP(B30,ARTICLES!$A$2:$H$485,8,0),0)</f>
        <v>0</v>
      </c>
      <c r="J30" s="67">
        <f>SUMPRODUCT(($B$3:$B30=B30)*($D$3:$D30="IN")*$E$3:$E30)-SUMPRODUCT(($B$3:$B30=B30)*($D$3:$D30="OUT")*$E$3:$E30)</f>
        <v>100</v>
      </c>
      <c r="K30" s="67">
        <f>SUMPRODUCT(($B$3:$B30=B30)*($D$3:$D30="IN")*$E$3:$E30*$F$3:$F30)</f>
        <v>0</v>
      </c>
      <c r="L30" s="68">
        <f>IFERROR(K30/MAX(1,SUMPRODUCT(($B$3:$B30=B30)*($D$3:$D30="IN")*$E$3:$E30)),IFERROR(VLOOKUP(B30,ARTICLES!$A$2:$H$485,8,0),0))</f>
        <v>0</v>
      </c>
      <c r="M30" s="74" t="s">
        <v>225</v>
      </c>
    </row>
    <row r="31" spans="1:13" ht="15" customHeight="1">
      <c r="A31" s="70">
        <v>46090</v>
      </c>
      <c r="B31" s="24" t="s">
        <v>69</v>
      </c>
      <c r="C31" s="71" t="str">
        <f>IFERROR(VLOOKUP(B31,ARTICLES!$A$2:$G$485,2,0),"—")</f>
        <v>—</v>
      </c>
      <c r="D31" s="72" t="s">
        <v>189</v>
      </c>
      <c r="E31" s="73">
        <v>22</v>
      </c>
      <c r="F31" s="73">
        <f>IFERROR(VLOOKUP(B31,ARTICLES!$A$2:$H$485,8,0),0)</f>
        <v>0</v>
      </c>
      <c r="G31" s="73">
        <f t="shared" si="0"/>
        <v>0</v>
      </c>
      <c r="H31" s="65" t="s">
        <v>226</v>
      </c>
      <c r="I31" s="66">
        <f>IFERROR(VLOOKUP(B31,ARTICLES!$A$2:$H$485,8,0),0)</f>
        <v>0</v>
      </c>
      <c r="J31" s="67">
        <f>SUMPRODUCT(($B$3:$B31=B31)*($D$3:$D31="IN")*$E$3:$E31)-SUMPRODUCT(($B$3:$B31=B31)*($D$3:$D31="OUT")*$E$3:$E31)</f>
        <v>1</v>
      </c>
      <c r="K31" s="67">
        <f>SUMPRODUCT(($B$3:$B31=B31)*($D$3:$D31="IN")*$E$3:$E31*$F$3:$F31)</f>
        <v>0</v>
      </c>
      <c r="L31" s="68">
        <f>IFERROR(K31/MAX(1,SUMPRODUCT(($B$3:$B31=B31)*($D$3:$D31="IN")*$E$3:$E31)),IFERROR(VLOOKUP(B31,ARTICLES!$A$2:$H$485,8,0),0))</f>
        <v>0</v>
      </c>
      <c r="M31" s="75" t="s">
        <v>227</v>
      </c>
    </row>
    <row r="32" spans="1:13">
      <c r="A32" s="178">
        <v>46137</v>
      </c>
      <c r="B32" s="175" t="s">
        <v>64</v>
      </c>
      <c r="C32" s="1" t="s">
        <v>65</v>
      </c>
      <c r="D32" s="1" t="s">
        <v>189</v>
      </c>
      <c r="E32" s="176">
        <v>3</v>
      </c>
      <c r="F32" s="1">
        <v>90</v>
      </c>
      <c r="G32" s="177" t="s">
        <v>582</v>
      </c>
      <c r="H32" s="1">
        <v>30</v>
      </c>
      <c r="L32" s="1" t="s">
        <v>583</v>
      </c>
    </row>
    <row r="33" spans="1:12">
      <c r="A33" s="178">
        <v>46137</v>
      </c>
      <c r="B33" s="1" t="s">
        <v>64</v>
      </c>
      <c r="C33" s="1" t="s">
        <v>65</v>
      </c>
      <c r="D33" s="1" t="s">
        <v>189</v>
      </c>
      <c r="E33" s="1">
        <v>3</v>
      </c>
      <c r="F33" s="1">
        <v>90</v>
      </c>
      <c r="G33" s="1" t="s">
        <v>582</v>
      </c>
      <c r="H33" s="1">
        <v>30</v>
      </c>
      <c r="L33" s="1" t="s">
        <v>583</v>
      </c>
    </row>
    <row r="34" spans="1:12">
      <c r="A34" s="178">
        <v>46137</v>
      </c>
      <c r="B34" s="1" t="s">
        <v>64</v>
      </c>
      <c r="C34" s="1" t="s">
        <v>65</v>
      </c>
      <c r="D34" s="1" t="s">
        <v>189</v>
      </c>
      <c r="E34" s="1">
        <v>1</v>
      </c>
      <c r="F34" s="1">
        <v>30</v>
      </c>
      <c r="G34" s="1" t="s">
        <v>582</v>
      </c>
      <c r="H34" s="1">
        <v>30</v>
      </c>
      <c r="L34" s="1" t="s">
        <v>583</v>
      </c>
    </row>
    <row r="35" spans="1:12">
      <c r="A35" s="178">
        <v>46138</v>
      </c>
      <c r="B35" s="1" t="s">
        <v>62</v>
      </c>
      <c r="C35" s="1" t="s">
        <v>63</v>
      </c>
      <c r="D35" s="1" t="s">
        <v>189</v>
      </c>
      <c r="E35" s="1">
        <v>1</v>
      </c>
      <c r="F35" s="1">
        <v>800</v>
      </c>
      <c r="G35" s="1" t="s">
        <v>630</v>
      </c>
      <c r="H35" s="1">
        <v>800</v>
      </c>
      <c r="I35" s="1" t="s">
        <v>631</v>
      </c>
      <c r="L35" s="1" t="s">
        <v>583</v>
      </c>
    </row>
    <row r="36" spans="1:12">
      <c r="A36" s="178">
        <v>46138</v>
      </c>
      <c r="B36" s="1" t="s">
        <v>66</v>
      </c>
      <c r="C36" s="1" t="s">
        <v>67</v>
      </c>
      <c r="D36" s="1" t="s">
        <v>189</v>
      </c>
      <c r="E36" s="1">
        <v>1</v>
      </c>
      <c r="F36" s="1">
        <v>300</v>
      </c>
      <c r="G36" s="1" t="s">
        <v>632</v>
      </c>
      <c r="H36" s="1">
        <v>300</v>
      </c>
      <c r="I36" s="1" t="s">
        <v>631</v>
      </c>
      <c r="L36" s="1" t="s">
        <v>583</v>
      </c>
    </row>
    <row r="37" spans="1:12">
      <c r="A37" s="178">
        <v>46138</v>
      </c>
      <c r="B37" s="1" t="s">
        <v>62</v>
      </c>
      <c r="C37" s="1" t="s">
        <v>63</v>
      </c>
      <c r="D37" s="1" t="s">
        <v>189</v>
      </c>
      <c r="E37" s="1">
        <v>1</v>
      </c>
      <c r="F37" s="1">
        <v>800</v>
      </c>
      <c r="G37" s="1" t="s">
        <v>632</v>
      </c>
      <c r="H37" s="1">
        <v>800</v>
      </c>
      <c r="I37" s="1" t="s">
        <v>631</v>
      </c>
      <c r="L37" s="1" t="s">
        <v>583</v>
      </c>
    </row>
    <row r="38" spans="1:12">
      <c r="A38" s="178">
        <v>46138</v>
      </c>
      <c r="B38" s="1" t="s">
        <v>52</v>
      </c>
      <c r="C38" s="1" t="s">
        <v>53</v>
      </c>
      <c r="D38" s="1" t="s">
        <v>189</v>
      </c>
      <c r="E38" s="1">
        <v>1</v>
      </c>
      <c r="F38" s="1">
        <v>400</v>
      </c>
      <c r="G38" s="1" t="s">
        <v>632</v>
      </c>
      <c r="H38" s="1">
        <v>400</v>
      </c>
      <c r="I38" s="1" t="s">
        <v>634</v>
      </c>
      <c r="L38" s="1" t="s">
        <v>583</v>
      </c>
    </row>
    <row r="39" spans="1:12">
      <c r="A39" s="178">
        <v>46138</v>
      </c>
      <c r="B39" s="1" t="s">
        <v>66</v>
      </c>
      <c r="C39" s="1" t="s">
        <v>67</v>
      </c>
      <c r="D39" s="1" t="s">
        <v>189</v>
      </c>
      <c r="E39" s="1">
        <v>1</v>
      </c>
      <c r="F39" s="1">
        <v>300</v>
      </c>
      <c r="G39" s="1" t="s">
        <v>632</v>
      </c>
      <c r="H39" s="1">
        <v>300</v>
      </c>
      <c r="I39" s="1" t="s">
        <v>634</v>
      </c>
      <c r="L39" s="1" t="s">
        <v>583</v>
      </c>
    </row>
    <row r="40" spans="1:12">
      <c r="A40" s="178">
        <v>46138</v>
      </c>
      <c r="B40" s="1" t="s">
        <v>70</v>
      </c>
      <c r="C40" s="1" t="s">
        <v>71</v>
      </c>
      <c r="D40" s="1" t="s">
        <v>189</v>
      </c>
      <c r="E40" s="1">
        <v>1</v>
      </c>
      <c r="F40" s="1">
        <v>80</v>
      </c>
      <c r="G40" s="1" t="s">
        <v>632</v>
      </c>
      <c r="H40" s="1">
        <v>80</v>
      </c>
      <c r="I40" s="1" t="s">
        <v>759</v>
      </c>
      <c r="L40" s="1" t="s">
        <v>583</v>
      </c>
    </row>
    <row r="41" spans="1:12">
      <c r="A41" s="178">
        <v>46138</v>
      </c>
      <c r="B41" s="1" t="s">
        <v>66</v>
      </c>
      <c r="C41" s="1" t="s">
        <v>67</v>
      </c>
      <c r="D41" s="1" t="s">
        <v>189</v>
      </c>
      <c r="E41" s="1">
        <v>1</v>
      </c>
      <c r="F41" s="1">
        <v>300</v>
      </c>
      <c r="G41" s="1" t="s">
        <v>760</v>
      </c>
      <c r="H41" s="1">
        <v>300</v>
      </c>
      <c r="I41" s="1" t="s">
        <v>631</v>
      </c>
      <c r="L41" s="1" t="s">
        <v>583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211" t="s">
        <v>228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</row>
    <row r="2" spans="1:14" ht="15" customHeight="1">
      <c r="A2" s="230" t="s">
        <v>229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</row>
    <row r="3" spans="1:14" ht="27.75" customHeight="1">
      <c r="A3" s="76" t="s">
        <v>75</v>
      </c>
      <c r="B3" s="76" t="s">
        <v>230</v>
      </c>
      <c r="C3" s="76" t="s">
        <v>231</v>
      </c>
      <c r="D3" s="77" t="s">
        <v>232</v>
      </c>
      <c r="E3" s="78" t="s">
        <v>233</v>
      </c>
      <c r="F3" s="79" t="s">
        <v>234</v>
      </c>
      <c r="G3" s="80" t="s">
        <v>49</v>
      </c>
      <c r="H3" s="80" t="s">
        <v>235</v>
      </c>
      <c r="I3" s="80" t="s">
        <v>236</v>
      </c>
      <c r="J3" s="81" t="s">
        <v>237</v>
      </c>
      <c r="K3" s="82" t="s">
        <v>238</v>
      </c>
      <c r="L3" s="28"/>
      <c r="M3" s="83" t="s">
        <v>239</v>
      </c>
      <c r="N3" s="83" t="s">
        <v>240</v>
      </c>
    </row>
    <row r="4" spans="1:14" ht="15" customHeight="1">
      <c r="A4" s="84" t="s">
        <v>52</v>
      </c>
      <c r="B4" s="85" t="str">
        <f>IFERROR(VLOOKUP(A4,ARTICLES!$A$2:$G$485,2,0),"")</f>
        <v/>
      </c>
      <c r="C4" s="86" t="str">
        <f>IFERROR(VLOOKUP(A4,ARTICLES!$A$2:$E$485,5,0),"")</f>
        <v/>
      </c>
      <c r="D4" s="87">
        <f>SUMIFS(MOUVEMENTS!$E$3:$E$500,MOUVEMENTS!$B$3:$B$500,A4,MOUVEMENTS!$D$3:$D$500,"IN")</f>
        <v>405</v>
      </c>
      <c r="E4" s="88">
        <f>SUMIFS(MOUVEMENTS!$E$3:$E$500,MOUVEMENTS!$B$3:$B$500,A4,MOUVEMENTS!$D$3:$D$500,"OUT")</f>
        <v>306</v>
      </c>
      <c r="F4" s="89">
        <f t="shared" ref="F4:F15" si="0">D4-E4</f>
        <v>99</v>
      </c>
      <c r="G4" s="90">
        <f>IFERROR(VLOOKUP(A4,ARTICLES!$A$2:$F$485,6,0),0)</f>
        <v>0</v>
      </c>
      <c r="H4" s="68" t="str">
        <f>IFERROR(LOOKUP(2,1/(MOUVEMENTS!$B$3:$B$500=A4),MOUVEMENTS!$L$3:$L$500),IFERROR(VLOOKUP(A4,ARTICLES!$A$2:$H$485,8,0),0))</f>
        <v>frmStockEntry v13.2</v>
      </c>
      <c r="I4" s="91" t="e">
        <f t="shared" ref="I4:I15" si="1">F4*H4</f>
        <v>#VALUE!</v>
      </c>
      <c r="J4" s="92">
        <f>IFERROR(G4+(SUMIFS(MOUVEMENTS!$E$3:$E$500,MOUVEMENTS!$B$3:$B$500,A4,MOUVEMENTS!$D$3:$D$500,"OUT")/MAX(1,$N$4))*$N$6,G4)</f>
        <v>16.105263157894736</v>
      </c>
      <c r="K4" s="93" t="str">
        <f t="shared" ref="K4:K15" si="2">IF(F4=0,"!! RUPTURE",IF(F4&lt;=J4,"&gt;&gt; COMMANDER",IF(F4&lt;=J4*1.25,"~ ALERTE","OK")))</f>
        <v>OK</v>
      </c>
      <c r="L4" s="94"/>
      <c r="M4" s="95" t="s">
        <v>241</v>
      </c>
      <c r="N4" s="96">
        <v>38</v>
      </c>
    </row>
    <row r="5" spans="1:14" ht="15" customHeight="1">
      <c r="A5" s="84" t="s">
        <v>56</v>
      </c>
      <c r="B5" s="85" t="str">
        <f>IFERROR(VLOOKUP(A5,ARTICLES!$A$2:$G$485,2,0),"")</f>
        <v/>
      </c>
      <c r="C5" s="86" t="str">
        <f>IFERROR(VLOOKUP(A5,ARTICLES!$A$2:$E$485,5,0),"")</f>
        <v/>
      </c>
      <c r="D5" s="87">
        <f>SUMIFS(MOUVEMENTS!$E$3:$E$500,MOUVEMENTS!$B$3:$B$500,A5,MOUVEMENTS!$D$3:$D$500,"IN")</f>
        <v>5</v>
      </c>
      <c r="E5" s="88">
        <f>SUMIFS(MOUVEMENTS!$E$3:$E$500,MOUVEMENTS!$B$3:$B$500,A5,MOUVEMENTS!$D$3:$D$500,"OUT")</f>
        <v>5</v>
      </c>
      <c r="F5" s="89">
        <f t="shared" si="0"/>
        <v>0</v>
      </c>
      <c r="G5" s="90">
        <f>IFERROR(VLOOKUP(A5,ARTICLES!$A$2:$F$485,6,0),0)</f>
        <v>0</v>
      </c>
      <c r="H5" s="68">
        <f>IFERROR(LOOKUP(2,1/(MOUVEMENTS!$B$3:$B$500=A5),MOUVEMENTS!$L$3:$L$500),IFERROR(VLOOKUP(A5,ARTICLES!$A$2:$H$485,8,0),0))</f>
        <v>0</v>
      </c>
      <c r="I5" s="91">
        <f t="shared" si="1"/>
        <v>0</v>
      </c>
      <c r="J5" s="92">
        <f>IFERROR(G5+(SUMIFS(MOUVEMENTS!$E$3:$E$500,MOUVEMENTS!$B$3:$B$500,A5,MOUVEMENTS!$D$3:$D$500,"OUT")/MAX(1,$N$4))*$N$6,G5)</f>
        <v>0.26315789473684209</v>
      </c>
      <c r="K5" s="93" t="str">
        <f t="shared" si="2"/>
        <v>!! RUPTURE</v>
      </c>
      <c r="L5" s="94"/>
      <c r="M5" s="95" t="s">
        <v>242</v>
      </c>
      <c r="N5" s="96">
        <f>$N$4</f>
        <v>38</v>
      </c>
    </row>
    <row r="6" spans="1:14" ht="15" customHeight="1">
      <c r="A6" s="84" t="s">
        <v>59</v>
      </c>
      <c r="B6" s="85" t="str">
        <f>IFERROR(VLOOKUP(A6,ARTICLES!$A$2:$G$485,2,0),"")</f>
        <v/>
      </c>
      <c r="C6" s="86" t="str">
        <f>IFERROR(VLOOKUP(A6,ARTICLES!$A$2:$E$485,5,0),"")</f>
        <v/>
      </c>
      <c r="D6" s="87">
        <f>SUMIFS(MOUVEMENTS!$E$3:$E$500,MOUVEMENTS!$B$3:$B$500,A6,MOUVEMENTS!$D$3:$D$500,"IN")</f>
        <v>100</v>
      </c>
      <c r="E6" s="88">
        <f>SUMIFS(MOUVEMENTS!$E$3:$E$500,MOUVEMENTS!$B$3:$B$500,A6,MOUVEMENTS!$D$3:$D$500,"OUT")</f>
        <v>98</v>
      </c>
      <c r="F6" s="89">
        <f t="shared" si="0"/>
        <v>2</v>
      </c>
      <c r="G6" s="90">
        <f>IFERROR(VLOOKUP(A6,ARTICLES!$A$2:$F$485,6,0),0)</f>
        <v>0</v>
      </c>
      <c r="H6" s="68">
        <f>IFERROR(LOOKUP(2,1/(MOUVEMENTS!$B$3:$B$500=A6),MOUVEMENTS!$L$3:$L$500),IFERROR(VLOOKUP(A6,ARTICLES!$A$2:$H$485,8,0),0))</f>
        <v>0</v>
      </c>
      <c r="I6" s="91">
        <f t="shared" si="1"/>
        <v>0</v>
      </c>
      <c r="J6" s="92">
        <f>IFERROR(G6+(SUMIFS(MOUVEMENTS!$E$3:$E$500,MOUVEMENTS!$B$3:$B$500,A6,MOUVEMENTS!$D$3:$D$500,"OUT")/MAX(1,$N$4))*$N$6,G6)</f>
        <v>5.1578947368421053</v>
      </c>
      <c r="K6" s="93" t="str">
        <f t="shared" si="2"/>
        <v>&gt;&gt; COMMANDER</v>
      </c>
      <c r="L6" s="94"/>
      <c r="M6" s="95" t="s">
        <v>243</v>
      </c>
      <c r="N6" s="96">
        <v>2</v>
      </c>
    </row>
    <row r="7" spans="1:14" ht="15" customHeight="1">
      <c r="A7" s="84" t="s">
        <v>60</v>
      </c>
      <c r="B7" s="85" t="str">
        <f>IFERROR(VLOOKUP(A7,ARTICLES!$A$2:$G$485,2,0),"")</f>
        <v/>
      </c>
      <c r="C7" s="86" t="str">
        <f>IFERROR(VLOOKUP(A7,ARTICLES!$A$2:$E$485,5,0),"")</f>
        <v/>
      </c>
      <c r="D7" s="87">
        <f>SUMIFS(MOUVEMENTS!$E$3:$E$500,MOUVEMENTS!$B$3:$B$500,A7,MOUVEMENTS!$D$3:$D$500,"IN")</f>
        <v>240</v>
      </c>
      <c r="E7" s="88">
        <f>SUMIFS(MOUVEMENTS!$E$3:$E$500,MOUVEMENTS!$B$3:$B$500,A7,MOUVEMENTS!$D$3:$D$500,"OUT")</f>
        <v>50</v>
      </c>
      <c r="F7" s="89">
        <f t="shared" si="0"/>
        <v>190</v>
      </c>
      <c r="G7" s="90">
        <f>IFERROR(VLOOKUP(A7,ARTICLES!$A$2:$F$485,6,0),0)</f>
        <v>0</v>
      </c>
      <c r="H7" s="68">
        <f>IFERROR(LOOKUP(2,1/(MOUVEMENTS!$B$3:$B$500=A7),MOUVEMENTS!$L$3:$L$500),IFERROR(VLOOKUP(A7,ARTICLES!$A$2:$H$485,8,0),0))</f>
        <v>0</v>
      </c>
      <c r="I7" s="91">
        <f t="shared" si="1"/>
        <v>0</v>
      </c>
      <c r="J7" s="92">
        <f>IFERROR(G7+(SUMIFS(MOUVEMENTS!$E$3:$E$500,MOUVEMENTS!$B$3:$B$500,A7,MOUVEMENTS!$D$3:$D$500,"OUT")/MAX(1,$N$4))*$N$6,G7)</f>
        <v>2.6315789473684212</v>
      </c>
      <c r="K7" s="93" t="str">
        <f t="shared" si="2"/>
        <v>OK</v>
      </c>
      <c r="L7" s="94"/>
      <c r="M7" s="94"/>
      <c r="N7" s="94"/>
    </row>
    <row r="8" spans="1:14" ht="15" customHeight="1">
      <c r="A8" s="84" t="s">
        <v>62</v>
      </c>
      <c r="B8" s="85" t="str">
        <f>IFERROR(VLOOKUP(A8,ARTICLES!$A$2:$G$485,2,0),"")</f>
        <v/>
      </c>
      <c r="C8" s="86" t="str">
        <f>IFERROR(VLOOKUP(A8,ARTICLES!$A$2:$E$485,5,0),"")</f>
        <v/>
      </c>
      <c r="D8" s="87">
        <f>SUMIFS(MOUVEMENTS!$E$3:$E$500,MOUVEMENTS!$B$3:$B$500,A8,MOUVEMENTS!$D$3:$D$500,"IN")</f>
        <v>4</v>
      </c>
      <c r="E8" s="88">
        <f>SUMIFS(MOUVEMENTS!$E$3:$E$500,MOUVEMENTS!$B$3:$B$500,A8,MOUVEMENTS!$D$3:$D$500,"OUT")</f>
        <v>4</v>
      </c>
      <c r="F8" s="89">
        <f t="shared" si="0"/>
        <v>0</v>
      </c>
      <c r="G8" s="90">
        <f>IFERROR(VLOOKUP(A8,ARTICLES!$A$2:$F$485,6,0),0)</f>
        <v>0</v>
      </c>
      <c r="H8" s="68" t="str">
        <f>IFERROR(LOOKUP(2,1/(MOUVEMENTS!$B$3:$B$500=A8),MOUVEMENTS!$L$3:$L$500),IFERROR(VLOOKUP(A8,ARTICLES!$A$2:$H$485,8,0),0))</f>
        <v>frmStockEntry v13.2</v>
      </c>
      <c r="I8" s="91" t="e">
        <f t="shared" si="1"/>
        <v>#VALUE!</v>
      </c>
      <c r="J8" s="92">
        <f>IFERROR(G8+(SUMIFS(MOUVEMENTS!$E$3:$E$500,MOUVEMENTS!$B$3:$B$500,A8,MOUVEMENTS!$D$3:$D$500,"OUT")/MAX(1,$N$4))*$N$6,G8)</f>
        <v>0.21052631578947367</v>
      </c>
      <c r="K8" s="93" t="str">
        <f t="shared" si="2"/>
        <v>!! RUPTURE</v>
      </c>
      <c r="L8" s="94"/>
      <c r="M8" s="94"/>
      <c r="N8" s="94"/>
    </row>
    <row r="9" spans="1:14" ht="15" customHeight="1">
      <c r="A9" s="84" t="s">
        <v>64</v>
      </c>
      <c r="B9" s="85" t="str">
        <f>IFERROR(VLOOKUP(A9,ARTICLES!$A$2:$G$485,2,0),"")</f>
        <v/>
      </c>
      <c r="C9" s="86" t="str">
        <f>IFERROR(VLOOKUP(A9,ARTICLES!$A$2:$E$485,5,0),"")</f>
        <v/>
      </c>
      <c r="D9" s="87">
        <f>SUMIFS(MOUVEMENTS!$E$3:$E$500,MOUVEMENTS!$B$3:$B$500,A9,MOUVEMENTS!$D$3:$D$500,"IN")</f>
        <v>50</v>
      </c>
      <c r="E9" s="88">
        <f>SUMIFS(MOUVEMENTS!$E$3:$E$500,MOUVEMENTS!$B$3:$B$500,A9,MOUVEMENTS!$D$3:$D$500,"OUT")</f>
        <v>27</v>
      </c>
      <c r="F9" s="89">
        <f t="shared" si="0"/>
        <v>23</v>
      </c>
      <c r="G9" s="90">
        <f>IFERROR(VLOOKUP(A9,ARTICLES!$A$2:$F$485,6,0),0)</f>
        <v>0</v>
      </c>
      <c r="H9" s="68" t="str">
        <f>IFERROR(LOOKUP(2,1/(MOUVEMENTS!$B$3:$B$500=A9),MOUVEMENTS!$L$3:$L$500),IFERROR(VLOOKUP(A9,ARTICLES!$A$2:$H$485,8,0),0))</f>
        <v>frmStockEntry v13.2</v>
      </c>
      <c r="I9" s="91" t="e">
        <f t="shared" si="1"/>
        <v>#VALUE!</v>
      </c>
      <c r="J9" s="92">
        <f>IFERROR(G9+(SUMIFS(MOUVEMENTS!$E$3:$E$500,MOUVEMENTS!$B$3:$B$500,A9,MOUVEMENTS!$D$3:$D$500,"OUT")/MAX(1,$N$4))*$N$6,G9)</f>
        <v>1.4210526315789473</v>
      </c>
      <c r="K9" s="93" t="str">
        <f t="shared" si="2"/>
        <v>OK</v>
      </c>
      <c r="L9" s="94"/>
      <c r="M9" s="94"/>
      <c r="N9" s="94"/>
    </row>
    <row r="10" spans="1:14" ht="15" customHeight="1">
      <c r="A10" s="84" t="s">
        <v>66</v>
      </c>
      <c r="B10" s="85" t="str">
        <f>IFERROR(VLOOKUP(A10,ARTICLES!$A$2:$G$485,2,0),"")</f>
        <v/>
      </c>
      <c r="C10" s="86" t="str">
        <f>IFERROR(VLOOKUP(A10,ARTICLES!$A$2:$E$485,5,0),"")</f>
        <v/>
      </c>
      <c r="D10" s="87">
        <f>SUMIFS(MOUVEMENTS!$E$3:$E$500,MOUVEMENTS!$B$3:$B$500,A10,MOUVEMENTS!$D$3:$D$500,"IN")</f>
        <v>3</v>
      </c>
      <c r="E10" s="88">
        <f>SUMIFS(MOUVEMENTS!$E$3:$E$500,MOUVEMENTS!$B$3:$B$500,A10,MOUVEMENTS!$D$3:$D$500,"OUT")</f>
        <v>3</v>
      </c>
      <c r="F10" s="89">
        <f t="shared" si="0"/>
        <v>0</v>
      </c>
      <c r="G10" s="90">
        <f>IFERROR(VLOOKUP(A10,ARTICLES!$A$2:$F$485,6,0),0)</f>
        <v>0</v>
      </c>
      <c r="H10" s="68" t="str">
        <f>IFERROR(LOOKUP(2,1/(MOUVEMENTS!$B$3:$B$500=A10),MOUVEMENTS!$L$3:$L$500),IFERROR(VLOOKUP(A10,ARTICLES!$A$2:$H$485,8,0),0))</f>
        <v>frmStockEntry v13.2</v>
      </c>
      <c r="I10" s="91" t="e">
        <f t="shared" si="1"/>
        <v>#VALUE!</v>
      </c>
      <c r="J10" s="92">
        <f>IFERROR(G10+(SUMIFS(MOUVEMENTS!$E$3:$E$500,MOUVEMENTS!$B$3:$B$500,A10,MOUVEMENTS!$D$3:$D$500,"OUT")/MAX(1,$N$4))*$N$6,G10)</f>
        <v>0.15789473684210525</v>
      </c>
      <c r="K10" s="93" t="str">
        <f t="shared" si="2"/>
        <v>!! RUPTURE</v>
      </c>
      <c r="L10" s="94"/>
      <c r="M10" s="94"/>
      <c r="N10" s="94"/>
    </row>
    <row r="11" spans="1:14" ht="15" customHeight="1">
      <c r="A11" s="84" t="s">
        <v>68</v>
      </c>
      <c r="B11" s="85" t="str">
        <f>IFERROR(VLOOKUP(A11,ARTICLES!$A$2:$G$485,2,0),"")</f>
        <v/>
      </c>
      <c r="C11" s="86" t="str">
        <f>IFERROR(VLOOKUP(A11,ARTICLES!$A$2:$E$485,5,0),"")</f>
        <v/>
      </c>
      <c r="D11" s="87">
        <f>SUMIFS(MOUVEMENTS!$E$3:$E$500,MOUVEMENTS!$B$3:$B$500,A11,MOUVEMENTS!$D$3:$D$500,"IN")</f>
        <v>5</v>
      </c>
      <c r="E11" s="88">
        <f>SUMIFS(MOUVEMENTS!$E$3:$E$500,MOUVEMENTS!$B$3:$B$500,A11,MOUVEMENTS!$D$3:$D$500,"OUT")</f>
        <v>0</v>
      </c>
      <c r="F11" s="89">
        <f t="shared" si="0"/>
        <v>5</v>
      </c>
      <c r="G11" s="90">
        <f>IFERROR(VLOOKUP(A11,ARTICLES!$A$2:$F$485,6,0),0)</f>
        <v>0</v>
      </c>
      <c r="H11" s="68">
        <f>IFERROR(LOOKUP(2,1/(MOUVEMENTS!$B$3:$B$500=A11),MOUVEMENTS!$L$3:$L$500),IFERROR(VLOOKUP(A11,ARTICLES!$A$2:$H$485,8,0),0))</f>
        <v>0</v>
      </c>
      <c r="I11" s="91">
        <f t="shared" si="1"/>
        <v>0</v>
      </c>
      <c r="J11" s="92">
        <f>IFERROR(G11+(SUMIFS(MOUVEMENTS!$E$3:$E$500,MOUVEMENTS!$B$3:$B$500,A11,MOUVEMENTS!$D$3:$D$500,"OUT")/MAX(1,$N$4))*$N$6,G11)</f>
        <v>0</v>
      </c>
      <c r="K11" s="93" t="str">
        <f t="shared" si="2"/>
        <v>OK</v>
      </c>
      <c r="L11" s="94"/>
      <c r="M11" s="94"/>
      <c r="N11" s="94"/>
    </row>
    <row r="12" spans="1:14" ht="15" customHeight="1">
      <c r="A12" s="84" t="s">
        <v>69</v>
      </c>
      <c r="B12" s="85" t="str">
        <f>IFERROR(VLOOKUP(A12,ARTICLES!$A$2:$G$485,2,0),"")</f>
        <v/>
      </c>
      <c r="C12" s="86" t="str">
        <f>IFERROR(VLOOKUP(A12,ARTICLES!$A$2:$E$485,5,0),"")</f>
        <v/>
      </c>
      <c r="D12" s="87">
        <f>SUMIFS(MOUVEMENTS!$E$3:$E$500,MOUVEMENTS!$B$3:$B$500,A12,MOUVEMENTS!$D$3:$D$500,"IN")</f>
        <v>48</v>
      </c>
      <c r="E12" s="88">
        <f>SUMIFS(MOUVEMENTS!$E$3:$E$500,MOUVEMENTS!$B$3:$B$500,A12,MOUVEMENTS!$D$3:$D$500,"OUT")</f>
        <v>47</v>
      </c>
      <c r="F12" s="89">
        <f t="shared" si="0"/>
        <v>1</v>
      </c>
      <c r="G12" s="90">
        <f>IFERROR(VLOOKUP(A12,ARTICLES!$A$2:$F$485,6,0),0)</f>
        <v>0</v>
      </c>
      <c r="H12" s="68">
        <f>IFERROR(LOOKUP(2,1/(MOUVEMENTS!$B$3:$B$500=A12),MOUVEMENTS!$L$3:$L$500),IFERROR(VLOOKUP(A12,ARTICLES!$A$2:$H$485,8,0),0))</f>
        <v>0</v>
      </c>
      <c r="I12" s="91">
        <f t="shared" si="1"/>
        <v>0</v>
      </c>
      <c r="J12" s="92">
        <f>IFERROR(G12+(SUMIFS(MOUVEMENTS!$E$3:$E$500,MOUVEMENTS!$B$3:$B$500,A12,MOUVEMENTS!$D$3:$D$500,"OUT")/MAX(1,$N$4))*$N$6,G12)</f>
        <v>2.4736842105263159</v>
      </c>
      <c r="K12" s="93" t="str">
        <f t="shared" si="2"/>
        <v>&gt;&gt; COMMANDER</v>
      </c>
      <c r="L12" s="94"/>
      <c r="M12" s="94"/>
      <c r="N12" s="94"/>
    </row>
    <row r="13" spans="1:14" ht="15" customHeight="1">
      <c r="A13" s="84" t="s">
        <v>70</v>
      </c>
      <c r="B13" s="85" t="str">
        <f>IFERROR(VLOOKUP(A13,ARTICLES!$A$2:$G$485,2,0),"")</f>
        <v/>
      </c>
      <c r="C13" s="86" t="str">
        <f>IFERROR(VLOOKUP(A13,ARTICLES!$A$2:$E$485,5,0),"")</f>
        <v/>
      </c>
      <c r="D13" s="87">
        <f>SUMIFS(MOUVEMENTS!$E$3:$E$500,MOUVEMENTS!$B$3:$B$500,A13,MOUVEMENTS!$D$3:$D$500,"IN")</f>
        <v>24</v>
      </c>
      <c r="E13" s="88">
        <f>SUMIFS(MOUVEMENTS!$E$3:$E$500,MOUVEMENTS!$B$3:$B$500,A13,MOUVEMENTS!$D$3:$D$500,"OUT")</f>
        <v>11</v>
      </c>
      <c r="F13" s="89">
        <f t="shared" si="0"/>
        <v>13</v>
      </c>
      <c r="G13" s="90">
        <f>IFERROR(VLOOKUP(A13,ARTICLES!$A$2:$F$485,6,0),0)</f>
        <v>0</v>
      </c>
      <c r="H13" s="68" t="str">
        <f>IFERROR(LOOKUP(2,1/(MOUVEMENTS!$B$3:$B$500=A13),MOUVEMENTS!$L$3:$L$500),IFERROR(VLOOKUP(A13,ARTICLES!$A$2:$H$485,8,0),0))</f>
        <v>frmStockEntry v13.2</v>
      </c>
      <c r="I13" s="91" t="e">
        <f t="shared" si="1"/>
        <v>#VALUE!</v>
      </c>
      <c r="J13" s="92">
        <f>IFERROR(G13+(SUMIFS(MOUVEMENTS!$E$3:$E$500,MOUVEMENTS!$B$3:$B$500,A13,MOUVEMENTS!$D$3:$D$500,"OUT")/MAX(1,$N$4))*$N$6,G13)</f>
        <v>0.57894736842105265</v>
      </c>
      <c r="K13" s="93" t="str">
        <f t="shared" si="2"/>
        <v>OK</v>
      </c>
      <c r="L13" s="94"/>
      <c r="M13" s="94"/>
      <c r="N13" s="94"/>
    </row>
    <row r="14" spans="1:14" ht="15" customHeight="1">
      <c r="A14" s="84" t="s">
        <v>72</v>
      </c>
      <c r="B14" s="85" t="str">
        <f>IFERROR(VLOOKUP(A14,ARTICLES!$A$2:$G$485,2,0),"")</f>
        <v/>
      </c>
      <c r="C14" s="86" t="str">
        <f>IFERROR(VLOOKUP(A14,ARTICLES!$A$2:$E$485,5,0),"")</f>
        <v/>
      </c>
      <c r="D14" s="87">
        <f>SUMIFS(MOUVEMENTS!$E$3:$E$500,MOUVEMENTS!$B$3:$B$500,A14,MOUVEMENTS!$D$3:$D$500,"IN")</f>
        <v>2</v>
      </c>
      <c r="E14" s="88">
        <f>SUMIFS(MOUVEMENTS!$E$3:$E$500,MOUVEMENTS!$B$3:$B$500,A14,MOUVEMENTS!$D$3:$D$500,"OUT")</f>
        <v>0</v>
      </c>
      <c r="F14" s="89">
        <f t="shared" si="0"/>
        <v>2</v>
      </c>
      <c r="G14" s="90">
        <f>IFERROR(VLOOKUP(A14,ARTICLES!$A$2:$F$485,6,0),0)</f>
        <v>0</v>
      </c>
      <c r="H14" s="68">
        <f>IFERROR(LOOKUP(2,1/(MOUVEMENTS!$B$3:$B$500=A14),MOUVEMENTS!$L$3:$L$500),IFERROR(VLOOKUP(A14,ARTICLES!$A$2:$H$485,8,0),0))</f>
        <v>0</v>
      </c>
      <c r="I14" s="91">
        <f t="shared" si="1"/>
        <v>0</v>
      </c>
      <c r="J14" s="92">
        <f>IFERROR(G14+(SUMIFS(MOUVEMENTS!$E$3:$E$500,MOUVEMENTS!$B$3:$B$500,A14,MOUVEMENTS!$D$3:$D$500,"OUT")/MAX(1,$N$4))*$N$6,G14)</f>
        <v>0</v>
      </c>
      <c r="K14" s="93" t="str">
        <f t="shared" si="2"/>
        <v>OK</v>
      </c>
      <c r="L14" s="94"/>
      <c r="M14" s="94"/>
      <c r="N14" s="94"/>
    </row>
    <row r="15" spans="1:14" ht="15" customHeight="1">
      <c r="A15" s="84" t="s">
        <v>73</v>
      </c>
      <c r="B15" s="85" t="str">
        <f>IFERROR(VLOOKUP(A15,ARTICLES!$A$2:$G$485,2,0),"")</f>
        <v/>
      </c>
      <c r="C15" s="86" t="str">
        <f>IFERROR(VLOOKUP(A15,ARTICLES!$A$2:$E$485,5,0),"")</f>
        <v/>
      </c>
      <c r="D15" s="87">
        <f>SUMIFS(MOUVEMENTS!$E$3:$E$500,MOUVEMENTS!$B$3:$B$500,A15,MOUVEMENTS!$D$3:$D$500,"IN")</f>
        <v>16</v>
      </c>
      <c r="E15" s="88">
        <f>SUMIFS(MOUVEMENTS!$E$3:$E$500,MOUVEMENTS!$B$3:$B$500,A15,MOUVEMENTS!$D$3:$D$500,"OUT")</f>
        <v>0</v>
      </c>
      <c r="F15" s="89">
        <f t="shared" si="0"/>
        <v>16</v>
      </c>
      <c r="G15" s="90">
        <f>IFERROR(VLOOKUP(A15,ARTICLES!$A$2:$F$485,6,0),0)</f>
        <v>0</v>
      </c>
      <c r="H15" s="68">
        <f>IFERROR(LOOKUP(2,1/(MOUVEMENTS!$B$3:$B$500=A15),MOUVEMENTS!$L$3:$L$500),IFERROR(VLOOKUP(A15,ARTICLES!$A$2:$H$485,8,0),0))</f>
        <v>0</v>
      </c>
      <c r="I15" s="91">
        <f t="shared" si="1"/>
        <v>0</v>
      </c>
      <c r="J15" s="92">
        <f>IFERROR(G15+(SUMIFS(MOUVEMENTS!$E$3:$E$500,MOUVEMENTS!$B$3:$B$500,A15,MOUVEMENTS!$D$3:$D$500,"OUT")/MAX(1,$N$4))*$N$6,G15)</f>
        <v>0</v>
      </c>
      <c r="K15" s="93" t="str">
        <f t="shared" si="2"/>
        <v>OK</v>
      </c>
      <c r="L15" s="94"/>
      <c r="M15" s="94"/>
      <c r="N15" s="94"/>
    </row>
    <row r="17" spans="1:14" ht="15" customHeight="1">
      <c r="A17" s="231" t="s">
        <v>244</v>
      </c>
      <c r="B17" s="232"/>
      <c r="D17" s="97"/>
      <c r="E17" s="97"/>
      <c r="F17" s="92">
        <f>SUM(F4:F16)</f>
        <v>351</v>
      </c>
      <c r="G17" s="97"/>
      <c r="H17" s="97"/>
      <c r="I17" s="98" t="e">
        <f>SUM(I4:I16)</f>
        <v>#VALUE!</v>
      </c>
      <c r="J17" s="97"/>
      <c r="K17" s="97"/>
      <c r="L17" s="97"/>
      <c r="M17" s="97"/>
      <c r="N17" s="97"/>
    </row>
    <row r="19" spans="1:14" ht="15" customHeight="1">
      <c r="A19" s="229" t="s">
        <v>245</v>
      </c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</row>
  </sheetData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39" t="s">
        <v>246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</row>
    <row r="2" spans="1:11" ht="15" customHeight="1">
      <c r="A2" s="243" t="s">
        <v>247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</row>
    <row r="3" spans="1:11" ht="15.75" customHeight="1">
      <c r="A3" s="233" t="s">
        <v>248</v>
      </c>
      <c r="B3" s="205"/>
      <c r="C3" s="205"/>
      <c r="D3" s="205"/>
      <c r="E3" s="205"/>
      <c r="F3" s="205"/>
      <c r="G3" s="205"/>
      <c r="H3" s="205"/>
      <c r="I3" s="205"/>
      <c r="J3" s="205"/>
      <c r="K3" s="205"/>
    </row>
    <row r="4" spans="1:11" ht="13.5" customHeight="1"/>
    <row r="5" spans="1:11" ht="24" customHeight="1">
      <c r="A5" s="242" t="s">
        <v>249</v>
      </c>
      <c r="B5" s="205"/>
      <c r="C5" s="205"/>
      <c r="D5" s="205"/>
      <c r="E5" s="205"/>
      <c r="F5" s="205"/>
      <c r="G5" s="205"/>
      <c r="H5" s="205"/>
      <c r="I5" s="205"/>
      <c r="J5" s="205"/>
      <c r="K5" s="205"/>
    </row>
    <row r="6" spans="1:11" ht="15" customHeight="1">
      <c r="A6" s="245" t="s">
        <v>250</v>
      </c>
      <c r="B6" s="235"/>
      <c r="C6" s="236"/>
      <c r="D6" s="247" t="s">
        <v>251</v>
      </c>
      <c r="E6" s="235"/>
      <c r="F6" s="236"/>
      <c r="G6" s="234" t="s">
        <v>252</v>
      </c>
      <c r="H6" s="235"/>
      <c r="I6" s="236"/>
      <c r="J6" s="237" t="s">
        <v>253</v>
      </c>
      <c r="K6" s="236"/>
    </row>
    <row r="7" spans="1:11" ht="43.5" customHeight="1">
      <c r="A7" s="248">
        <f>COUNTIF('TABLEAU DE BORD'!$K$4:$K$15,"!! RUPTURE")</f>
        <v>3</v>
      </c>
      <c r="B7" s="235"/>
      <c r="C7" s="236"/>
      <c r="D7" s="240">
        <f>COUNTIF('TABLEAU DE BORD'!$K$4:$K$15,"&gt;&gt; COMMANDER")</f>
        <v>9</v>
      </c>
      <c r="E7" s="235"/>
      <c r="F7" s="236"/>
      <c r="G7" s="241">
        <f>COUNTIF('TABLEAU DE BORD'!$K$4:$K$15,"~ ALERTE")</f>
        <v>0</v>
      </c>
      <c r="H7" s="235"/>
      <c r="I7" s="236"/>
      <c r="J7" s="246">
        <f>COUNTIF('TABLEAU DE BORD'!$K$4:$K$15,"OK")</f>
        <v>7</v>
      </c>
      <c r="K7" s="236"/>
    </row>
    <row r="8" spans="1:11" ht="18" customHeight="1">
      <c r="A8" s="238" t="str">
        <f>COUNTIF('TABLEAU DE BORD'!$K$4:$K$15,"!! RUPTURE")&amp;" / 12 articles"</f>
        <v>3 / 12 articles</v>
      </c>
      <c r="B8" s="232"/>
      <c r="C8" s="203"/>
      <c r="D8" s="238" t="str">
        <f>COUNTIF('TABLEAU DE BORD'!$K$4:$K$15,"&gt;&gt; COMMANDER")&amp;" / 12 articles"</f>
        <v>9 / 12 articles</v>
      </c>
      <c r="E8" s="232"/>
      <c r="F8" s="203"/>
      <c r="G8" s="238" t="str">
        <f>COUNTIF('TABLEAU DE BORD'!$K$4:$K$15,"~ ALERTE")&amp;" / 12 articles"</f>
        <v>0 / 12 articles</v>
      </c>
      <c r="H8" s="232"/>
      <c r="I8" s="203"/>
      <c r="J8" s="238" t="str">
        <f>COUNTIF('TABLEAU DE BORD'!$K$4:$K$15,"OK")&amp;" / 12 articles"</f>
        <v>7 / 12 articles</v>
      </c>
      <c r="K8" s="203"/>
    </row>
    <row r="9" spans="1:11" ht="9.75" customHeight="1"/>
    <row r="10" spans="1:11" ht="24" customHeight="1">
      <c r="A10" s="242" t="s">
        <v>254</v>
      </c>
      <c r="B10" s="205"/>
      <c r="C10" s="205"/>
      <c r="D10" s="205"/>
      <c r="E10" s="205"/>
      <c r="F10" s="205"/>
      <c r="G10" s="205"/>
      <c r="H10" s="205"/>
      <c r="I10" s="205"/>
      <c r="J10" s="205"/>
      <c r="K10" s="205"/>
    </row>
    <row r="11" spans="1:11" ht="27.75" customHeight="1">
      <c r="A11" s="99" t="s">
        <v>75</v>
      </c>
      <c r="B11" s="99" t="s">
        <v>230</v>
      </c>
      <c r="C11" s="99" t="s">
        <v>231</v>
      </c>
      <c r="D11" s="99" t="s">
        <v>255</v>
      </c>
      <c r="E11" s="99" t="s">
        <v>49</v>
      </c>
      <c r="F11" s="99" t="s">
        <v>256</v>
      </c>
      <c r="G11" s="99" t="s">
        <v>238</v>
      </c>
      <c r="H11" s="99" t="s">
        <v>235</v>
      </c>
      <c r="I11" s="99" t="s">
        <v>179</v>
      </c>
      <c r="J11" s="99" t="s">
        <v>257</v>
      </c>
      <c r="K11" s="99" t="s">
        <v>258</v>
      </c>
    </row>
    <row r="12" spans="1:11" ht="21.75" customHeight="1">
      <c r="A12" s="84" t="str">
        <f>'TABLEAU DE BORD'!A4</f>
        <v>ART-001</v>
      </c>
      <c r="B12" s="32" t="str">
        <f>'TABLEAU DE BORD'!B4</f>
        <v/>
      </c>
      <c r="C12" s="31" t="str">
        <f>'TABLEAU DE BORD'!C4</f>
        <v/>
      </c>
      <c r="D12" s="100">
        <f>'TABLEAU DE BORD'!F4</f>
        <v>99</v>
      </c>
      <c r="E12" s="101">
        <f>'TABLEAU DE BORD'!G4</f>
        <v>0</v>
      </c>
      <c r="F12" s="101">
        <f>'TABLEAU DE BORD'!J4</f>
        <v>16.105263157894736</v>
      </c>
      <c r="G12" s="84" t="str">
        <f>'TABLEAU DE BORD'!K4</f>
        <v>OK</v>
      </c>
      <c r="H12" s="102" t="str">
        <f>'TABLEAU DE BORD'!H4</f>
        <v>frmStockEntry v13.2</v>
      </c>
      <c r="I12" s="103" t="e">
        <f>'TABLEAU DE BORD'!I4</f>
        <v>#VALUE!</v>
      </c>
      <c r="J12" s="104" t="str">
        <f>IF('TABLEAU DE BORD'!K4="!! RUPTURE","1 — CRITIQUE",IF('TABLEAU DE BORD'!K4="&gt;&gt; COMMANDER","2 — URGENT",IF('TABLEAU DE BORD'!K4="~ ALERTE","3 — ATTENTION","4 — Normal")))</f>
        <v>4 — Normal</v>
      </c>
      <c r="K12" s="105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✔ Aucune action requise</v>
      </c>
    </row>
    <row r="13" spans="1:11" ht="21.75" customHeight="1">
      <c r="A13" s="84" t="str">
        <f>'TABLEAU DE BORD'!A5</f>
        <v>ART-002</v>
      </c>
      <c r="B13" s="106" t="str">
        <f>'TABLEAU DE BORD'!B5</f>
        <v/>
      </c>
      <c r="C13" s="107" t="str">
        <f>'TABLEAU DE BORD'!C5</f>
        <v/>
      </c>
      <c r="D13" s="100">
        <f>'TABLEAU DE BORD'!F5</f>
        <v>0</v>
      </c>
      <c r="E13" s="66">
        <f>'TABLEAU DE BORD'!G5</f>
        <v>0</v>
      </c>
      <c r="F13" s="66">
        <f>'TABLEAU DE BORD'!J5</f>
        <v>0.26315789473684209</v>
      </c>
      <c r="G13" s="84" t="str">
        <f>'TABLEAU DE BORD'!K5</f>
        <v>!! RUPTURE</v>
      </c>
      <c r="H13" s="108">
        <f>'TABLEAU DE BORD'!H5</f>
        <v>0</v>
      </c>
      <c r="I13" s="109">
        <f>'TABLEAU DE BORD'!I5</f>
        <v>0</v>
      </c>
      <c r="J13" s="104" t="str">
        <f>IF('TABLEAU DE BORD'!K5="!! RUPTURE","1 — CRITIQUE",IF('TABLEAU DE BORD'!K5="&gt;&gt; COMMANDER","2 — URGENT",IF('TABLEAU DE BORD'!K5="~ ALERTE","3 — ATTENTION","4 — Normal")))</f>
        <v>1 — CRITIQUE</v>
      </c>
      <c r="K13" s="105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⛔ BLOQUER sorties — Lancer BC immédiatement</v>
      </c>
    </row>
    <row r="14" spans="1:11" ht="21.75" customHeight="1">
      <c r="A14" s="84" t="str">
        <f>'TABLEAU DE BORD'!A6</f>
        <v>ART-003</v>
      </c>
      <c r="B14" s="32" t="str">
        <f>'TABLEAU DE BORD'!B6</f>
        <v/>
      </c>
      <c r="C14" s="31" t="str">
        <f>'TABLEAU DE BORD'!C6</f>
        <v/>
      </c>
      <c r="D14" s="100">
        <f>'TABLEAU DE BORD'!F6</f>
        <v>2</v>
      </c>
      <c r="E14" s="101">
        <f>'TABLEAU DE BORD'!G6</f>
        <v>0</v>
      </c>
      <c r="F14" s="101">
        <f>'TABLEAU DE BORD'!J6</f>
        <v>5.1578947368421053</v>
      </c>
      <c r="G14" s="84" t="str">
        <f>'TABLEAU DE BORD'!K6</f>
        <v>&gt;&gt; COMMANDER</v>
      </c>
      <c r="H14" s="102">
        <f>'TABLEAU DE BORD'!H6</f>
        <v>0</v>
      </c>
      <c r="I14" s="103">
        <f>'TABLEAU DE BORD'!I6</f>
        <v>0</v>
      </c>
      <c r="J14" s="104" t="str">
        <f>IF('TABLEAU DE BORD'!K6="!! RUPTURE","1 — CRITIQUE",IF('TABLEAU DE BORD'!K6="&gt;&gt; COMMANDER","2 — URGENT",IF('TABLEAU DE BORD'!K6="~ ALERTE","3 — ATTENTION","4 — Normal")))</f>
        <v>2 — URGENT</v>
      </c>
      <c r="K14" s="105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84" t="str">
        <f>'TABLEAU DE BORD'!A7</f>
        <v>ART-004</v>
      </c>
      <c r="B15" s="106" t="str">
        <f>'TABLEAU DE BORD'!B7</f>
        <v/>
      </c>
      <c r="C15" s="107" t="str">
        <f>'TABLEAU DE BORD'!C7</f>
        <v/>
      </c>
      <c r="D15" s="100">
        <f>'TABLEAU DE BORD'!F7</f>
        <v>190</v>
      </c>
      <c r="E15" s="66">
        <f>'TABLEAU DE BORD'!G7</f>
        <v>0</v>
      </c>
      <c r="F15" s="66">
        <f>'TABLEAU DE BORD'!J7</f>
        <v>2.6315789473684212</v>
      </c>
      <c r="G15" s="84" t="str">
        <f>'TABLEAU DE BORD'!K7</f>
        <v>OK</v>
      </c>
      <c r="H15" s="108">
        <f>'TABLEAU DE BORD'!H7</f>
        <v>0</v>
      </c>
      <c r="I15" s="109">
        <f>'TABLEAU DE BORD'!I7</f>
        <v>0</v>
      </c>
      <c r="J15" s="104" t="str">
        <f>IF('TABLEAU DE BORD'!K7="!! RUPTURE","1 — CRITIQUE",IF('TABLEAU DE BORD'!K7="&gt;&gt; COMMANDER","2 — URGENT",IF('TABLEAU DE BORD'!K7="~ ALERTE","3 — ATTENTION","4 — Normal")))</f>
        <v>4 — Normal</v>
      </c>
      <c r="K15" s="105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✔ Aucune action requise</v>
      </c>
    </row>
    <row r="16" spans="1:11" ht="21.75" customHeight="1">
      <c r="A16" s="84" t="str">
        <f>'TABLEAU DE BORD'!A8</f>
        <v>ART-005</v>
      </c>
      <c r="B16" s="32" t="str">
        <f>'TABLEAU DE BORD'!B8</f>
        <v/>
      </c>
      <c r="C16" s="31" t="str">
        <f>'TABLEAU DE BORD'!C8</f>
        <v/>
      </c>
      <c r="D16" s="100">
        <f>'TABLEAU DE BORD'!F8</f>
        <v>0</v>
      </c>
      <c r="E16" s="101">
        <f>'TABLEAU DE BORD'!G8</f>
        <v>0</v>
      </c>
      <c r="F16" s="101">
        <f>'TABLEAU DE BORD'!J8</f>
        <v>0.21052631578947367</v>
      </c>
      <c r="G16" s="84" t="str">
        <f>'TABLEAU DE BORD'!K8</f>
        <v>!! RUPTURE</v>
      </c>
      <c r="H16" s="102" t="str">
        <f>'TABLEAU DE BORD'!H8</f>
        <v>frmStockEntry v13.2</v>
      </c>
      <c r="I16" s="103" t="e">
        <f>'TABLEAU DE BORD'!I8</f>
        <v>#VALUE!</v>
      </c>
      <c r="J16" s="104" t="str">
        <f>IF('TABLEAU DE BORD'!K8="!! RUPTURE","1 — CRITIQUE",IF('TABLEAU DE BORD'!K8="&gt;&gt; COMMANDER","2 — URGENT",IF('TABLEAU DE BORD'!K8="~ ALERTE","3 — ATTENTION","4 — Normal")))</f>
        <v>1 — CRITIQUE</v>
      </c>
      <c r="K16" s="105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⛔ BLOQUER sorties — Lancer BC immédiatement</v>
      </c>
    </row>
    <row r="17" spans="1:11" ht="21.75" customHeight="1">
      <c r="A17" s="84" t="str">
        <f>'TABLEAU DE BORD'!A9</f>
        <v>ART-006</v>
      </c>
      <c r="B17" s="106" t="str">
        <f>'TABLEAU DE BORD'!B9</f>
        <v/>
      </c>
      <c r="C17" s="107" t="str">
        <f>'TABLEAU DE BORD'!C9</f>
        <v/>
      </c>
      <c r="D17" s="100">
        <f>'TABLEAU DE BORD'!F9</f>
        <v>23</v>
      </c>
      <c r="E17" s="66">
        <f>'TABLEAU DE BORD'!G9</f>
        <v>0</v>
      </c>
      <c r="F17" s="66">
        <f>'TABLEAU DE BORD'!J9</f>
        <v>1.4210526315789473</v>
      </c>
      <c r="G17" s="84" t="str">
        <f>'TABLEAU DE BORD'!K9</f>
        <v>OK</v>
      </c>
      <c r="H17" s="108" t="str">
        <f>'TABLEAU DE BORD'!H9</f>
        <v>frmStockEntry v13.2</v>
      </c>
      <c r="I17" s="109" t="e">
        <f>'TABLEAU DE BORD'!I9</f>
        <v>#VALUE!</v>
      </c>
      <c r="J17" s="104" t="str">
        <f>IF('TABLEAU DE BORD'!K9="!! RUPTURE","1 — CRITIQUE",IF('TABLEAU DE BORD'!K9="&gt;&gt; COMMANDER","2 — URGENT",IF('TABLEAU DE BORD'!K9="~ ALERTE","3 — ATTENTION","4 — Normal")))</f>
        <v>4 — Normal</v>
      </c>
      <c r="K17" s="105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✔ Aucune action requise</v>
      </c>
    </row>
    <row r="18" spans="1:11" ht="21.75" customHeight="1">
      <c r="A18" s="84" t="str">
        <f>'TABLEAU DE BORD'!A10</f>
        <v>ART-007</v>
      </c>
      <c r="B18" s="32" t="str">
        <f>'TABLEAU DE BORD'!B10</f>
        <v/>
      </c>
      <c r="C18" s="31" t="str">
        <f>'TABLEAU DE BORD'!C10</f>
        <v/>
      </c>
      <c r="D18" s="100">
        <f>'TABLEAU DE BORD'!F10</f>
        <v>0</v>
      </c>
      <c r="E18" s="101">
        <f>'TABLEAU DE BORD'!G10</f>
        <v>0</v>
      </c>
      <c r="F18" s="101">
        <f>'TABLEAU DE BORD'!J10</f>
        <v>0.15789473684210525</v>
      </c>
      <c r="G18" s="84" t="str">
        <f>'TABLEAU DE BORD'!K10</f>
        <v>!! RUPTURE</v>
      </c>
      <c r="H18" s="102" t="str">
        <f>'TABLEAU DE BORD'!H10</f>
        <v>frmStockEntry v13.2</v>
      </c>
      <c r="I18" s="103" t="e">
        <f>'TABLEAU DE BORD'!I10</f>
        <v>#VALUE!</v>
      </c>
      <c r="J18" s="104" t="str">
        <f>IF('TABLEAU DE BORD'!K10="!! RUPTURE","1 — CRITIQUE",IF('TABLEAU DE BORD'!K10="&gt;&gt; COMMANDER","2 — URGENT",IF('TABLEAU DE BORD'!K10="~ ALERTE","3 — ATTENTION","4 — Normal")))</f>
        <v>1 — CRITIQUE</v>
      </c>
      <c r="K18" s="105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⛔ BLOQUER sorties — Lancer BC immédiatement</v>
      </c>
    </row>
    <row r="19" spans="1:11" ht="21.75" customHeight="1">
      <c r="A19" s="84" t="str">
        <f>'TABLEAU DE BORD'!A11</f>
        <v>ART-008</v>
      </c>
      <c r="B19" s="106" t="str">
        <f>'TABLEAU DE BORD'!B11</f>
        <v/>
      </c>
      <c r="C19" s="107" t="str">
        <f>'TABLEAU DE BORD'!C11</f>
        <v/>
      </c>
      <c r="D19" s="100">
        <f>'TABLEAU DE BORD'!F11</f>
        <v>5</v>
      </c>
      <c r="E19" s="66">
        <f>'TABLEAU DE BORD'!G11</f>
        <v>0</v>
      </c>
      <c r="F19" s="66">
        <f>'TABLEAU DE BORD'!J11</f>
        <v>0</v>
      </c>
      <c r="G19" s="84" t="str">
        <f>'TABLEAU DE BORD'!K11</f>
        <v>OK</v>
      </c>
      <c r="H19" s="108">
        <f>'TABLEAU DE BORD'!H11</f>
        <v>0</v>
      </c>
      <c r="I19" s="109">
        <f>'TABLEAU DE BORD'!I11</f>
        <v>0</v>
      </c>
      <c r="J19" s="104" t="str">
        <f>IF('TABLEAU DE BORD'!K11="!! RUPTURE","1 — CRITIQUE",IF('TABLEAU DE BORD'!K11="&gt;&gt; COMMANDER","2 — URGENT",IF('TABLEAU DE BORD'!K11="~ ALERTE","3 — ATTENTION","4 — Normal")))</f>
        <v>4 — Normal</v>
      </c>
      <c r="K19" s="105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✔ Aucune action requise</v>
      </c>
    </row>
    <row r="20" spans="1:11" ht="21.75" customHeight="1">
      <c r="A20" s="84" t="str">
        <f>'TABLEAU DE BORD'!A12</f>
        <v>ART-009</v>
      </c>
      <c r="B20" s="32" t="str">
        <f>'TABLEAU DE BORD'!B12</f>
        <v/>
      </c>
      <c r="C20" s="31" t="str">
        <f>'TABLEAU DE BORD'!C12</f>
        <v/>
      </c>
      <c r="D20" s="100">
        <f>'TABLEAU DE BORD'!F12</f>
        <v>1</v>
      </c>
      <c r="E20" s="101">
        <f>'TABLEAU DE BORD'!G12</f>
        <v>0</v>
      </c>
      <c r="F20" s="101">
        <f>'TABLEAU DE BORD'!J12</f>
        <v>2.4736842105263159</v>
      </c>
      <c r="G20" s="84" t="str">
        <f>'TABLEAU DE BORD'!K12</f>
        <v>&gt;&gt; COMMANDER</v>
      </c>
      <c r="H20" s="102">
        <f>'TABLEAU DE BORD'!H12</f>
        <v>0</v>
      </c>
      <c r="I20" s="103">
        <f>'TABLEAU DE BORD'!I12</f>
        <v>0</v>
      </c>
      <c r="J20" s="104" t="str">
        <f>IF('TABLEAU DE BORD'!K12="!! RUPTURE","1 — CRITIQUE",IF('TABLEAU DE BORD'!K12="&gt;&gt; COMMANDER","2 — URGENT",IF('TABLEAU DE BORD'!K12="~ ALERTE","3 — ATTENTION","4 — Normal")))</f>
        <v>2 — URGENT</v>
      </c>
      <c r="K20" s="105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84" t="str">
        <f>'TABLEAU DE BORD'!A13</f>
        <v>ART-010</v>
      </c>
      <c r="B21" s="106" t="str">
        <f>'TABLEAU DE BORD'!B13</f>
        <v/>
      </c>
      <c r="C21" s="107" t="str">
        <f>'TABLEAU DE BORD'!C13</f>
        <v/>
      </c>
      <c r="D21" s="100">
        <f>'TABLEAU DE BORD'!F13</f>
        <v>13</v>
      </c>
      <c r="E21" s="66">
        <f>'TABLEAU DE BORD'!G13</f>
        <v>0</v>
      </c>
      <c r="F21" s="66">
        <f>'TABLEAU DE BORD'!J13</f>
        <v>0.57894736842105265</v>
      </c>
      <c r="G21" s="84" t="str">
        <f>'TABLEAU DE BORD'!K13</f>
        <v>OK</v>
      </c>
      <c r="H21" s="108" t="str">
        <f>'TABLEAU DE BORD'!H13</f>
        <v>frmStockEntry v13.2</v>
      </c>
      <c r="I21" s="109" t="e">
        <f>'TABLEAU DE BORD'!I13</f>
        <v>#VALUE!</v>
      </c>
      <c r="J21" s="104" t="str">
        <f>IF('TABLEAU DE BORD'!K13="!! RUPTURE","1 — CRITIQUE",IF('TABLEAU DE BORD'!K13="&gt;&gt; COMMANDER","2 — URGENT",IF('TABLEAU DE BORD'!K13="~ ALERTE","3 — ATTENTION","4 — Normal")))</f>
        <v>4 — Normal</v>
      </c>
      <c r="K21" s="105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✔ Aucune action requise</v>
      </c>
    </row>
    <row r="22" spans="1:11" ht="21.75" customHeight="1">
      <c r="A22" s="84" t="str">
        <f>'TABLEAU DE BORD'!A14</f>
        <v>ART-011</v>
      </c>
      <c r="B22" s="32" t="str">
        <f>'TABLEAU DE BORD'!B14</f>
        <v/>
      </c>
      <c r="C22" s="31" t="str">
        <f>'TABLEAU DE BORD'!C14</f>
        <v/>
      </c>
      <c r="D22" s="100">
        <f>'TABLEAU DE BORD'!F14</f>
        <v>2</v>
      </c>
      <c r="E22" s="101">
        <f>'TABLEAU DE BORD'!G14</f>
        <v>0</v>
      </c>
      <c r="F22" s="101">
        <f>'TABLEAU DE BORD'!J14</f>
        <v>0</v>
      </c>
      <c r="G22" s="84" t="str">
        <f>'TABLEAU DE BORD'!K14</f>
        <v>OK</v>
      </c>
      <c r="H22" s="102">
        <f>'TABLEAU DE BORD'!H14</f>
        <v>0</v>
      </c>
      <c r="I22" s="103">
        <f>'TABLEAU DE BORD'!I14</f>
        <v>0</v>
      </c>
      <c r="J22" s="104" t="str">
        <f>IF('TABLEAU DE BORD'!K14="!! RUPTURE","1 — CRITIQUE",IF('TABLEAU DE BORD'!K14="&gt;&gt; COMMANDER","2 — URGENT",IF('TABLEAU DE BORD'!K14="~ ALERTE","3 — ATTENTION","4 — Normal")))</f>
        <v>4 — Normal</v>
      </c>
      <c r="K22" s="105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✔ Aucune action requise</v>
      </c>
    </row>
    <row r="23" spans="1:11" ht="21.75" customHeight="1">
      <c r="A23" s="84" t="str">
        <f>'TABLEAU DE BORD'!A15</f>
        <v>ART-012</v>
      </c>
      <c r="B23" s="106" t="str">
        <f>'TABLEAU DE BORD'!B15</f>
        <v/>
      </c>
      <c r="C23" s="107" t="str">
        <f>'TABLEAU DE BORD'!C15</f>
        <v/>
      </c>
      <c r="D23" s="100">
        <f>'TABLEAU DE BORD'!F15</f>
        <v>16</v>
      </c>
      <c r="E23" s="66">
        <f>'TABLEAU DE BORD'!G15</f>
        <v>0</v>
      </c>
      <c r="F23" s="66">
        <f>'TABLEAU DE BORD'!J15</f>
        <v>0</v>
      </c>
      <c r="G23" s="84" t="str">
        <f>'TABLEAU DE BORD'!K15</f>
        <v>OK</v>
      </c>
      <c r="H23" s="108">
        <f>'TABLEAU DE BORD'!H15</f>
        <v>0</v>
      </c>
      <c r="I23" s="109">
        <f>'TABLEAU DE BORD'!I15</f>
        <v>0</v>
      </c>
      <c r="J23" s="104" t="str">
        <f>IF('TABLEAU DE BORD'!K15="!! RUPTURE","1 — CRITIQUE",IF('TABLEAU DE BORD'!K15="&gt;&gt; COMMANDER","2 — URGENT",IF('TABLEAU DE BORD'!K15="~ ALERTE","3 — ATTENTION","4 — Normal")))</f>
        <v>4 — Normal</v>
      </c>
      <c r="K23" s="105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✔ Aucune action requise</v>
      </c>
    </row>
    <row r="25" spans="1:11" ht="15" customHeight="1">
      <c r="A25" s="244" t="s">
        <v>259</v>
      </c>
      <c r="B25" s="205"/>
      <c r="C25" s="205"/>
      <c r="D25" s="205"/>
      <c r="E25" s="205"/>
      <c r="F25" s="205"/>
      <c r="G25" s="205"/>
      <c r="H25" s="205"/>
      <c r="I25" s="205"/>
      <c r="J25" s="205"/>
      <c r="K25" s="205"/>
    </row>
  </sheetData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49" t="s">
        <v>260</v>
      </c>
      <c r="B1" s="205"/>
      <c r="C1" s="205"/>
      <c r="D1" s="205"/>
      <c r="E1" s="205"/>
      <c r="F1" s="205"/>
      <c r="G1" s="205"/>
    </row>
    <row r="2" spans="1:7" ht="39.75" customHeight="1">
      <c r="A2" s="110" t="s">
        <v>75</v>
      </c>
      <c r="B2" s="110" t="s">
        <v>230</v>
      </c>
      <c r="C2" s="110" t="s">
        <v>261</v>
      </c>
      <c r="D2" s="110" t="s">
        <v>262</v>
      </c>
      <c r="E2" s="110" t="s">
        <v>263</v>
      </c>
      <c r="F2" s="110" t="s">
        <v>264</v>
      </c>
      <c r="G2" s="110" t="s">
        <v>238</v>
      </c>
    </row>
    <row r="3" spans="1:7" ht="15" customHeight="1">
      <c r="A3" s="111" t="s">
        <v>52</v>
      </c>
      <c r="B3" s="32" t="str">
        <f>IFERROR(VLOOKUP(A3,ARTICLES!$A$2:$B$485,2,0),"")</f>
        <v/>
      </c>
      <c r="C3" s="101">
        <f>SUMIFS(MOUVEMENTS!$E$3:$E$500,MOUVEMENTS!$B$3:$B$500,A3,MOUVEMENTS!$D$3:$D$500,"IN")-SUMIFS(MOUVEMENTS!$E$3:$E$500,MOUVEMENTS!$B$3:$B$500,A3,MOUVEMENTS!$D$3:$D$500,"OUT")</f>
        <v>99</v>
      </c>
      <c r="D3" s="101"/>
      <c r="E3" s="101">
        <f t="shared" ref="E3:E14" si="0">IFERROR(D3-C3,"—")</f>
        <v>-99</v>
      </c>
      <c r="F3" s="112">
        <f t="shared" ref="F3:F14" si="1">IFERROR(E3/C3,"—")</f>
        <v>-1</v>
      </c>
      <c r="G3" s="111" t="str">
        <f t="shared" ref="G3:G14" si="2">IF(D3="","⏳ À compter",IF(E3=0,"✔ Conforme",IF(ABS(E3)&gt;0,"⚠ Écart","—")))</f>
        <v>⏳ À compter</v>
      </c>
    </row>
    <row r="4" spans="1:7" ht="15" customHeight="1">
      <c r="A4" s="113" t="s">
        <v>56</v>
      </c>
      <c r="B4" s="106" t="str">
        <f>IFERROR(VLOOKUP(A4,ARTICLES!$A$2:$B$485,2,0),"")</f>
        <v/>
      </c>
      <c r="C4" s="66">
        <f>SUMIFS(MOUVEMENTS!$E$3:$E$500,MOUVEMENTS!$B$3:$B$500,A4,MOUVEMENTS!$D$3:$D$500,"IN")-SUMIFS(MOUVEMENTS!$E$3:$E$500,MOUVEMENTS!$B$3:$B$500,A4,MOUVEMENTS!$D$3:$D$500,"OUT")</f>
        <v>0</v>
      </c>
      <c r="D4" s="66"/>
      <c r="E4" s="66">
        <f t="shared" si="0"/>
        <v>0</v>
      </c>
      <c r="F4" s="114" t="str">
        <f t="shared" si="1"/>
        <v>—</v>
      </c>
      <c r="G4" s="113" t="str">
        <f t="shared" si="2"/>
        <v>⏳ À compter</v>
      </c>
    </row>
    <row r="5" spans="1:7" ht="15" customHeight="1">
      <c r="A5" s="111" t="s">
        <v>59</v>
      </c>
      <c r="B5" s="32" t="str">
        <f>IFERROR(VLOOKUP(A5,ARTICLES!$A$2:$B$485,2,0),"")</f>
        <v/>
      </c>
      <c r="C5" s="101">
        <f>SUMIFS(MOUVEMENTS!$E$3:$E$500,MOUVEMENTS!$B$3:$B$500,A5,MOUVEMENTS!$D$3:$D$500,"IN")-SUMIFS(MOUVEMENTS!$E$3:$E$500,MOUVEMENTS!$B$3:$B$500,A5,MOUVEMENTS!$D$3:$D$500,"OUT")</f>
        <v>2</v>
      </c>
      <c r="D5" s="101"/>
      <c r="E5" s="101">
        <f t="shared" si="0"/>
        <v>-2</v>
      </c>
      <c r="F5" s="112">
        <f t="shared" si="1"/>
        <v>-1</v>
      </c>
      <c r="G5" s="111" t="str">
        <f t="shared" si="2"/>
        <v>⏳ À compter</v>
      </c>
    </row>
    <row r="6" spans="1:7" ht="15" customHeight="1">
      <c r="A6" s="113" t="s">
        <v>60</v>
      </c>
      <c r="B6" s="106" t="str">
        <f>IFERROR(VLOOKUP(A6,ARTICLES!$A$2:$B$485,2,0),"")</f>
        <v/>
      </c>
      <c r="C6" s="66">
        <f>SUMIFS(MOUVEMENTS!$E$3:$E$500,MOUVEMENTS!$B$3:$B$500,A6,MOUVEMENTS!$D$3:$D$500,"IN")-SUMIFS(MOUVEMENTS!$E$3:$E$500,MOUVEMENTS!$B$3:$B$500,A6,MOUVEMENTS!$D$3:$D$500,"OUT")</f>
        <v>190</v>
      </c>
      <c r="D6" s="66"/>
      <c r="E6" s="66">
        <f t="shared" si="0"/>
        <v>-190</v>
      </c>
      <c r="F6" s="114">
        <f t="shared" si="1"/>
        <v>-1</v>
      </c>
      <c r="G6" s="113" t="str">
        <f t="shared" si="2"/>
        <v>⏳ À compter</v>
      </c>
    </row>
    <row r="7" spans="1:7" ht="15" customHeight="1">
      <c r="A7" s="111" t="s">
        <v>62</v>
      </c>
      <c r="B7" s="32" t="str">
        <f>IFERROR(VLOOKUP(A7,ARTICLES!$A$2:$B$485,2,0),"")</f>
        <v/>
      </c>
      <c r="C7" s="101">
        <f>SUMIFS(MOUVEMENTS!$E$3:$E$500,MOUVEMENTS!$B$3:$B$500,A7,MOUVEMENTS!$D$3:$D$500,"IN")-SUMIFS(MOUVEMENTS!$E$3:$E$500,MOUVEMENTS!$B$3:$B$500,A7,MOUVEMENTS!$D$3:$D$500,"OUT")</f>
        <v>0</v>
      </c>
      <c r="D7" s="101"/>
      <c r="E7" s="101">
        <f t="shared" si="0"/>
        <v>0</v>
      </c>
      <c r="F7" s="112" t="str">
        <f t="shared" si="1"/>
        <v>—</v>
      </c>
      <c r="G7" s="111" t="str">
        <f t="shared" si="2"/>
        <v>⏳ À compter</v>
      </c>
    </row>
    <row r="8" spans="1:7" ht="15" customHeight="1">
      <c r="A8" s="113" t="s">
        <v>64</v>
      </c>
      <c r="B8" s="106" t="str">
        <f>IFERROR(VLOOKUP(A8,ARTICLES!$A$2:$B$485,2,0),"")</f>
        <v/>
      </c>
      <c r="C8" s="66">
        <f>SUMIFS(MOUVEMENTS!$E$3:$E$500,MOUVEMENTS!$B$3:$B$500,A8,MOUVEMENTS!$D$3:$D$500,"IN")-SUMIFS(MOUVEMENTS!$E$3:$E$500,MOUVEMENTS!$B$3:$B$500,A8,MOUVEMENTS!$D$3:$D$500,"OUT")</f>
        <v>23</v>
      </c>
      <c r="D8" s="66"/>
      <c r="E8" s="66">
        <f t="shared" si="0"/>
        <v>-23</v>
      </c>
      <c r="F8" s="114">
        <f t="shared" si="1"/>
        <v>-1</v>
      </c>
      <c r="G8" s="113" t="str">
        <f t="shared" si="2"/>
        <v>⏳ À compter</v>
      </c>
    </row>
    <row r="9" spans="1:7" ht="15" customHeight="1">
      <c r="A9" s="111" t="s">
        <v>66</v>
      </c>
      <c r="B9" s="32" t="str">
        <f>IFERROR(VLOOKUP(A9,ARTICLES!$A$2:$B$485,2,0),"")</f>
        <v/>
      </c>
      <c r="C9" s="101">
        <f>SUMIFS(MOUVEMENTS!$E$3:$E$500,MOUVEMENTS!$B$3:$B$500,A9,MOUVEMENTS!$D$3:$D$500,"IN")-SUMIFS(MOUVEMENTS!$E$3:$E$500,MOUVEMENTS!$B$3:$B$500,A9,MOUVEMENTS!$D$3:$D$500,"OUT")</f>
        <v>0</v>
      </c>
      <c r="D9" s="101"/>
      <c r="E9" s="101">
        <f t="shared" si="0"/>
        <v>0</v>
      </c>
      <c r="F9" s="112" t="str">
        <f t="shared" si="1"/>
        <v>—</v>
      </c>
      <c r="G9" s="111" t="str">
        <f t="shared" si="2"/>
        <v>⏳ À compter</v>
      </c>
    </row>
    <row r="10" spans="1:7" ht="15" customHeight="1">
      <c r="A10" s="113" t="s">
        <v>68</v>
      </c>
      <c r="B10" s="106" t="str">
        <f>IFERROR(VLOOKUP(A10,ARTICLES!$A$2:$B$485,2,0),"")</f>
        <v/>
      </c>
      <c r="C10" s="66">
        <f>SUMIFS(MOUVEMENTS!$E$3:$E$500,MOUVEMENTS!$B$3:$B$500,A10,MOUVEMENTS!$D$3:$D$500,"IN")-SUMIFS(MOUVEMENTS!$E$3:$E$500,MOUVEMENTS!$B$3:$B$500,A10,MOUVEMENTS!$D$3:$D$500,"OUT")</f>
        <v>5</v>
      </c>
      <c r="D10" s="66"/>
      <c r="E10" s="66">
        <f t="shared" si="0"/>
        <v>-5</v>
      </c>
      <c r="F10" s="114">
        <f t="shared" si="1"/>
        <v>-1</v>
      </c>
      <c r="G10" s="113" t="str">
        <f t="shared" si="2"/>
        <v>⏳ À compter</v>
      </c>
    </row>
    <row r="11" spans="1:7" ht="15" customHeight="1">
      <c r="A11" s="111" t="s">
        <v>69</v>
      </c>
      <c r="B11" s="32" t="str">
        <f>IFERROR(VLOOKUP(A11,ARTICLES!$A$2:$B$485,2,0),"")</f>
        <v/>
      </c>
      <c r="C11" s="101">
        <f>SUMIFS(MOUVEMENTS!$E$3:$E$500,MOUVEMENTS!$B$3:$B$500,A11,MOUVEMENTS!$D$3:$D$500,"IN")-SUMIFS(MOUVEMENTS!$E$3:$E$500,MOUVEMENTS!$B$3:$B$500,A11,MOUVEMENTS!$D$3:$D$500,"OUT")</f>
        <v>1</v>
      </c>
      <c r="D11" s="101"/>
      <c r="E11" s="101">
        <f t="shared" si="0"/>
        <v>-1</v>
      </c>
      <c r="F11" s="112">
        <f t="shared" si="1"/>
        <v>-1</v>
      </c>
      <c r="G11" s="111" t="str">
        <f t="shared" si="2"/>
        <v>⏳ À compter</v>
      </c>
    </row>
    <row r="12" spans="1:7" ht="15" customHeight="1">
      <c r="A12" s="113" t="s">
        <v>70</v>
      </c>
      <c r="B12" s="106" t="str">
        <f>IFERROR(VLOOKUP(A12,ARTICLES!$A$2:$B$485,2,0),"")</f>
        <v/>
      </c>
      <c r="C12" s="66">
        <f>SUMIFS(MOUVEMENTS!$E$3:$E$500,MOUVEMENTS!$B$3:$B$500,A12,MOUVEMENTS!$D$3:$D$500,"IN")-SUMIFS(MOUVEMENTS!$E$3:$E$500,MOUVEMENTS!$B$3:$B$500,A12,MOUVEMENTS!$D$3:$D$500,"OUT")</f>
        <v>13</v>
      </c>
      <c r="D12" s="66"/>
      <c r="E12" s="66">
        <f t="shared" si="0"/>
        <v>-13</v>
      </c>
      <c r="F12" s="114">
        <f t="shared" si="1"/>
        <v>-1</v>
      </c>
      <c r="G12" s="113" t="str">
        <f t="shared" si="2"/>
        <v>⏳ À compter</v>
      </c>
    </row>
    <row r="13" spans="1:7" ht="15" customHeight="1">
      <c r="A13" s="111" t="s">
        <v>72</v>
      </c>
      <c r="B13" s="32" t="str">
        <f>IFERROR(VLOOKUP(A13,ARTICLES!$A$2:$B$485,2,0),"")</f>
        <v/>
      </c>
      <c r="C13" s="101">
        <f>SUMIFS(MOUVEMENTS!$E$3:$E$500,MOUVEMENTS!$B$3:$B$500,A13,MOUVEMENTS!$D$3:$D$500,"IN")-SUMIFS(MOUVEMENTS!$E$3:$E$500,MOUVEMENTS!$B$3:$B$500,A13,MOUVEMENTS!$D$3:$D$500,"OUT")</f>
        <v>2</v>
      </c>
      <c r="D13" s="101"/>
      <c r="E13" s="101">
        <f t="shared" si="0"/>
        <v>-2</v>
      </c>
      <c r="F13" s="112">
        <f t="shared" si="1"/>
        <v>-1</v>
      </c>
      <c r="G13" s="111" t="str">
        <f t="shared" si="2"/>
        <v>⏳ À compter</v>
      </c>
    </row>
    <row r="14" spans="1:7" ht="15" customHeight="1">
      <c r="A14" s="113" t="s">
        <v>73</v>
      </c>
      <c r="B14" s="106" t="str">
        <f>IFERROR(VLOOKUP(A14,ARTICLES!$A$2:$B$485,2,0),"")</f>
        <v/>
      </c>
      <c r="C14" s="66">
        <f>SUMIFS(MOUVEMENTS!$E$3:$E$500,MOUVEMENTS!$B$3:$B$500,A14,MOUVEMENTS!$D$3:$D$500,"IN")-SUMIFS(MOUVEMENTS!$E$3:$E$500,MOUVEMENTS!$B$3:$B$500,A14,MOUVEMENTS!$D$3:$D$500,"OUT")</f>
        <v>16</v>
      </c>
      <c r="D14" s="66"/>
      <c r="E14" s="66">
        <f t="shared" si="0"/>
        <v>-16</v>
      </c>
      <c r="F14" s="114">
        <f t="shared" si="1"/>
        <v>-1</v>
      </c>
      <c r="G14" s="113" t="str">
        <f t="shared" si="2"/>
        <v>⏳ À compter</v>
      </c>
    </row>
    <row r="16" spans="1:7" ht="15" customHeight="1">
      <c r="A16" s="244" t="s">
        <v>265</v>
      </c>
      <c r="B16" s="205"/>
      <c r="C16" s="205"/>
      <c r="D16" s="205"/>
      <c r="E16" s="205"/>
      <c r="F16" s="205"/>
      <c r="G16" s="205"/>
    </row>
  </sheetData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215" t="s">
        <v>266</v>
      </c>
      <c r="B1" s="216"/>
      <c r="C1" s="216"/>
      <c r="D1" s="216"/>
      <c r="E1" s="216"/>
      <c r="F1" s="216"/>
      <c r="G1" s="216"/>
      <c r="H1" s="217"/>
    </row>
    <row r="2" spans="1:8" ht="18" customHeight="1">
      <c r="A2" s="254" t="s">
        <v>267</v>
      </c>
      <c r="B2" s="213"/>
      <c r="C2" s="213"/>
      <c r="D2" s="213"/>
      <c r="E2" s="213"/>
      <c r="F2" s="213"/>
      <c r="G2" s="213"/>
      <c r="H2" s="201"/>
    </row>
    <row r="4" spans="1:8" ht="24" customHeight="1">
      <c r="A4" s="251" t="s">
        <v>268</v>
      </c>
      <c r="B4" s="219"/>
      <c r="C4" s="219"/>
      <c r="D4" s="219"/>
      <c r="E4" s="219"/>
      <c r="F4" s="219"/>
      <c r="G4" s="219"/>
      <c r="H4" s="220"/>
    </row>
    <row r="5" spans="1:8" ht="21.75" customHeight="1">
      <c r="A5" s="115" t="s">
        <v>269</v>
      </c>
      <c r="B5" s="116">
        <f ca="1">TODAY()-7</f>
        <v>46145</v>
      </c>
      <c r="C5" s="117" t="s">
        <v>270</v>
      </c>
      <c r="D5" s="116">
        <f ca="1">TODAY()</f>
        <v>46152</v>
      </c>
      <c r="E5" s="252" t="s">
        <v>271</v>
      </c>
      <c r="F5" s="205"/>
      <c r="G5" s="205"/>
      <c r="H5" s="205"/>
    </row>
    <row r="6" spans="1:8" ht="31.5" customHeight="1">
      <c r="A6" s="118" t="s">
        <v>272</v>
      </c>
      <c r="B6" s="118" t="s">
        <v>273</v>
      </c>
      <c r="C6" s="118" t="s">
        <v>274</v>
      </c>
      <c r="D6" s="118" t="s">
        <v>275</v>
      </c>
      <c r="E6" s="118" t="s">
        <v>276</v>
      </c>
      <c r="F6" s="118" t="s">
        <v>277</v>
      </c>
      <c r="G6" s="118" t="s">
        <v>278</v>
      </c>
      <c r="H6" s="118" t="s">
        <v>279</v>
      </c>
    </row>
    <row r="7" spans="1:8" ht="18" customHeight="1">
      <c r="A7" s="119" t="s">
        <v>52</v>
      </c>
      <c r="B7" s="44" t="str">
        <f>IFERROR(VLOOKUP(A7,ARTICLES!$A$2:$B$485,2,0),"")</f>
        <v/>
      </c>
      <c r="C7" s="120" t="str">
        <f>IFERROR(VLOOKUP(A7,ARTICLES!$A$2:$E$485,5,0),"")</f>
        <v/>
      </c>
      <c r="D7" s="121">
        <f ca="1">IFERROR(SUMPRODUCT((MOUVEMENTS!$B$3:$B$500=A7)*(MOUVEMENTS!$D$3:$D$500="IN")*(MOUVEMENTS!$A$3:$A$500&gt;=B5)*(MOUVEMENTS!$A$3:$A$500&lt;=D5)*MOUVEMENTS!$E$3:$E$500),0)</f>
        <v>0</v>
      </c>
      <c r="E7" s="121">
        <f ca="1">IFERROR(SUMPRODUCT((MOUVEMENTS!$B$3:$B$500=A7)*(MOUVEMENTS!$D$3:$D$500="OUT")*(MOUVEMENTS!$A$3:$A$500&gt;=B5)*(MOUVEMENTS!$A$3:$A$500&lt;=D5)*MOUVEMENTS!$E$3:$E$500),0)</f>
        <v>0</v>
      </c>
      <c r="F7" s="122">
        <f t="shared" ref="F7:F18" ca="1" si="0">D7-E7</f>
        <v>0</v>
      </c>
      <c r="G7" s="121">
        <f ca="1">IFERROR(F7*VLOOKUP(A7,ARTICLES!$A$2:$G$485,7,0),0)</f>
        <v>0</v>
      </c>
      <c r="H7" s="119" t="str">
        <f t="shared" ref="H7:H18" ca="1" si="1">IF(F7&lt;0,"!! NÉGATIF",IF(F7=0,"!! RUPTURE","OK"))</f>
        <v>!! RUPTURE</v>
      </c>
    </row>
    <row r="8" spans="1:8" ht="18" customHeight="1">
      <c r="A8" s="123" t="s">
        <v>56</v>
      </c>
      <c r="B8" s="124" t="str">
        <f>IFERROR(VLOOKUP(A8,ARTICLES!$A$2:$B$485,2,0),"")</f>
        <v/>
      </c>
      <c r="C8" s="125" t="str">
        <f>IFERROR(VLOOKUP(A8,ARTICLES!$A$2:$E$485,5,0),"")</f>
        <v/>
      </c>
      <c r="D8" s="126">
        <f ca="1">IFERROR(SUMPRODUCT((MOUVEMENTS!$B$3:$B$500=A8)*(MOUVEMENTS!$D$3:$D$500="IN")*(MOUVEMENTS!$A$3:$A$500&gt;=B5)*(MOUVEMENTS!$A$3:$A$500&lt;=D5)*MOUVEMENTS!$E$3:$E$500),0)</f>
        <v>0</v>
      </c>
      <c r="E8" s="126">
        <f ca="1">IFERROR(SUMPRODUCT((MOUVEMENTS!$B$3:$B$500=A8)*(MOUVEMENTS!$D$3:$D$500="OUT")*(MOUVEMENTS!$A$3:$A$500&gt;=B5)*(MOUVEMENTS!$A$3:$A$500&lt;=D5)*MOUVEMENTS!$E$3:$E$500),0)</f>
        <v>0</v>
      </c>
      <c r="F8" s="127">
        <f t="shared" ca="1" si="0"/>
        <v>0</v>
      </c>
      <c r="G8" s="126">
        <f ca="1">IFERROR(F8*VLOOKUP(A8,ARTICLES!$A$2:$G$485,7,0),0)</f>
        <v>0</v>
      </c>
      <c r="H8" s="123" t="str">
        <f t="shared" ca="1" si="1"/>
        <v>!! RUPTURE</v>
      </c>
    </row>
    <row r="9" spans="1:8" ht="18" customHeight="1">
      <c r="A9" s="119" t="s">
        <v>59</v>
      </c>
      <c r="B9" s="44" t="str">
        <f>IFERROR(VLOOKUP(A9,ARTICLES!$A$2:$B$485,2,0),"")</f>
        <v/>
      </c>
      <c r="C9" s="120" t="str">
        <f>IFERROR(VLOOKUP(A9,ARTICLES!$A$2:$E$485,5,0),"")</f>
        <v/>
      </c>
      <c r="D9" s="121">
        <f ca="1">IFERROR(SUMPRODUCT((MOUVEMENTS!$B$3:$B$500=A9)*(MOUVEMENTS!$D$3:$D$500="IN")*(MOUVEMENTS!$A$3:$A$500&gt;=B5)*(MOUVEMENTS!$A$3:$A$500&lt;=D5)*MOUVEMENTS!$E$3:$E$500),0)</f>
        <v>0</v>
      </c>
      <c r="E9" s="121">
        <f ca="1">IFERROR(SUMPRODUCT((MOUVEMENTS!$B$3:$B$500=A9)*(MOUVEMENTS!$D$3:$D$500="OUT")*(MOUVEMENTS!$A$3:$A$500&gt;=B5)*(MOUVEMENTS!$A$3:$A$500&lt;=D5)*MOUVEMENTS!$E$3:$E$500),0)</f>
        <v>0</v>
      </c>
      <c r="F9" s="122">
        <f t="shared" ca="1" si="0"/>
        <v>0</v>
      </c>
      <c r="G9" s="121">
        <f ca="1">IFERROR(F9*VLOOKUP(A9,ARTICLES!$A$2:$G$485,7,0),0)</f>
        <v>0</v>
      </c>
      <c r="H9" s="119" t="str">
        <f t="shared" ca="1" si="1"/>
        <v>!! RUPTURE</v>
      </c>
    </row>
    <row r="10" spans="1:8" ht="18" customHeight="1">
      <c r="A10" s="123" t="s">
        <v>60</v>
      </c>
      <c r="B10" s="124" t="str">
        <f>IFERROR(VLOOKUP(A10,ARTICLES!$A$2:$B$485,2,0),"")</f>
        <v/>
      </c>
      <c r="C10" s="125" t="str">
        <f>IFERROR(VLOOKUP(A10,ARTICLES!$A$2:$E$485,5,0),"")</f>
        <v/>
      </c>
      <c r="D10" s="126">
        <f ca="1">IFERROR(SUMPRODUCT((MOUVEMENTS!$B$3:$B$500=A10)*(MOUVEMENTS!$D$3:$D$500="IN")*(MOUVEMENTS!$A$3:$A$500&gt;=B5)*(MOUVEMENTS!$A$3:$A$500&lt;=D5)*MOUVEMENTS!$E$3:$E$500),0)</f>
        <v>0</v>
      </c>
      <c r="E10" s="126">
        <f ca="1">IFERROR(SUMPRODUCT((MOUVEMENTS!$B$3:$B$500=A10)*(MOUVEMENTS!$D$3:$D$500="OUT")*(MOUVEMENTS!$A$3:$A$500&gt;=B5)*(MOUVEMENTS!$A$3:$A$500&lt;=D5)*MOUVEMENTS!$E$3:$E$500),0)</f>
        <v>0</v>
      </c>
      <c r="F10" s="127">
        <f t="shared" ca="1" si="0"/>
        <v>0</v>
      </c>
      <c r="G10" s="126">
        <f ca="1">IFERROR(F10*VLOOKUP(A10,ARTICLES!$A$2:$G$485,7,0),0)</f>
        <v>0</v>
      </c>
      <c r="H10" s="123" t="str">
        <f t="shared" ca="1" si="1"/>
        <v>!! RUPTURE</v>
      </c>
    </row>
    <row r="11" spans="1:8" ht="18" customHeight="1">
      <c r="A11" s="119" t="s">
        <v>62</v>
      </c>
      <c r="B11" s="44" t="str">
        <f>IFERROR(VLOOKUP(A11,ARTICLES!$A$2:$B$485,2,0),"")</f>
        <v/>
      </c>
      <c r="C11" s="120" t="str">
        <f>IFERROR(VLOOKUP(A11,ARTICLES!$A$2:$E$485,5,0),"")</f>
        <v/>
      </c>
      <c r="D11" s="121">
        <f ca="1">IFERROR(SUMPRODUCT((MOUVEMENTS!$B$3:$B$500=A11)*(MOUVEMENTS!$D$3:$D$500="IN")*(MOUVEMENTS!$A$3:$A$500&gt;=B5)*(MOUVEMENTS!$A$3:$A$500&lt;=D5)*MOUVEMENTS!$E$3:$E$500),0)</f>
        <v>0</v>
      </c>
      <c r="E11" s="121">
        <f ca="1">IFERROR(SUMPRODUCT((MOUVEMENTS!$B$3:$B$500=A11)*(MOUVEMENTS!$D$3:$D$500="OUT")*(MOUVEMENTS!$A$3:$A$500&gt;=B5)*(MOUVEMENTS!$A$3:$A$500&lt;=D5)*MOUVEMENTS!$E$3:$E$500),0)</f>
        <v>0</v>
      </c>
      <c r="F11" s="122">
        <f t="shared" ca="1" si="0"/>
        <v>0</v>
      </c>
      <c r="G11" s="121">
        <f ca="1">IFERROR(F11*VLOOKUP(A11,ARTICLES!$A$2:$G$485,7,0),0)</f>
        <v>0</v>
      </c>
      <c r="H11" s="119" t="str">
        <f t="shared" ca="1" si="1"/>
        <v>!! RUPTURE</v>
      </c>
    </row>
    <row r="12" spans="1:8" ht="18" customHeight="1">
      <c r="A12" s="123" t="s">
        <v>64</v>
      </c>
      <c r="B12" s="124" t="str">
        <f>IFERROR(VLOOKUP(A12,ARTICLES!$A$2:$B$485,2,0),"")</f>
        <v/>
      </c>
      <c r="C12" s="125" t="str">
        <f>IFERROR(VLOOKUP(A12,ARTICLES!$A$2:$E$485,5,0),"")</f>
        <v/>
      </c>
      <c r="D12" s="126">
        <f ca="1">IFERROR(SUMPRODUCT((MOUVEMENTS!$B$3:$B$500=A12)*(MOUVEMENTS!$D$3:$D$500="IN")*(MOUVEMENTS!$A$3:$A$500&gt;=B5)*(MOUVEMENTS!$A$3:$A$500&lt;=D5)*MOUVEMENTS!$E$3:$E$500),0)</f>
        <v>0</v>
      </c>
      <c r="E12" s="126">
        <f ca="1">IFERROR(SUMPRODUCT((MOUVEMENTS!$B$3:$B$500=A12)*(MOUVEMENTS!$D$3:$D$500="OUT")*(MOUVEMENTS!$A$3:$A$500&gt;=B5)*(MOUVEMENTS!$A$3:$A$500&lt;=D5)*MOUVEMENTS!$E$3:$E$500),0)</f>
        <v>0</v>
      </c>
      <c r="F12" s="127">
        <f t="shared" ca="1" si="0"/>
        <v>0</v>
      </c>
      <c r="G12" s="126">
        <f ca="1">IFERROR(F12*VLOOKUP(A12,ARTICLES!$A$2:$G$485,7,0),0)</f>
        <v>0</v>
      </c>
      <c r="H12" s="123" t="str">
        <f t="shared" ca="1" si="1"/>
        <v>!! RUPTURE</v>
      </c>
    </row>
    <row r="13" spans="1:8" ht="18" customHeight="1">
      <c r="A13" s="119" t="s">
        <v>66</v>
      </c>
      <c r="B13" s="44" t="str">
        <f>IFERROR(VLOOKUP(A13,ARTICLES!$A$2:$B$485,2,0),"")</f>
        <v/>
      </c>
      <c r="C13" s="120" t="str">
        <f>IFERROR(VLOOKUP(A13,ARTICLES!$A$2:$E$485,5,0),"")</f>
        <v/>
      </c>
      <c r="D13" s="121">
        <f ca="1">IFERROR(SUMPRODUCT((MOUVEMENTS!$B$3:$B$500=A13)*(MOUVEMENTS!$D$3:$D$500="IN")*(MOUVEMENTS!$A$3:$A$500&gt;=B5)*(MOUVEMENTS!$A$3:$A$500&lt;=D5)*MOUVEMENTS!$E$3:$E$500),0)</f>
        <v>0</v>
      </c>
      <c r="E13" s="121">
        <f ca="1">IFERROR(SUMPRODUCT((MOUVEMENTS!$B$3:$B$500=A13)*(MOUVEMENTS!$D$3:$D$500="OUT")*(MOUVEMENTS!$A$3:$A$500&gt;=B5)*(MOUVEMENTS!$A$3:$A$500&lt;=D5)*MOUVEMENTS!$E$3:$E$500),0)</f>
        <v>0</v>
      </c>
      <c r="F13" s="122">
        <f t="shared" ca="1" si="0"/>
        <v>0</v>
      </c>
      <c r="G13" s="121">
        <f ca="1">IFERROR(F13*VLOOKUP(A13,ARTICLES!$A$2:$G$485,7,0),0)</f>
        <v>0</v>
      </c>
      <c r="H13" s="119" t="str">
        <f t="shared" ca="1" si="1"/>
        <v>!! RUPTURE</v>
      </c>
    </row>
    <row r="14" spans="1:8" ht="18" customHeight="1">
      <c r="A14" s="123" t="s">
        <v>68</v>
      </c>
      <c r="B14" s="124" t="str">
        <f>IFERROR(VLOOKUP(A14,ARTICLES!$A$2:$B$485,2,0),"")</f>
        <v/>
      </c>
      <c r="C14" s="125" t="str">
        <f>IFERROR(VLOOKUP(A14,ARTICLES!$A$2:$E$485,5,0),"")</f>
        <v/>
      </c>
      <c r="D14" s="126">
        <f ca="1">IFERROR(SUMPRODUCT((MOUVEMENTS!$B$3:$B$500=A14)*(MOUVEMENTS!$D$3:$D$500="IN")*(MOUVEMENTS!$A$3:$A$500&gt;=B5)*(MOUVEMENTS!$A$3:$A$500&lt;=D5)*MOUVEMENTS!$E$3:$E$500),0)</f>
        <v>0</v>
      </c>
      <c r="E14" s="126">
        <f ca="1">IFERROR(SUMPRODUCT((MOUVEMENTS!$B$3:$B$500=A14)*(MOUVEMENTS!$D$3:$D$500="OUT")*(MOUVEMENTS!$A$3:$A$500&gt;=B5)*(MOUVEMENTS!$A$3:$A$500&lt;=D5)*MOUVEMENTS!$E$3:$E$500),0)</f>
        <v>0</v>
      </c>
      <c r="F14" s="127">
        <f t="shared" ca="1" si="0"/>
        <v>0</v>
      </c>
      <c r="G14" s="126">
        <f ca="1">IFERROR(F14*VLOOKUP(A14,ARTICLES!$A$2:$G$485,7,0),0)</f>
        <v>0</v>
      </c>
      <c r="H14" s="123" t="str">
        <f t="shared" ca="1" si="1"/>
        <v>!! RUPTURE</v>
      </c>
    </row>
    <row r="15" spans="1:8" ht="18" customHeight="1">
      <c r="A15" s="119" t="s">
        <v>69</v>
      </c>
      <c r="B15" s="44" t="str">
        <f>IFERROR(VLOOKUP(A15,ARTICLES!$A$2:$B$485,2,0),"")</f>
        <v/>
      </c>
      <c r="C15" s="120" t="str">
        <f>IFERROR(VLOOKUP(A15,ARTICLES!$A$2:$E$485,5,0),"")</f>
        <v/>
      </c>
      <c r="D15" s="121">
        <f ca="1">IFERROR(SUMPRODUCT((MOUVEMENTS!$B$3:$B$500=A15)*(MOUVEMENTS!$D$3:$D$500="IN")*(MOUVEMENTS!$A$3:$A$500&gt;=B5)*(MOUVEMENTS!$A$3:$A$500&lt;=D5)*MOUVEMENTS!$E$3:$E$500),0)</f>
        <v>0</v>
      </c>
      <c r="E15" s="121">
        <f ca="1">IFERROR(SUMPRODUCT((MOUVEMENTS!$B$3:$B$500=A15)*(MOUVEMENTS!$D$3:$D$500="OUT")*(MOUVEMENTS!$A$3:$A$500&gt;=B5)*(MOUVEMENTS!$A$3:$A$500&lt;=D5)*MOUVEMENTS!$E$3:$E$500),0)</f>
        <v>0</v>
      </c>
      <c r="F15" s="122">
        <f t="shared" ca="1" si="0"/>
        <v>0</v>
      </c>
      <c r="G15" s="121">
        <f ca="1">IFERROR(F15*VLOOKUP(A15,ARTICLES!$A$2:$G$485,7,0),0)</f>
        <v>0</v>
      </c>
      <c r="H15" s="119" t="str">
        <f t="shared" ca="1" si="1"/>
        <v>!! RUPTURE</v>
      </c>
    </row>
    <row r="16" spans="1:8" ht="18" customHeight="1">
      <c r="A16" s="123" t="s">
        <v>70</v>
      </c>
      <c r="B16" s="124" t="str">
        <f>IFERROR(VLOOKUP(A16,ARTICLES!$A$2:$B$485,2,0),"")</f>
        <v/>
      </c>
      <c r="C16" s="125" t="str">
        <f>IFERROR(VLOOKUP(A16,ARTICLES!$A$2:$E$485,5,0),"")</f>
        <v/>
      </c>
      <c r="D16" s="126">
        <f ca="1">IFERROR(SUMPRODUCT((MOUVEMENTS!$B$3:$B$500=A16)*(MOUVEMENTS!$D$3:$D$500="IN")*(MOUVEMENTS!$A$3:$A$500&gt;=B5)*(MOUVEMENTS!$A$3:$A$500&lt;=D5)*MOUVEMENTS!$E$3:$E$500),0)</f>
        <v>0</v>
      </c>
      <c r="E16" s="126">
        <f ca="1">IFERROR(SUMPRODUCT((MOUVEMENTS!$B$3:$B$500=A16)*(MOUVEMENTS!$D$3:$D$500="OUT")*(MOUVEMENTS!$A$3:$A$500&gt;=B5)*(MOUVEMENTS!$A$3:$A$500&lt;=D5)*MOUVEMENTS!$E$3:$E$500),0)</f>
        <v>0</v>
      </c>
      <c r="F16" s="127">
        <f t="shared" ca="1" si="0"/>
        <v>0</v>
      </c>
      <c r="G16" s="126">
        <f ca="1">IFERROR(F16*VLOOKUP(A16,ARTICLES!$A$2:$G$485,7,0),0)</f>
        <v>0</v>
      </c>
      <c r="H16" s="123" t="str">
        <f t="shared" ca="1" si="1"/>
        <v>!! RUPTURE</v>
      </c>
    </row>
    <row r="17" spans="1:8" ht="18" customHeight="1">
      <c r="A17" s="119" t="s">
        <v>72</v>
      </c>
      <c r="B17" s="44" t="str">
        <f>IFERROR(VLOOKUP(A17,ARTICLES!$A$2:$B$485,2,0),"")</f>
        <v/>
      </c>
      <c r="C17" s="120" t="str">
        <f>IFERROR(VLOOKUP(A17,ARTICLES!$A$2:$E$485,5,0),"")</f>
        <v/>
      </c>
      <c r="D17" s="121">
        <f ca="1">IFERROR(SUMPRODUCT((MOUVEMENTS!$B$3:$B$500=A17)*(MOUVEMENTS!$D$3:$D$500="IN")*(MOUVEMENTS!$A$3:$A$500&gt;=B5)*(MOUVEMENTS!$A$3:$A$500&lt;=D5)*MOUVEMENTS!$E$3:$E$500),0)</f>
        <v>0</v>
      </c>
      <c r="E17" s="121">
        <f ca="1">IFERROR(SUMPRODUCT((MOUVEMENTS!$B$3:$B$500=A17)*(MOUVEMENTS!$D$3:$D$500="OUT")*(MOUVEMENTS!$A$3:$A$500&gt;=B5)*(MOUVEMENTS!$A$3:$A$500&lt;=D5)*MOUVEMENTS!$E$3:$E$500),0)</f>
        <v>0</v>
      </c>
      <c r="F17" s="122">
        <f t="shared" ca="1" si="0"/>
        <v>0</v>
      </c>
      <c r="G17" s="121">
        <f ca="1">IFERROR(F17*VLOOKUP(A17,ARTICLES!$A$2:$G$485,7,0),0)</f>
        <v>0</v>
      </c>
      <c r="H17" s="119" t="str">
        <f t="shared" ca="1" si="1"/>
        <v>!! RUPTURE</v>
      </c>
    </row>
    <row r="18" spans="1:8" ht="18" customHeight="1">
      <c r="A18" s="123" t="s">
        <v>73</v>
      </c>
      <c r="B18" s="124" t="str">
        <f>IFERROR(VLOOKUP(A18,ARTICLES!$A$2:$B$485,2,0),"")</f>
        <v/>
      </c>
      <c r="C18" s="125" t="str">
        <f>IFERROR(VLOOKUP(A18,ARTICLES!$A$2:$E$485,5,0),"")</f>
        <v/>
      </c>
      <c r="D18" s="126">
        <f ca="1">IFERROR(SUMPRODUCT((MOUVEMENTS!$B$3:$B$500=A18)*(MOUVEMENTS!$D$3:$D$500="IN")*(MOUVEMENTS!$A$3:$A$500&gt;=B5)*(MOUVEMENTS!$A$3:$A$500&lt;=D5)*MOUVEMENTS!$E$3:$E$500),0)</f>
        <v>0</v>
      </c>
      <c r="E18" s="126">
        <f ca="1">IFERROR(SUMPRODUCT((MOUVEMENTS!$B$3:$B$500=A18)*(MOUVEMENTS!$D$3:$D$500="OUT")*(MOUVEMENTS!$A$3:$A$500&gt;=B5)*(MOUVEMENTS!$A$3:$A$500&lt;=D5)*MOUVEMENTS!$E$3:$E$500),0)</f>
        <v>0</v>
      </c>
      <c r="F18" s="127">
        <f t="shared" ca="1" si="0"/>
        <v>0</v>
      </c>
      <c r="G18" s="126">
        <f ca="1">IFERROR(F18*VLOOKUP(A18,ARTICLES!$A$2:$G$485,7,0),0)</f>
        <v>0</v>
      </c>
      <c r="H18" s="123" t="str">
        <f t="shared" ca="1" si="1"/>
        <v>!! RUPTURE</v>
      </c>
    </row>
    <row r="19" spans="1:8" ht="21.75" customHeight="1">
      <c r="A19" s="128" t="s">
        <v>244</v>
      </c>
      <c r="B19" s="253" t="s">
        <v>280</v>
      </c>
      <c r="C19" s="220"/>
      <c r="D19" s="129">
        <f ca="1">SUM(D7:D18)</f>
        <v>0</v>
      </c>
      <c r="E19" s="129">
        <f ca="1">SUM(E7:E18)</f>
        <v>0</v>
      </c>
      <c r="F19" s="129">
        <f ca="1">SUM(F7:F18)</f>
        <v>0</v>
      </c>
      <c r="G19" s="129">
        <f ca="1">SUM(G7:G18)</f>
        <v>0</v>
      </c>
      <c r="H19" s="130"/>
    </row>
    <row r="20" spans="1:8" ht="25.5" customHeight="1">
      <c r="A20" s="250" t="s">
        <v>281</v>
      </c>
      <c r="B20" s="226"/>
      <c r="C20" s="226"/>
      <c r="D20" s="226"/>
      <c r="E20" s="226"/>
      <c r="F20" s="226"/>
      <c r="G20" s="226"/>
      <c r="H20" s="226"/>
    </row>
    <row r="23" spans="1:8" ht="24" customHeight="1">
      <c r="A23" s="251" t="s">
        <v>282</v>
      </c>
      <c r="B23" s="219"/>
      <c r="C23" s="219"/>
      <c r="D23" s="219"/>
      <c r="E23" s="219"/>
      <c r="F23" s="219"/>
      <c r="G23" s="219"/>
      <c r="H23" s="220"/>
    </row>
    <row r="24" spans="1:8" ht="21.75" customHeight="1">
      <c r="A24" s="115" t="s">
        <v>269</v>
      </c>
      <c r="B24" s="131">
        <f ca="1">TODAY()-30</f>
        <v>46122</v>
      </c>
      <c r="C24" s="117" t="s">
        <v>270</v>
      </c>
      <c r="D24" s="131">
        <f ca="1">TODAY()</f>
        <v>46152</v>
      </c>
      <c r="E24" s="252" t="s">
        <v>271</v>
      </c>
      <c r="F24" s="205"/>
      <c r="G24" s="205"/>
      <c r="H24" s="205"/>
    </row>
    <row r="25" spans="1:8" ht="31.5" customHeight="1">
      <c r="A25" s="118" t="s">
        <v>272</v>
      </c>
      <c r="B25" s="118" t="s">
        <v>273</v>
      </c>
      <c r="C25" s="118" t="s">
        <v>274</v>
      </c>
      <c r="D25" s="118" t="s">
        <v>275</v>
      </c>
      <c r="E25" s="118" t="s">
        <v>276</v>
      </c>
      <c r="F25" s="118" t="s">
        <v>277</v>
      </c>
      <c r="G25" s="118" t="s">
        <v>278</v>
      </c>
      <c r="H25" s="118" t="s">
        <v>279</v>
      </c>
    </row>
    <row r="26" spans="1:8" ht="18" customHeight="1">
      <c r="A26" s="119" t="s">
        <v>52</v>
      </c>
      <c r="B26" s="44" t="str">
        <f>IFERROR(VLOOKUP(A26,ARTICLES!$A$2:$B$485,2,0),"")</f>
        <v/>
      </c>
      <c r="C26" s="120" t="str">
        <f>IFERROR(VLOOKUP(A26,ARTICLES!$A$2:$E$485,5,0),"")</f>
        <v/>
      </c>
      <c r="D26" s="121">
        <f ca="1">IFERROR(SUMPRODUCT((MOUVEMENTS!$B$3:$B$500=A26)*(MOUVEMENTS!$D$3:$D$500="IN")*(MOUVEMENTS!$A$3:$A$500&gt;=B24)*(MOUVEMENTS!$A$3:$A$500&lt;=D24)*MOUVEMENTS!$E$3:$E$500),0)</f>
        <v>0</v>
      </c>
      <c r="E26" s="121">
        <f ca="1">IFERROR(SUMPRODUCT((MOUVEMENTS!$B$3:$B$500=A26)*(MOUVEMENTS!$D$3:$D$500="OUT")*(MOUVEMENTS!$A$3:$A$500&gt;=B24)*(MOUVEMENTS!$A$3:$A$500&lt;=D24)*MOUVEMENTS!$E$3:$E$500),0)</f>
        <v>1</v>
      </c>
      <c r="F26" s="122">
        <f t="shared" ref="F26:F37" ca="1" si="2">D26-E26</f>
        <v>-1</v>
      </c>
      <c r="G26" s="121">
        <f ca="1">IFERROR(F26*VLOOKUP(A26,ARTICLES!$A$2:$G$485,7,0),0)</f>
        <v>0</v>
      </c>
      <c r="H26" s="119" t="str">
        <f t="shared" ref="H26:H37" ca="1" si="3">IF(F26&lt;0,"!! NÉGATIF",IF(F26=0,"!! RUPTURE","OK"))</f>
        <v>!! NÉGATIF</v>
      </c>
    </row>
    <row r="27" spans="1:8" ht="18" customHeight="1">
      <c r="A27" s="123" t="s">
        <v>56</v>
      </c>
      <c r="B27" s="124" t="str">
        <f>IFERROR(VLOOKUP(A27,ARTICLES!$A$2:$B$485,2,0),"")</f>
        <v/>
      </c>
      <c r="C27" s="125" t="str">
        <f>IFERROR(VLOOKUP(A27,ARTICLES!$A$2:$E$485,5,0),"")</f>
        <v/>
      </c>
      <c r="D27" s="126">
        <f ca="1">IFERROR(SUMPRODUCT((MOUVEMENTS!$B$3:$B$500=A27)*(MOUVEMENTS!$D$3:$D$500="IN")*(MOUVEMENTS!$A$3:$A$500&gt;=B24)*(MOUVEMENTS!$A$3:$A$500&lt;=D24)*MOUVEMENTS!$E$3:$E$500),0)</f>
        <v>0</v>
      </c>
      <c r="E27" s="126">
        <f ca="1">IFERROR(SUMPRODUCT((MOUVEMENTS!$B$3:$B$500=A27)*(MOUVEMENTS!$D$3:$D$500="OUT")*(MOUVEMENTS!$A$3:$A$500&gt;=B24)*(MOUVEMENTS!$A$3:$A$500&lt;=D24)*MOUVEMENTS!$E$3:$E$500),0)</f>
        <v>0</v>
      </c>
      <c r="F27" s="127">
        <f t="shared" ca="1" si="2"/>
        <v>0</v>
      </c>
      <c r="G27" s="126">
        <f ca="1">IFERROR(F27*VLOOKUP(A27,ARTICLES!$A$2:$G$485,7,0),0)</f>
        <v>0</v>
      </c>
      <c r="H27" s="123" t="str">
        <f t="shared" ca="1" si="3"/>
        <v>!! RUPTURE</v>
      </c>
    </row>
    <row r="28" spans="1:8" ht="18" customHeight="1">
      <c r="A28" s="119" t="s">
        <v>59</v>
      </c>
      <c r="B28" s="44" t="str">
        <f>IFERROR(VLOOKUP(A28,ARTICLES!$A$2:$B$485,2,0),"")</f>
        <v/>
      </c>
      <c r="C28" s="120" t="str">
        <f>IFERROR(VLOOKUP(A28,ARTICLES!$A$2:$E$485,5,0),"")</f>
        <v/>
      </c>
      <c r="D28" s="121">
        <f ca="1">IFERROR(SUMPRODUCT((MOUVEMENTS!$B$3:$B$500=A28)*(MOUVEMENTS!$D$3:$D$500="IN")*(MOUVEMENTS!$A$3:$A$500&gt;=B24)*(MOUVEMENTS!$A$3:$A$500&lt;=D24)*MOUVEMENTS!$E$3:$E$500),0)</f>
        <v>0</v>
      </c>
      <c r="E28" s="121">
        <f ca="1">IFERROR(SUMPRODUCT((MOUVEMENTS!$B$3:$B$500=A28)*(MOUVEMENTS!$D$3:$D$500="OUT")*(MOUVEMENTS!$A$3:$A$500&gt;=B24)*(MOUVEMENTS!$A$3:$A$500&lt;=D24)*MOUVEMENTS!$E$3:$E$500),0)</f>
        <v>0</v>
      </c>
      <c r="F28" s="122">
        <f t="shared" ca="1" si="2"/>
        <v>0</v>
      </c>
      <c r="G28" s="121">
        <f ca="1">IFERROR(F28*VLOOKUP(A28,ARTICLES!$A$2:$G$485,7,0),0)</f>
        <v>0</v>
      </c>
      <c r="H28" s="119" t="str">
        <f t="shared" ca="1" si="3"/>
        <v>!! RUPTURE</v>
      </c>
    </row>
    <row r="29" spans="1:8" ht="18" customHeight="1">
      <c r="A29" s="123" t="s">
        <v>60</v>
      </c>
      <c r="B29" s="124" t="str">
        <f>IFERROR(VLOOKUP(A29,ARTICLES!$A$2:$B$485,2,0),"")</f>
        <v/>
      </c>
      <c r="C29" s="125" t="str">
        <f>IFERROR(VLOOKUP(A29,ARTICLES!$A$2:$E$485,5,0),"")</f>
        <v/>
      </c>
      <c r="D29" s="126">
        <f ca="1">IFERROR(SUMPRODUCT((MOUVEMENTS!$B$3:$B$500=A29)*(MOUVEMENTS!$D$3:$D$500="IN")*(MOUVEMENTS!$A$3:$A$500&gt;=B24)*(MOUVEMENTS!$A$3:$A$500&lt;=D24)*MOUVEMENTS!$E$3:$E$500),0)</f>
        <v>0</v>
      </c>
      <c r="E29" s="126">
        <f ca="1">IFERROR(SUMPRODUCT((MOUVEMENTS!$B$3:$B$500=A29)*(MOUVEMENTS!$D$3:$D$500="OUT")*(MOUVEMENTS!$A$3:$A$500&gt;=B24)*(MOUVEMENTS!$A$3:$A$500&lt;=D24)*MOUVEMENTS!$E$3:$E$500),0)</f>
        <v>0</v>
      </c>
      <c r="F29" s="127">
        <f t="shared" ca="1" si="2"/>
        <v>0</v>
      </c>
      <c r="G29" s="126">
        <f ca="1">IFERROR(F29*VLOOKUP(A29,ARTICLES!$A$2:$G$485,7,0),0)</f>
        <v>0</v>
      </c>
      <c r="H29" s="123" t="str">
        <f t="shared" ca="1" si="3"/>
        <v>!! RUPTURE</v>
      </c>
    </row>
    <row r="30" spans="1:8" ht="18" customHeight="1">
      <c r="A30" s="119" t="s">
        <v>62</v>
      </c>
      <c r="B30" s="44" t="str">
        <f>IFERROR(VLOOKUP(A30,ARTICLES!$A$2:$B$485,2,0),"")</f>
        <v/>
      </c>
      <c r="C30" s="120" t="str">
        <f>IFERROR(VLOOKUP(A30,ARTICLES!$A$2:$E$485,5,0),"")</f>
        <v/>
      </c>
      <c r="D30" s="121">
        <f ca="1">IFERROR(SUMPRODUCT((MOUVEMENTS!$B$3:$B$500=A30)*(MOUVEMENTS!$D$3:$D$500="IN")*(MOUVEMENTS!$A$3:$A$500&gt;=B24)*(MOUVEMENTS!$A$3:$A$500&lt;=D24)*MOUVEMENTS!$E$3:$E$500),0)</f>
        <v>0</v>
      </c>
      <c r="E30" s="121">
        <f ca="1">IFERROR(SUMPRODUCT((MOUVEMENTS!$B$3:$B$500=A30)*(MOUVEMENTS!$D$3:$D$500="OUT")*(MOUVEMENTS!$A$3:$A$500&gt;=B24)*(MOUVEMENTS!$A$3:$A$500&lt;=D24)*MOUVEMENTS!$E$3:$E$500),0)</f>
        <v>2</v>
      </c>
      <c r="F30" s="122">
        <f t="shared" ca="1" si="2"/>
        <v>-2</v>
      </c>
      <c r="G30" s="121">
        <f ca="1">IFERROR(F30*VLOOKUP(A30,ARTICLES!$A$2:$G$485,7,0),0)</f>
        <v>0</v>
      </c>
      <c r="H30" s="119" t="str">
        <f t="shared" ca="1" si="3"/>
        <v>!! NÉGATIF</v>
      </c>
    </row>
    <row r="31" spans="1:8" ht="18" customHeight="1">
      <c r="A31" s="123" t="s">
        <v>64</v>
      </c>
      <c r="B31" s="124" t="str">
        <f>IFERROR(VLOOKUP(A31,ARTICLES!$A$2:$B$485,2,0),"")</f>
        <v/>
      </c>
      <c r="C31" s="125" t="str">
        <f>IFERROR(VLOOKUP(A31,ARTICLES!$A$2:$E$485,5,0),"")</f>
        <v/>
      </c>
      <c r="D31" s="126">
        <f ca="1">IFERROR(SUMPRODUCT((MOUVEMENTS!$B$3:$B$500=A31)*(MOUVEMENTS!$D$3:$D$500="IN")*(MOUVEMENTS!$A$3:$A$500&gt;=B24)*(MOUVEMENTS!$A$3:$A$500&lt;=D24)*MOUVEMENTS!$E$3:$E$500),0)</f>
        <v>0</v>
      </c>
      <c r="E31" s="126">
        <f ca="1">IFERROR(SUMPRODUCT((MOUVEMENTS!$B$3:$B$500=A31)*(MOUVEMENTS!$D$3:$D$500="OUT")*(MOUVEMENTS!$A$3:$A$500&gt;=B24)*(MOUVEMENTS!$A$3:$A$500&lt;=D24)*MOUVEMENTS!$E$3:$E$500),0)</f>
        <v>7</v>
      </c>
      <c r="F31" s="127">
        <f t="shared" ca="1" si="2"/>
        <v>-7</v>
      </c>
      <c r="G31" s="126">
        <f ca="1">IFERROR(F31*VLOOKUP(A31,ARTICLES!$A$2:$G$485,7,0),0)</f>
        <v>0</v>
      </c>
      <c r="H31" s="123" t="str">
        <f t="shared" ca="1" si="3"/>
        <v>!! NÉGATIF</v>
      </c>
    </row>
    <row r="32" spans="1:8" ht="18" customHeight="1">
      <c r="A32" s="119" t="s">
        <v>66</v>
      </c>
      <c r="B32" s="44" t="str">
        <f>IFERROR(VLOOKUP(A32,ARTICLES!$A$2:$B$485,2,0),"")</f>
        <v/>
      </c>
      <c r="C32" s="120" t="str">
        <f>IFERROR(VLOOKUP(A32,ARTICLES!$A$2:$E$485,5,0),"")</f>
        <v/>
      </c>
      <c r="D32" s="121">
        <f ca="1">IFERROR(SUMPRODUCT((MOUVEMENTS!$B$3:$B$500=A32)*(MOUVEMENTS!$D$3:$D$500="IN")*(MOUVEMENTS!$A$3:$A$500&gt;=B24)*(MOUVEMENTS!$A$3:$A$500&lt;=D24)*MOUVEMENTS!$E$3:$E$500),0)</f>
        <v>0</v>
      </c>
      <c r="E32" s="121">
        <f ca="1">IFERROR(SUMPRODUCT((MOUVEMENTS!$B$3:$B$500=A32)*(MOUVEMENTS!$D$3:$D$500="OUT")*(MOUVEMENTS!$A$3:$A$500&gt;=B24)*(MOUVEMENTS!$A$3:$A$500&lt;=D24)*MOUVEMENTS!$E$3:$E$500),0)</f>
        <v>3</v>
      </c>
      <c r="F32" s="122">
        <f t="shared" ca="1" si="2"/>
        <v>-3</v>
      </c>
      <c r="G32" s="121">
        <f ca="1">IFERROR(F32*VLOOKUP(A32,ARTICLES!$A$2:$G$485,7,0),0)</f>
        <v>0</v>
      </c>
      <c r="H32" s="119" t="str">
        <f t="shared" ca="1" si="3"/>
        <v>!! NÉGATIF</v>
      </c>
    </row>
    <row r="33" spans="1:8" ht="18" customHeight="1">
      <c r="A33" s="123" t="s">
        <v>68</v>
      </c>
      <c r="B33" s="124" t="str">
        <f>IFERROR(VLOOKUP(A33,ARTICLES!$A$2:$B$485,2,0),"")</f>
        <v/>
      </c>
      <c r="C33" s="125" t="str">
        <f>IFERROR(VLOOKUP(A33,ARTICLES!$A$2:$E$485,5,0),"")</f>
        <v/>
      </c>
      <c r="D33" s="126">
        <f ca="1">IFERROR(SUMPRODUCT((MOUVEMENTS!$B$3:$B$500=A33)*(MOUVEMENTS!$D$3:$D$500="IN")*(MOUVEMENTS!$A$3:$A$500&gt;=B24)*(MOUVEMENTS!$A$3:$A$500&lt;=D24)*MOUVEMENTS!$E$3:$E$500),0)</f>
        <v>0</v>
      </c>
      <c r="E33" s="126">
        <f ca="1">IFERROR(SUMPRODUCT((MOUVEMENTS!$B$3:$B$500=A33)*(MOUVEMENTS!$D$3:$D$500="OUT")*(MOUVEMENTS!$A$3:$A$500&gt;=B24)*(MOUVEMENTS!$A$3:$A$500&lt;=D24)*MOUVEMENTS!$E$3:$E$500),0)</f>
        <v>0</v>
      </c>
      <c r="F33" s="127">
        <f t="shared" ca="1" si="2"/>
        <v>0</v>
      </c>
      <c r="G33" s="126">
        <f ca="1">IFERROR(F33*VLOOKUP(A33,ARTICLES!$A$2:$G$485,7,0),0)</f>
        <v>0</v>
      </c>
      <c r="H33" s="123" t="str">
        <f t="shared" ca="1" si="3"/>
        <v>!! RUPTURE</v>
      </c>
    </row>
    <row r="34" spans="1:8" ht="18" customHeight="1">
      <c r="A34" s="119" t="s">
        <v>69</v>
      </c>
      <c r="B34" s="44" t="str">
        <f>IFERROR(VLOOKUP(A34,ARTICLES!$A$2:$B$485,2,0),"")</f>
        <v/>
      </c>
      <c r="C34" s="120" t="str">
        <f>IFERROR(VLOOKUP(A34,ARTICLES!$A$2:$E$485,5,0),"")</f>
        <v/>
      </c>
      <c r="D34" s="121">
        <f ca="1">IFERROR(SUMPRODUCT((MOUVEMENTS!$B$3:$B$500=A34)*(MOUVEMENTS!$D$3:$D$500="IN")*(MOUVEMENTS!$A$3:$A$500&gt;=B24)*(MOUVEMENTS!$A$3:$A$500&lt;=D24)*MOUVEMENTS!$E$3:$E$500),0)</f>
        <v>0</v>
      </c>
      <c r="E34" s="121">
        <f ca="1">IFERROR(SUMPRODUCT((MOUVEMENTS!$B$3:$B$500=A34)*(MOUVEMENTS!$D$3:$D$500="OUT")*(MOUVEMENTS!$A$3:$A$500&gt;=B24)*(MOUVEMENTS!$A$3:$A$500&lt;=D24)*MOUVEMENTS!$E$3:$E$500),0)</f>
        <v>0</v>
      </c>
      <c r="F34" s="122">
        <f t="shared" ca="1" si="2"/>
        <v>0</v>
      </c>
      <c r="G34" s="121">
        <f ca="1">IFERROR(F34*VLOOKUP(A34,ARTICLES!$A$2:$G$485,7,0),0)</f>
        <v>0</v>
      </c>
      <c r="H34" s="119" t="str">
        <f t="shared" ca="1" si="3"/>
        <v>!! RUPTURE</v>
      </c>
    </row>
    <row r="35" spans="1:8" ht="18" customHeight="1">
      <c r="A35" s="123" t="s">
        <v>70</v>
      </c>
      <c r="B35" s="124" t="str">
        <f>IFERROR(VLOOKUP(A35,ARTICLES!$A$2:$B$485,2,0),"")</f>
        <v/>
      </c>
      <c r="C35" s="125" t="str">
        <f>IFERROR(VLOOKUP(A35,ARTICLES!$A$2:$E$485,5,0),"")</f>
        <v/>
      </c>
      <c r="D35" s="126">
        <f ca="1">IFERROR(SUMPRODUCT((MOUVEMENTS!$B$3:$B$500=A35)*(MOUVEMENTS!$D$3:$D$500="IN")*(MOUVEMENTS!$A$3:$A$500&gt;=B24)*(MOUVEMENTS!$A$3:$A$500&lt;=D24)*MOUVEMENTS!$E$3:$E$500),0)</f>
        <v>0</v>
      </c>
      <c r="E35" s="126">
        <f ca="1">IFERROR(SUMPRODUCT((MOUVEMENTS!$B$3:$B$500=A35)*(MOUVEMENTS!$D$3:$D$500="OUT")*(MOUVEMENTS!$A$3:$A$500&gt;=B24)*(MOUVEMENTS!$A$3:$A$500&lt;=D24)*MOUVEMENTS!$E$3:$E$500),0)</f>
        <v>1</v>
      </c>
      <c r="F35" s="127">
        <f t="shared" ca="1" si="2"/>
        <v>-1</v>
      </c>
      <c r="G35" s="126">
        <f ca="1">IFERROR(F35*VLOOKUP(A35,ARTICLES!$A$2:$G$485,7,0),0)</f>
        <v>0</v>
      </c>
      <c r="H35" s="123" t="str">
        <f t="shared" ca="1" si="3"/>
        <v>!! NÉGATIF</v>
      </c>
    </row>
    <row r="36" spans="1:8" ht="18" customHeight="1">
      <c r="A36" s="119" t="s">
        <v>72</v>
      </c>
      <c r="B36" s="44" t="str">
        <f>IFERROR(VLOOKUP(A36,ARTICLES!$A$2:$B$485,2,0),"")</f>
        <v/>
      </c>
      <c r="C36" s="120" t="str">
        <f>IFERROR(VLOOKUP(A36,ARTICLES!$A$2:$E$485,5,0),"")</f>
        <v/>
      </c>
      <c r="D36" s="121">
        <f ca="1">IFERROR(SUMPRODUCT((MOUVEMENTS!$B$3:$B$500=A36)*(MOUVEMENTS!$D$3:$D$500="IN")*(MOUVEMENTS!$A$3:$A$500&gt;=B24)*(MOUVEMENTS!$A$3:$A$500&lt;=D24)*MOUVEMENTS!$E$3:$E$500),0)</f>
        <v>0</v>
      </c>
      <c r="E36" s="121">
        <f ca="1">IFERROR(SUMPRODUCT((MOUVEMENTS!$B$3:$B$500=A36)*(MOUVEMENTS!$D$3:$D$500="OUT")*(MOUVEMENTS!$A$3:$A$500&gt;=B24)*(MOUVEMENTS!$A$3:$A$500&lt;=D24)*MOUVEMENTS!$E$3:$E$500),0)</f>
        <v>0</v>
      </c>
      <c r="F36" s="122">
        <f t="shared" ca="1" si="2"/>
        <v>0</v>
      </c>
      <c r="G36" s="121">
        <f ca="1">IFERROR(F36*VLOOKUP(A36,ARTICLES!$A$2:$G$485,7,0),0)</f>
        <v>0</v>
      </c>
      <c r="H36" s="119" t="str">
        <f t="shared" ca="1" si="3"/>
        <v>!! RUPTURE</v>
      </c>
    </row>
    <row r="37" spans="1:8" ht="18" customHeight="1">
      <c r="A37" s="123" t="s">
        <v>73</v>
      </c>
      <c r="B37" s="124" t="str">
        <f>IFERROR(VLOOKUP(A37,ARTICLES!$A$2:$B$485,2,0),"")</f>
        <v/>
      </c>
      <c r="C37" s="125" t="str">
        <f>IFERROR(VLOOKUP(A37,ARTICLES!$A$2:$E$485,5,0),"")</f>
        <v/>
      </c>
      <c r="D37" s="126">
        <f ca="1">IFERROR(SUMPRODUCT((MOUVEMENTS!$B$3:$B$500=A37)*(MOUVEMENTS!$D$3:$D$500="IN")*(MOUVEMENTS!$A$3:$A$500&gt;=B24)*(MOUVEMENTS!$A$3:$A$500&lt;=D24)*MOUVEMENTS!$E$3:$E$500),0)</f>
        <v>0</v>
      </c>
      <c r="E37" s="126">
        <f ca="1">IFERROR(SUMPRODUCT((MOUVEMENTS!$B$3:$B$500=A37)*(MOUVEMENTS!$D$3:$D$500="OUT")*(MOUVEMENTS!$A$3:$A$500&gt;=B24)*(MOUVEMENTS!$A$3:$A$500&lt;=D24)*MOUVEMENTS!$E$3:$E$500),0)</f>
        <v>0</v>
      </c>
      <c r="F37" s="127">
        <f t="shared" ca="1" si="2"/>
        <v>0</v>
      </c>
      <c r="G37" s="126">
        <f ca="1">IFERROR(F37*VLOOKUP(A37,ARTICLES!$A$2:$G$485,7,0),0)</f>
        <v>0</v>
      </c>
      <c r="H37" s="123" t="str">
        <f t="shared" ca="1" si="3"/>
        <v>!! RUPTURE</v>
      </c>
    </row>
    <row r="38" spans="1:8" ht="21.75" customHeight="1">
      <c r="A38" s="128" t="s">
        <v>244</v>
      </c>
      <c r="B38" s="253" t="s">
        <v>280</v>
      </c>
      <c r="C38" s="220"/>
      <c r="D38" s="129">
        <f ca="1">SUM(D26:D37)</f>
        <v>0</v>
      </c>
      <c r="E38" s="129">
        <f ca="1">SUM(E26:E37)</f>
        <v>14</v>
      </c>
      <c r="F38" s="129">
        <f ca="1">SUM(F26:F37)</f>
        <v>-14</v>
      </c>
      <c r="G38" s="129">
        <f ca="1">SUM(G26:G37)</f>
        <v>0</v>
      </c>
      <c r="H38" s="130"/>
    </row>
    <row r="39" spans="1:8" ht="25.5" customHeight="1">
      <c r="A39" s="250" t="s">
        <v>283</v>
      </c>
      <c r="B39" s="226"/>
      <c r="C39" s="226"/>
      <c r="D39" s="226"/>
      <c r="E39" s="226"/>
      <c r="F39" s="226"/>
      <c r="G39" s="226"/>
      <c r="H39" s="226"/>
    </row>
    <row r="42" spans="1:8" ht="24" customHeight="1">
      <c r="A42" s="251" t="s">
        <v>284</v>
      </c>
      <c r="B42" s="219"/>
      <c r="C42" s="219"/>
      <c r="D42" s="219"/>
      <c r="E42" s="219"/>
      <c r="F42" s="219"/>
      <c r="G42" s="219"/>
      <c r="H42" s="220"/>
    </row>
    <row r="43" spans="1:8" ht="21.75" customHeight="1">
      <c r="A43" s="115" t="s">
        <v>269</v>
      </c>
      <c r="B43" s="132"/>
      <c r="C43" s="117" t="s">
        <v>270</v>
      </c>
      <c r="D43" s="132"/>
      <c r="E43" s="252" t="s">
        <v>271</v>
      </c>
      <c r="F43" s="205"/>
      <c r="G43" s="205"/>
      <c r="H43" s="205"/>
    </row>
    <row r="44" spans="1:8" ht="31.5" customHeight="1">
      <c r="A44" s="118" t="s">
        <v>272</v>
      </c>
      <c r="B44" s="118" t="s">
        <v>273</v>
      </c>
      <c r="C44" s="118" t="s">
        <v>274</v>
      </c>
      <c r="D44" s="118" t="s">
        <v>275</v>
      </c>
      <c r="E44" s="118" t="s">
        <v>276</v>
      </c>
      <c r="F44" s="118" t="s">
        <v>277</v>
      </c>
      <c r="G44" s="118" t="s">
        <v>278</v>
      </c>
      <c r="H44" s="118" t="s">
        <v>279</v>
      </c>
    </row>
    <row r="45" spans="1:8" ht="18" customHeight="1">
      <c r="A45" s="119" t="s">
        <v>52</v>
      </c>
      <c r="B45" s="44" t="str">
        <f>IFERROR(VLOOKUP(A45,ARTICLES!$A$2:$B$485,2,0),"")</f>
        <v/>
      </c>
      <c r="C45" s="120" t="str">
        <f>IFERROR(VLOOKUP(A45,ARTICLES!$A$2:$E$485,5,0),"")</f>
        <v/>
      </c>
      <c r="D45" s="121">
        <f>IFERROR(SUMPRODUCT((MOUVEMENTS!$B$3:$B$500=A45)*(MOUVEMENTS!$D$3:$D$500="IN")*(MOUVEMENTS!$A$3:$A$500&gt;=B43)*(MOUVEMENTS!$A$3:$A$500&lt;=D43)*MOUVEMENTS!$E$3:$E$500),0)</f>
        <v>0</v>
      </c>
      <c r="E45" s="121">
        <f>IFERROR(SUMPRODUCT((MOUVEMENTS!$B$3:$B$500=A45)*(MOUVEMENTS!$D$3:$D$500="OUT")*(MOUVEMENTS!$A$3:$A$500&gt;=B43)*(MOUVEMENTS!$A$3:$A$500&lt;=D43)*MOUVEMENTS!$E$3:$E$500),0)</f>
        <v>0</v>
      </c>
      <c r="F45" s="122">
        <f t="shared" ref="F45:F56" si="4">D45-E45</f>
        <v>0</v>
      </c>
      <c r="G45" s="121">
        <f>IFERROR(F45*VLOOKUP(A45,ARTICLES!$A$2:$G$485,7,0),0)</f>
        <v>0</v>
      </c>
      <c r="H45" s="119" t="str">
        <f t="shared" ref="H45:H56" si="5">IF(F45&lt;0,"!! NÉGATIF",IF(F45=0,"!! RUPTURE","OK"))</f>
        <v>!! RUPTURE</v>
      </c>
    </row>
    <row r="46" spans="1:8" ht="18" customHeight="1">
      <c r="A46" s="123" t="s">
        <v>56</v>
      </c>
      <c r="B46" s="124" t="str">
        <f>IFERROR(VLOOKUP(A46,ARTICLES!$A$2:$B$485,2,0),"")</f>
        <v/>
      </c>
      <c r="C46" s="125" t="str">
        <f>IFERROR(VLOOKUP(A46,ARTICLES!$A$2:$E$485,5,0),"")</f>
        <v/>
      </c>
      <c r="D46" s="126">
        <f>IFERROR(SUMPRODUCT((MOUVEMENTS!$B$3:$B$500=A46)*(MOUVEMENTS!$D$3:$D$500="IN")*(MOUVEMENTS!$A$3:$A$500&gt;=B43)*(MOUVEMENTS!$A$3:$A$500&lt;=D43)*MOUVEMENTS!$E$3:$E$500),0)</f>
        <v>0</v>
      </c>
      <c r="E46" s="126">
        <f>IFERROR(SUMPRODUCT((MOUVEMENTS!$B$3:$B$500=A46)*(MOUVEMENTS!$D$3:$D$500="OUT")*(MOUVEMENTS!$A$3:$A$500&gt;=B43)*(MOUVEMENTS!$A$3:$A$500&lt;=D43)*MOUVEMENTS!$E$3:$E$500),0)</f>
        <v>0</v>
      </c>
      <c r="F46" s="127">
        <f t="shared" si="4"/>
        <v>0</v>
      </c>
      <c r="G46" s="126">
        <f>IFERROR(F46*VLOOKUP(A46,ARTICLES!$A$2:$G$485,7,0),0)</f>
        <v>0</v>
      </c>
      <c r="H46" s="123" t="str">
        <f t="shared" si="5"/>
        <v>!! RUPTURE</v>
      </c>
    </row>
    <row r="47" spans="1:8" ht="18" customHeight="1">
      <c r="A47" s="119" t="s">
        <v>59</v>
      </c>
      <c r="B47" s="44" t="str">
        <f>IFERROR(VLOOKUP(A47,ARTICLES!$A$2:$B$485,2,0),"")</f>
        <v/>
      </c>
      <c r="C47" s="120" t="str">
        <f>IFERROR(VLOOKUP(A47,ARTICLES!$A$2:$E$485,5,0),"")</f>
        <v/>
      </c>
      <c r="D47" s="121">
        <f>IFERROR(SUMPRODUCT((MOUVEMENTS!$B$3:$B$500=A47)*(MOUVEMENTS!$D$3:$D$500="IN")*(MOUVEMENTS!$A$3:$A$500&gt;=B43)*(MOUVEMENTS!$A$3:$A$500&lt;=D43)*MOUVEMENTS!$E$3:$E$500),0)</f>
        <v>0</v>
      </c>
      <c r="E47" s="121">
        <f>IFERROR(SUMPRODUCT((MOUVEMENTS!$B$3:$B$500=A47)*(MOUVEMENTS!$D$3:$D$500="OUT")*(MOUVEMENTS!$A$3:$A$500&gt;=B43)*(MOUVEMENTS!$A$3:$A$500&lt;=D43)*MOUVEMENTS!$E$3:$E$500),0)</f>
        <v>0</v>
      </c>
      <c r="F47" s="122">
        <f t="shared" si="4"/>
        <v>0</v>
      </c>
      <c r="G47" s="121">
        <f>IFERROR(F47*VLOOKUP(A47,ARTICLES!$A$2:$G$485,7,0),0)</f>
        <v>0</v>
      </c>
      <c r="H47" s="119" t="str">
        <f t="shared" si="5"/>
        <v>!! RUPTURE</v>
      </c>
    </row>
    <row r="48" spans="1:8" ht="18" customHeight="1">
      <c r="A48" s="123" t="s">
        <v>60</v>
      </c>
      <c r="B48" s="124" t="str">
        <f>IFERROR(VLOOKUP(A48,ARTICLES!$A$2:$B$485,2,0),"")</f>
        <v/>
      </c>
      <c r="C48" s="125" t="str">
        <f>IFERROR(VLOOKUP(A48,ARTICLES!$A$2:$E$485,5,0),"")</f>
        <v/>
      </c>
      <c r="D48" s="126">
        <f>IFERROR(SUMPRODUCT((MOUVEMENTS!$B$3:$B$500=A48)*(MOUVEMENTS!$D$3:$D$500="IN")*(MOUVEMENTS!$A$3:$A$500&gt;=B43)*(MOUVEMENTS!$A$3:$A$500&lt;=D43)*MOUVEMENTS!$E$3:$E$500),0)</f>
        <v>0</v>
      </c>
      <c r="E48" s="126">
        <f>IFERROR(SUMPRODUCT((MOUVEMENTS!$B$3:$B$500=A48)*(MOUVEMENTS!$D$3:$D$500="OUT")*(MOUVEMENTS!$A$3:$A$500&gt;=B43)*(MOUVEMENTS!$A$3:$A$500&lt;=D43)*MOUVEMENTS!$E$3:$E$500),0)</f>
        <v>0</v>
      </c>
      <c r="F48" s="127">
        <f t="shared" si="4"/>
        <v>0</v>
      </c>
      <c r="G48" s="126">
        <f>IFERROR(F48*VLOOKUP(A48,ARTICLES!$A$2:$G$485,7,0),0)</f>
        <v>0</v>
      </c>
      <c r="H48" s="123" t="str">
        <f t="shared" si="5"/>
        <v>!! RUPTURE</v>
      </c>
    </row>
    <row r="49" spans="1:8" ht="18" customHeight="1">
      <c r="A49" s="119" t="s">
        <v>62</v>
      </c>
      <c r="B49" s="44" t="str">
        <f>IFERROR(VLOOKUP(A49,ARTICLES!$A$2:$B$485,2,0),"")</f>
        <v/>
      </c>
      <c r="C49" s="120" t="str">
        <f>IFERROR(VLOOKUP(A49,ARTICLES!$A$2:$E$485,5,0),"")</f>
        <v/>
      </c>
      <c r="D49" s="121">
        <f>IFERROR(SUMPRODUCT((MOUVEMENTS!$B$3:$B$500=A49)*(MOUVEMENTS!$D$3:$D$500="IN")*(MOUVEMENTS!$A$3:$A$500&gt;=B43)*(MOUVEMENTS!$A$3:$A$500&lt;=D43)*MOUVEMENTS!$E$3:$E$500),0)</f>
        <v>0</v>
      </c>
      <c r="E49" s="121">
        <f>IFERROR(SUMPRODUCT((MOUVEMENTS!$B$3:$B$500=A49)*(MOUVEMENTS!$D$3:$D$500="OUT")*(MOUVEMENTS!$A$3:$A$500&gt;=B43)*(MOUVEMENTS!$A$3:$A$500&lt;=D43)*MOUVEMENTS!$E$3:$E$500),0)</f>
        <v>0</v>
      </c>
      <c r="F49" s="122">
        <f t="shared" si="4"/>
        <v>0</v>
      </c>
      <c r="G49" s="121">
        <f>IFERROR(F49*VLOOKUP(A49,ARTICLES!$A$2:$G$485,7,0),0)</f>
        <v>0</v>
      </c>
      <c r="H49" s="119" t="str">
        <f t="shared" si="5"/>
        <v>!! RUPTURE</v>
      </c>
    </row>
    <row r="50" spans="1:8" ht="18" customHeight="1">
      <c r="A50" s="123" t="s">
        <v>64</v>
      </c>
      <c r="B50" s="124" t="str">
        <f>IFERROR(VLOOKUP(A50,ARTICLES!$A$2:$B$485,2,0),"")</f>
        <v/>
      </c>
      <c r="C50" s="125" t="str">
        <f>IFERROR(VLOOKUP(A50,ARTICLES!$A$2:$E$485,5,0),"")</f>
        <v/>
      </c>
      <c r="D50" s="126">
        <f>IFERROR(SUMPRODUCT((MOUVEMENTS!$B$3:$B$500=A50)*(MOUVEMENTS!$D$3:$D$500="IN")*(MOUVEMENTS!$A$3:$A$500&gt;=B43)*(MOUVEMENTS!$A$3:$A$500&lt;=D43)*MOUVEMENTS!$E$3:$E$500),0)</f>
        <v>0</v>
      </c>
      <c r="E50" s="126">
        <f>IFERROR(SUMPRODUCT((MOUVEMENTS!$B$3:$B$500=A50)*(MOUVEMENTS!$D$3:$D$500="OUT")*(MOUVEMENTS!$A$3:$A$500&gt;=B43)*(MOUVEMENTS!$A$3:$A$500&lt;=D43)*MOUVEMENTS!$E$3:$E$500),0)</f>
        <v>0</v>
      </c>
      <c r="F50" s="127">
        <f t="shared" si="4"/>
        <v>0</v>
      </c>
      <c r="G50" s="126">
        <f>IFERROR(F50*VLOOKUP(A50,ARTICLES!$A$2:$G$485,7,0),0)</f>
        <v>0</v>
      </c>
      <c r="H50" s="123" t="str">
        <f t="shared" si="5"/>
        <v>!! RUPTURE</v>
      </c>
    </row>
    <row r="51" spans="1:8" ht="18" customHeight="1">
      <c r="A51" s="119" t="s">
        <v>66</v>
      </c>
      <c r="B51" s="44" t="str">
        <f>IFERROR(VLOOKUP(A51,ARTICLES!$A$2:$B$485,2,0),"")</f>
        <v/>
      </c>
      <c r="C51" s="120" t="str">
        <f>IFERROR(VLOOKUP(A51,ARTICLES!$A$2:$E$485,5,0),"")</f>
        <v/>
      </c>
      <c r="D51" s="121">
        <f>IFERROR(SUMPRODUCT((MOUVEMENTS!$B$3:$B$500=A51)*(MOUVEMENTS!$D$3:$D$500="IN")*(MOUVEMENTS!$A$3:$A$500&gt;=B43)*(MOUVEMENTS!$A$3:$A$500&lt;=D43)*MOUVEMENTS!$E$3:$E$500),0)</f>
        <v>0</v>
      </c>
      <c r="E51" s="121">
        <f>IFERROR(SUMPRODUCT((MOUVEMENTS!$B$3:$B$500=A51)*(MOUVEMENTS!$D$3:$D$500="OUT")*(MOUVEMENTS!$A$3:$A$500&gt;=B43)*(MOUVEMENTS!$A$3:$A$500&lt;=D43)*MOUVEMENTS!$E$3:$E$500),0)</f>
        <v>0</v>
      </c>
      <c r="F51" s="122">
        <f t="shared" si="4"/>
        <v>0</v>
      </c>
      <c r="G51" s="121">
        <f>IFERROR(F51*VLOOKUP(A51,ARTICLES!$A$2:$G$485,7,0),0)</f>
        <v>0</v>
      </c>
      <c r="H51" s="119" t="str">
        <f t="shared" si="5"/>
        <v>!! RUPTURE</v>
      </c>
    </row>
    <row r="52" spans="1:8" ht="18" customHeight="1">
      <c r="A52" s="123" t="s">
        <v>68</v>
      </c>
      <c r="B52" s="124" t="str">
        <f>IFERROR(VLOOKUP(A52,ARTICLES!$A$2:$B$485,2,0),"")</f>
        <v/>
      </c>
      <c r="C52" s="125" t="str">
        <f>IFERROR(VLOOKUP(A52,ARTICLES!$A$2:$E$485,5,0),"")</f>
        <v/>
      </c>
      <c r="D52" s="126">
        <f>IFERROR(SUMPRODUCT((MOUVEMENTS!$B$3:$B$500=A52)*(MOUVEMENTS!$D$3:$D$500="IN")*(MOUVEMENTS!$A$3:$A$500&gt;=B43)*(MOUVEMENTS!$A$3:$A$500&lt;=D43)*MOUVEMENTS!$E$3:$E$500),0)</f>
        <v>0</v>
      </c>
      <c r="E52" s="126">
        <f>IFERROR(SUMPRODUCT((MOUVEMENTS!$B$3:$B$500=A52)*(MOUVEMENTS!$D$3:$D$500="OUT")*(MOUVEMENTS!$A$3:$A$500&gt;=B43)*(MOUVEMENTS!$A$3:$A$500&lt;=D43)*MOUVEMENTS!$E$3:$E$500),0)</f>
        <v>0</v>
      </c>
      <c r="F52" s="127">
        <f t="shared" si="4"/>
        <v>0</v>
      </c>
      <c r="G52" s="126">
        <f>IFERROR(F52*VLOOKUP(A52,ARTICLES!$A$2:$G$485,7,0),0)</f>
        <v>0</v>
      </c>
      <c r="H52" s="123" t="str">
        <f t="shared" si="5"/>
        <v>!! RUPTURE</v>
      </c>
    </row>
    <row r="53" spans="1:8" ht="18" customHeight="1">
      <c r="A53" s="119" t="s">
        <v>69</v>
      </c>
      <c r="B53" s="44" t="str">
        <f>IFERROR(VLOOKUP(A53,ARTICLES!$A$2:$B$485,2,0),"")</f>
        <v/>
      </c>
      <c r="C53" s="120" t="str">
        <f>IFERROR(VLOOKUP(A53,ARTICLES!$A$2:$E$485,5,0),"")</f>
        <v/>
      </c>
      <c r="D53" s="121">
        <f>IFERROR(SUMPRODUCT((MOUVEMENTS!$B$3:$B$500=A53)*(MOUVEMENTS!$D$3:$D$500="IN")*(MOUVEMENTS!$A$3:$A$500&gt;=B43)*(MOUVEMENTS!$A$3:$A$500&lt;=D43)*MOUVEMENTS!$E$3:$E$500),0)</f>
        <v>0</v>
      </c>
      <c r="E53" s="121">
        <f>IFERROR(SUMPRODUCT((MOUVEMENTS!$B$3:$B$500=A53)*(MOUVEMENTS!$D$3:$D$500="OUT")*(MOUVEMENTS!$A$3:$A$500&gt;=B43)*(MOUVEMENTS!$A$3:$A$500&lt;=D43)*MOUVEMENTS!$E$3:$E$500),0)</f>
        <v>0</v>
      </c>
      <c r="F53" s="122">
        <f t="shared" si="4"/>
        <v>0</v>
      </c>
      <c r="G53" s="121">
        <f>IFERROR(F53*VLOOKUP(A53,ARTICLES!$A$2:$G$485,7,0),0)</f>
        <v>0</v>
      </c>
      <c r="H53" s="119" t="str">
        <f t="shared" si="5"/>
        <v>!! RUPTURE</v>
      </c>
    </row>
    <row r="54" spans="1:8" ht="18" customHeight="1">
      <c r="A54" s="123" t="s">
        <v>70</v>
      </c>
      <c r="B54" s="124" t="str">
        <f>IFERROR(VLOOKUP(A54,ARTICLES!$A$2:$B$485,2,0),"")</f>
        <v/>
      </c>
      <c r="C54" s="125" t="str">
        <f>IFERROR(VLOOKUP(A54,ARTICLES!$A$2:$E$485,5,0),"")</f>
        <v/>
      </c>
      <c r="D54" s="126">
        <f>IFERROR(SUMPRODUCT((MOUVEMENTS!$B$3:$B$500=A54)*(MOUVEMENTS!$D$3:$D$500="IN")*(MOUVEMENTS!$A$3:$A$500&gt;=B43)*(MOUVEMENTS!$A$3:$A$500&lt;=D43)*MOUVEMENTS!$E$3:$E$500),0)</f>
        <v>0</v>
      </c>
      <c r="E54" s="126">
        <f>IFERROR(SUMPRODUCT((MOUVEMENTS!$B$3:$B$500=A54)*(MOUVEMENTS!$D$3:$D$500="OUT")*(MOUVEMENTS!$A$3:$A$500&gt;=B43)*(MOUVEMENTS!$A$3:$A$500&lt;=D43)*MOUVEMENTS!$E$3:$E$500),0)</f>
        <v>0</v>
      </c>
      <c r="F54" s="127">
        <f t="shared" si="4"/>
        <v>0</v>
      </c>
      <c r="G54" s="126">
        <f>IFERROR(F54*VLOOKUP(A54,ARTICLES!$A$2:$G$485,7,0),0)</f>
        <v>0</v>
      </c>
      <c r="H54" s="123" t="str">
        <f t="shared" si="5"/>
        <v>!! RUPTURE</v>
      </c>
    </row>
    <row r="55" spans="1:8" ht="18" customHeight="1">
      <c r="A55" s="119" t="s">
        <v>72</v>
      </c>
      <c r="B55" s="44" t="str">
        <f>IFERROR(VLOOKUP(A55,ARTICLES!$A$2:$B$485,2,0),"")</f>
        <v/>
      </c>
      <c r="C55" s="120" t="str">
        <f>IFERROR(VLOOKUP(A55,ARTICLES!$A$2:$E$485,5,0),"")</f>
        <v/>
      </c>
      <c r="D55" s="121">
        <f>IFERROR(SUMPRODUCT((MOUVEMENTS!$B$3:$B$500=A55)*(MOUVEMENTS!$D$3:$D$500="IN")*(MOUVEMENTS!$A$3:$A$500&gt;=B43)*(MOUVEMENTS!$A$3:$A$500&lt;=D43)*MOUVEMENTS!$E$3:$E$500),0)</f>
        <v>0</v>
      </c>
      <c r="E55" s="121">
        <f>IFERROR(SUMPRODUCT((MOUVEMENTS!$B$3:$B$500=A55)*(MOUVEMENTS!$D$3:$D$500="OUT")*(MOUVEMENTS!$A$3:$A$500&gt;=B43)*(MOUVEMENTS!$A$3:$A$500&lt;=D43)*MOUVEMENTS!$E$3:$E$500),0)</f>
        <v>0</v>
      </c>
      <c r="F55" s="122">
        <f t="shared" si="4"/>
        <v>0</v>
      </c>
      <c r="G55" s="121">
        <f>IFERROR(F55*VLOOKUP(A55,ARTICLES!$A$2:$G$485,7,0),0)</f>
        <v>0</v>
      </c>
      <c r="H55" s="119" t="str">
        <f t="shared" si="5"/>
        <v>!! RUPTURE</v>
      </c>
    </row>
    <row r="56" spans="1:8" ht="18" customHeight="1">
      <c r="A56" s="123" t="s">
        <v>73</v>
      </c>
      <c r="B56" s="124" t="str">
        <f>IFERROR(VLOOKUP(A56,ARTICLES!$A$2:$B$485,2,0),"")</f>
        <v/>
      </c>
      <c r="C56" s="125" t="str">
        <f>IFERROR(VLOOKUP(A56,ARTICLES!$A$2:$E$485,5,0),"")</f>
        <v/>
      </c>
      <c r="D56" s="126">
        <f>IFERROR(SUMPRODUCT((MOUVEMENTS!$B$3:$B$500=A56)*(MOUVEMENTS!$D$3:$D$500="IN")*(MOUVEMENTS!$A$3:$A$500&gt;=B43)*(MOUVEMENTS!$A$3:$A$500&lt;=D43)*MOUVEMENTS!$E$3:$E$500),0)</f>
        <v>0</v>
      </c>
      <c r="E56" s="126">
        <f>IFERROR(SUMPRODUCT((MOUVEMENTS!$B$3:$B$500=A56)*(MOUVEMENTS!$D$3:$D$500="OUT")*(MOUVEMENTS!$A$3:$A$500&gt;=B43)*(MOUVEMENTS!$A$3:$A$500&lt;=D43)*MOUVEMENTS!$E$3:$E$500),0)</f>
        <v>0</v>
      </c>
      <c r="F56" s="127">
        <f t="shared" si="4"/>
        <v>0</v>
      </c>
      <c r="G56" s="126">
        <f>IFERROR(F56*VLOOKUP(A56,ARTICLES!$A$2:$G$485,7,0),0)</f>
        <v>0</v>
      </c>
      <c r="H56" s="123" t="str">
        <f t="shared" si="5"/>
        <v>!! RUPTURE</v>
      </c>
    </row>
    <row r="57" spans="1:8" ht="21.75" customHeight="1">
      <c r="A57" s="128" t="s">
        <v>244</v>
      </c>
      <c r="B57" s="253" t="s">
        <v>280</v>
      </c>
      <c r="C57" s="220"/>
      <c r="D57" s="129">
        <f>SUM(D45:D56)</f>
        <v>0</v>
      </c>
      <c r="E57" s="129">
        <f>SUM(E45:E56)</f>
        <v>0</v>
      </c>
      <c r="F57" s="129">
        <f>SUM(F45:F56)</f>
        <v>0</v>
      </c>
      <c r="G57" s="129">
        <f>SUM(G45:G56)</f>
        <v>0</v>
      </c>
      <c r="H57" s="130"/>
    </row>
    <row r="58" spans="1:8" ht="25.5" customHeight="1">
      <c r="A58" s="250" t="s">
        <v>285</v>
      </c>
      <c r="B58" s="226"/>
      <c r="C58" s="226"/>
      <c r="D58" s="226"/>
      <c r="E58" s="226"/>
      <c r="F58" s="226"/>
      <c r="G58" s="226"/>
      <c r="H58" s="226"/>
    </row>
    <row r="61" spans="1:8" ht="24" customHeight="1">
      <c r="A61" s="251" t="s">
        <v>286</v>
      </c>
      <c r="B61" s="219"/>
      <c r="C61" s="219"/>
      <c r="D61" s="219"/>
      <c r="E61" s="219"/>
      <c r="F61" s="219"/>
      <c r="G61" s="219"/>
      <c r="H61" s="220"/>
    </row>
    <row r="62" spans="1:8" ht="21.75" customHeight="1">
      <c r="A62" s="115" t="s">
        <v>269</v>
      </c>
      <c r="B62" s="132"/>
      <c r="C62" s="117" t="s">
        <v>270</v>
      </c>
      <c r="D62" s="132"/>
      <c r="E62" s="252" t="s">
        <v>271</v>
      </c>
      <c r="F62" s="205"/>
      <c r="G62" s="205"/>
      <c r="H62" s="205"/>
    </row>
    <row r="63" spans="1:8" ht="31.5" customHeight="1">
      <c r="A63" s="118" t="s">
        <v>272</v>
      </c>
      <c r="B63" s="118" t="s">
        <v>273</v>
      </c>
      <c r="C63" s="118" t="s">
        <v>274</v>
      </c>
      <c r="D63" s="118" t="s">
        <v>275</v>
      </c>
      <c r="E63" s="118" t="s">
        <v>276</v>
      </c>
      <c r="F63" s="118" t="s">
        <v>277</v>
      </c>
      <c r="G63" s="118" t="s">
        <v>278</v>
      </c>
      <c r="H63" s="118" t="s">
        <v>279</v>
      </c>
    </row>
    <row r="64" spans="1:8" ht="18" customHeight="1">
      <c r="A64" s="119" t="s">
        <v>52</v>
      </c>
      <c r="B64" s="44" t="str">
        <f>IFERROR(VLOOKUP(A64,ARTICLES!$A$2:$B$485,2,0),"")</f>
        <v/>
      </c>
      <c r="C64" s="120" t="str">
        <f>IFERROR(VLOOKUP(A64,ARTICLES!$A$2:$E$485,5,0),"")</f>
        <v/>
      </c>
      <c r="D64" s="121">
        <f>IFERROR(SUMPRODUCT((MOUVEMENTS!$B$3:$B$500=A64)*(MOUVEMENTS!$D$3:$D$500="IN")*(MOUVEMENTS!$A$3:$A$500&gt;=B62)*(MOUVEMENTS!$A$3:$A$500&lt;=D62)*MOUVEMENTS!$E$3:$E$500),0)</f>
        <v>0</v>
      </c>
      <c r="E64" s="121">
        <f>IFERROR(SUMPRODUCT((MOUVEMENTS!$B$3:$B$500=A64)*(MOUVEMENTS!$D$3:$D$500="OUT")*(MOUVEMENTS!$A$3:$A$500&gt;=B62)*(MOUVEMENTS!$A$3:$A$500&lt;=D62)*MOUVEMENTS!$E$3:$E$500),0)</f>
        <v>0</v>
      </c>
      <c r="F64" s="122">
        <f t="shared" ref="F64:F75" si="6">D64-E64</f>
        <v>0</v>
      </c>
      <c r="G64" s="121">
        <f>IFERROR(F64*VLOOKUP(A64,ARTICLES!$A$2:$G$485,7,0),0)</f>
        <v>0</v>
      </c>
      <c r="H64" s="119" t="str">
        <f t="shared" ref="H64:H75" si="7">IF(F64&lt;0,"!! NÉGATIF",IF(F64=0,"!! RUPTURE","OK"))</f>
        <v>!! RUPTURE</v>
      </c>
    </row>
    <row r="65" spans="1:8" ht="18" customHeight="1">
      <c r="A65" s="123" t="s">
        <v>56</v>
      </c>
      <c r="B65" s="124" t="str">
        <f>IFERROR(VLOOKUP(A65,ARTICLES!$A$2:$B$485,2,0),"")</f>
        <v/>
      </c>
      <c r="C65" s="125" t="str">
        <f>IFERROR(VLOOKUP(A65,ARTICLES!$A$2:$E$485,5,0),"")</f>
        <v/>
      </c>
      <c r="D65" s="126">
        <f>IFERROR(SUMPRODUCT((MOUVEMENTS!$B$3:$B$500=A65)*(MOUVEMENTS!$D$3:$D$500="IN")*(MOUVEMENTS!$A$3:$A$500&gt;=B62)*(MOUVEMENTS!$A$3:$A$500&lt;=D62)*MOUVEMENTS!$E$3:$E$500),0)</f>
        <v>0</v>
      </c>
      <c r="E65" s="126">
        <f>IFERROR(SUMPRODUCT((MOUVEMENTS!$B$3:$B$500=A65)*(MOUVEMENTS!$D$3:$D$500="OUT")*(MOUVEMENTS!$A$3:$A$500&gt;=B62)*(MOUVEMENTS!$A$3:$A$500&lt;=D62)*MOUVEMENTS!$E$3:$E$500),0)</f>
        <v>0</v>
      </c>
      <c r="F65" s="127">
        <f t="shared" si="6"/>
        <v>0</v>
      </c>
      <c r="G65" s="126">
        <f>IFERROR(F65*VLOOKUP(A65,ARTICLES!$A$2:$G$485,7,0),0)</f>
        <v>0</v>
      </c>
      <c r="H65" s="123" t="str">
        <f t="shared" si="7"/>
        <v>!! RUPTURE</v>
      </c>
    </row>
    <row r="66" spans="1:8" ht="18" customHeight="1">
      <c r="A66" s="119" t="s">
        <v>59</v>
      </c>
      <c r="B66" s="44" t="str">
        <f>IFERROR(VLOOKUP(A66,ARTICLES!$A$2:$B$485,2,0),"")</f>
        <v/>
      </c>
      <c r="C66" s="120" t="str">
        <f>IFERROR(VLOOKUP(A66,ARTICLES!$A$2:$E$485,5,0),"")</f>
        <v/>
      </c>
      <c r="D66" s="121">
        <f>IFERROR(SUMPRODUCT((MOUVEMENTS!$B$3:$B$500=A66)*(MOUVEMENTS!$D$3:$D$500="IN")*(MOUVEMENTS!$A$3:$A$500&gt;=B62)*(MOUVEMENTS!$A$3:$A$500&lt;=D62)*MOUVEMENTS!$E$3:$E$500),0)</f>
        <v>0</v>
      </c>
      <c r="E66" s="121">
        <f>IFERROR(SUMPRODUCT((MOUVEMENTS!$B$3:$B$500=A66)*(MOUVEMENTS!$D$3:$D$500="OUT")*(MOUVEMENTS!$A$3:$A$500&gt;=B62)*(MOUVEMENTS!$A$3:$A$500&lt;=D62)*MOUVEMENTS!$E$3:$E$500),0)</f>
        <v>0</v>
      </c>
      <c r="F66" s="122">
        <f t="shared" si="6"/>
        <v>0</v>
      </c>
      <c r="G66" s="121">
        <f>IFERROR(F66*VLOOKUP(A66,ARTICLES!$A$2:$G$485,7,0),0)</f>
        <v>0</v>
      </c>
      <c r="H66" s="119" t="str">
        <f t="shared" si="7"/>
        <v>!! RUPTURE</v>
      </c>
    </row>
    <row r="67" spans="1:8" ht="18" customHeight="1">
      <c r="A67" s="123" t="s">
        <v>60</v>
      </c>
      <c r="B67" s="124" t="str">
        <f>IFERROR(VLOOKUP(A67,ARTICLES!$A$2:$B$485,2,0),"")</f>
        <v/>
      </c>
      <c r="C67" s="125" t="str">
        <f>IFERROR(VLOOKUP(A67,ARTICLES!$A$2:$E$485,5,0),"")</f>
        <v/>
      </c>
      <c r="D67" s="126">
        <f>IFERROR(SUMPRODUCT((MOUVEMENTS!$B$3:$B$500=A67)*(MOUVEMENTS!$D$3:$D$500="IN")*(MOUVEMENTS!$A$3:$A$500&gt;=B62)*(MOUVEMENTS!$A$3:$A$500&lt;=D62)*MOUVEMENTS!$E$3:$E$500),0)</f>
        <v>0</v>
      </c>
      <c r="E67" s="126">
        <f>IFERROR(SUMPRODUCT((MOUVEMENTS!$B$3:$B$500=A67)*(MOUVEMENTS!$D$3:$D$500="OUT")*(MOUVEMENTS!$A$3:$A$500&gt;=B62)*(MOUVEMENTS!$A$3:$A$500&lt;=D62)*MOUVEMENTS!$E$3:$E$500),0)</f>
        <v>0</v>
      </c>
      <c r="F67" s="127">
        <f t="shared" si="6"/>
        <v>0</v>
      </c>
      <c r="G67" s="126">
        <f>IFERROR(F67*VLOOKUP(A67,ARTICLES!$A$2:$G$485,7,0),0)</f>
        <v>0</v>
      </c>
      <c r="H67" s="123" t="str">
        <f t="shared" si="7"/>
        <v>!! RUPTURE</v>
      </c>
    </row>
    <row r="68" spans="1:8" ht="18" customHeight="1">
      <c r="A68" s="119" t="s">
        <v>62</v>
      </c>
      <c r="B68" s="44" t="str">
        <f>IFERROR(VLOOKUP(A68,ARTICLES!$A$2:$B$485,2,0),"")</f>
        <v/>
      </c>
      <c r="C68" s="120" t="str">
        <f>IFERROR(VLOOKUP(A68,ARTICLES!$A$2:$E$485,5,0),"")</f>
        <v/>
      </c>
      <c r="D68" s="121">
        <f>IFERROR(SUMPRODUCT((MOUVEMENTS!$B$3:$B$500=A68)*(MOUVEMENTS!$D$3:$D$500="IN")*(MOUVEMENTS!$A$3:$A$500&gt;=B62)*(MOUVEMENTS!$A$3:$A$500&lt;=D62)*MOUVEMENTS!$E$3:$E$500),0)</f>
        <v>0</v>
      </c>
      <c r="E68" s="121">
        <f>IFERROR(SUMPRODUCT((MOUVEMENTS!$B$3:$B$500=A68)*(MOUVEMENTS!$D$3:$D$500="OUT")*(MOUVEMENTS!$A$3:$A$500&gt;=B62)*(MOUVEMENTS!$A$3:$A$500&lt;=D62)*MOUVEMENTS!$E$3:$E$500),0)</f>
        <v>0</v>
      </c>
      <c r="F68" s="122">
        <f t="shared" si="6"/>
        <v>0</v>
      </c>
      <c r="G68" s="121">
        <f>IFERROR(F68*VLOOKUP(A68,ARTICLES!$A$2:$G$485,7,0),0)</f>
        <v>0</v>
      </c>
      <c r="H68" s="119" t="str">
        <f t="shared" si="7"/>
        <v>!! RUPTURE</v>
      </c>
    </row>
    <row r="69" spans="1:8" ht="18" customHeight="1">
      <c r="A69" s="123" t="s">
        <v>64</v>
      </c>
      <c r="B69" s="124" t="str">
        <f>IFERROR(VLOOKUP(A69,ARTICLES!$A$2:$B$485,2,0),"")</f>
        <v/>
      </c>
      <c r="C69" s="125" t="str">
        <f>IFERROR(VLOOKUP(A69,ARTICLES!$A$2:$E$485,5,0),"")</f>
        <v/>
      </c>
      <c r="D69" s="126">
        <f>IFERROR(SUMPRODUCT((MOUVEMENTS!$B$3:$B$500=A69)*(MOUVEMENTS!$D$3:$D$500="IN")*(MOUVEMENTS!$A$3:$A$500&gt;=B62)*(MOUVEMENTS!$A$3:$A$500&lt;=D62)*MOUVEMENTS!$E$3:$E$500),0)</f>
        <v>0</v>
      </c>
      <c r="E69" s="126">
        <f>IFERROR(SUMPRODUCT((MOUVEMENTS!$B$3:$B$500=A69)*(MOUVEMENTS!$D$3:$D$500="OUT")*(MOUVEMENTS!$A$3:$A$500&gt;=B62)*(MOUVEMENTS!$A$3:$A$500&lt;=D62)*MOUVEMENTS!$E$3:$E$500),0)</f>
        <v>0</v>
      </c>
      <c r="F69" s="127">
        <f t="shared" si="6"/>
        <v>0</v>
      </c>
      <c r="G69" s="126">
        <f>IFERROR(F69*VLOOKUP(A69,ARTICLES!$A$2:$G$485,7,0),0)</f>
        <v>0</v>
      </c>
      <c r="H69" s="123" t="str">
        <f t="shared" si="7"/>
        <v>!! RUPTURE</v>
      </c>
    </row>
    <row r="70" spans="1:8" ht="18" customHeight="1">
      <c r="A70" s="119" t="s">
        <v>66</v>
      </c>
      <c r="B70" s="44" t="str">
        <f>IFERROR(VLOOKUP(A70,ARTICLES!$A$2:$B$485,2,0),"")</f>
        <v/>
      </c>
      <c r="C70" s="120" t="str">
        <f>IFERROR(VLOOKUP(A70,ARTICLES!$A$2:$E$485,5,0),"")</f>
        <v/>
      </c>
      <c r="D70" s="121">
        <f>IFERROR(SUMPRODUCT((MOUVEMENTS!$B$3:$B$500=A70)*(MOUVEMENTS!$D$3:$D$500="IN")*(MOUVEMENTS!$A$3:$A$500&gt;=B62)*(MOUVEMENTS!$A$3:$A$500&lt;=D62)*MOUVEMENTS!$E$3:$E$500),0)</f>
        <v>0</v>
      </c>
      <c r="E70" s="121">
        <f>IFERROR(SUMPRODUCT((MOUVEMENTS!$B$3:$B$500=A70)*(MOUVEMENTS!$D$3:$D$500="OUT")*(MOUVEMENTS!$A$3:$A$500&gt;=B62)*(MOUVEMENTS!$A$3:$A$500&lt;=D62)*MOUVEMENTS!$E$3:$E$500),0)</f>
        <v>0</v>
      </c>
      <c r="F70" s="122">
        <f t="shared" si="6"/>
        <v>0</v>
      </c>
      <c r="G70" s="121">
        <f>IFERROR(F70*VLOOKUP(A70,ARTICLES!$A$2:$G$485,7,0),0)</f>
        <v>0</v>
      </c>
      <c r="H70" s="119" t="str">
        <f t="shared" si="7"/>
        <v>!! RUPTURE</v>
      </c>
    </row>
    <row r="71" spans="1:8" ht="18" customHeight="1">
      <c r="A71" s="123" t="s">
        <v>68</v>
      </c>
      <c r="B71" s="124" t="str">
        <f>IFERROR(VLOOKUP(A71,ARTICLES!$A$2:$B$485,2,0),"")</f>
        <v/>
      </c>
      <c r="C71" s="125" t="str">
        <f>IFERROR(VLOOKUP(A71,ARTICLES!$A$2:$E$485,5,0),"")</f>
        <v/>
      </c>
      <c r="D71" s="126">
        <f>IFERROR(SUMPRODUCT((MOUVEMENTS!$B$3:$B$500=A71)*(MOUVEMENTS!$D$3:$D$500="IN")*(MOUVEMENTS!$A$3:$A$500&gt;=B62)*(MOUVEMENTS!$A$3:$A$500&lt;=D62)*MOUVEMENTS!$E$3:$E$500),0)</f>
        <v>0</v>
      </c>
      <c r="E71" s="126">
        <f>IFERROR(SUMPRODUCT((MOUVEMENTS!$B$3:$B$500=A71)*(MOUVEMENTS!$D$3:$D$500="OUT")*(MOUVEMENTS!$A$3:$A$500&gt;=B62)*(MOUVEMENTS!$A$3:$A$500&lt;=D62)*MOUVEMENTS!$E$3:$E$500),0)</f>
        <v>0</v>
      </c>
      <c r="F71" s="127">
        <f t="shared" si="6"/>
        <v>0</v>
      </c>
      <c r="G71" s="126">
        <f>IFERROR(F71*VLOOKUP(A71,ARTICLES!$A$2:$G$485,7,0),0)</f>
        <v>0</v>
      </c>
      <c r="H71" s="123" t="str">
        <f t="shared" si="7"/>
        <v>!! RUPTURE</v>
      </c>
    </row>
    <row r="72" spans="1:8" ht="18" customHeight="1">
      <c r="A72" s="119" t="s">
        <v>69</v>
      </c>
      <c r="B72" s="44" t="str">
        <f>IFERROR(VLOOKUP(A72,ARTICLES!$A$2:$B$485,2,0),"")</f>
        <v/>
      </c>
      <c r="C72" s="120" t="str">
        <f>IFERROR(VLOOKUP(A72,ARTICLES!$A$2:$E$485,5,0),"")</f>
        <v/>
      </c>
      <c r="D72" s="121">
        <f>IFERROR(SUMPRODUCT((MOUVEMENTS!$B$3:$B$500=A72)*(MOUVEMENTS!$D$3:$D$500="IN")*(MOUVEMENTS!$A$3:$A$500&gt;=B62)*(MOUVEMENTS!$A$3:$A$500&lt;=D62)*MOUVEMENTS!$E$3:$E$500),0)</f>
        <v>0</v>
      </c>
      <c r="E72" s="121">
        <f>IFERROR(SUMPRODUCT((MOUVEMENTS!$B$3:$B$500=A72)*(MOUVEMENTS!$D$3:$D$500="OUT")*(MOUVEMENTS!$A$3:$A$500&gt;=B62)*(MOUVEMENTS!$A$3:$A$500&lt;=D62)*MOUVEMENTS!$E$3:$E$500),0)</f>
        <v>0</v>
      </c>
      <c r="F72" s="122">
        <f t="shared" si="6"/>
        <v>0</v>
      </c>
      <c r="G72" s="121">
        <f>IFERROR(F72*VLOOKUP(A72,ARTICLES!$A$2:$G$485,7,0),0)</f>
        <v>0</v>
      </c>
      <c r="H72" s="119" t="str">
        <f t="shared" si="7"/>
        <v>!! RUPTURE</v>
      </c>
    </row>
    <row r="73" spans="1:8" ht="18" customHeight="1">
      <c r="A73" s="123" t="s">
        <v>70</v>
      </c>
      <c r="B73" s="124" t="str">
        <f>IFERROR(VLOOKUP(A73,ARTICLES!$A$2:$B$485,2,0),"")</f>
        <v/>
      </c>
      <c r="C73" s="125" t="str">
        <f>IFERROR(VLOOKUP(A73,ARTICLES!$A$2:$E$485,5,0),"")</f>
        <v/>
      </c>
      <c r="D73" s="126">
        <f>IFERROR(SUMPRODUCT((MOUVEMENTS!$B$3:$B$500=A73)*(MOUVEMENTS!$D$3:$D$500="IN")*(MOUVEMENTS!$A$3:$A$500&gt;=B62)*(MOUVEMENTS!$A$3:$A$500&lt;=D62)*MOUVEMENTS!$E$3:$E$500),0)</f>
        <v>0</v>
      </c>
      <c r="E73" s="126">
        <f>IFERROR(SUMPRODUCT((MOUVEMENTS!$B$3:$B$500=A73)*(MOUVEMENTS!$D$3:$D$500="OUT")*(MOUVEMENTS!$A$3:$A$500&gt;=B62)*(MOUVEMENTS!$A$3:$A$500&lt;=D62)*MOUVEMENTS!$E$3:$E$500),0)</f>
        <v>0</v>
      </c>
      <c r="F73" s="127">
        <f t="shared" si="6"/>
        <v>0</v>
      </c>
      <c r="G73" s="126">
        <f>IFERROR(F73*VLOOKUP(A73,ARTICLES!$A$2:$G$485,7,0),0)</f>
        <v>0</v>
      </c>
      <c r="H73" s="123" t="str">
        <f t="shared" si="7"/>
        <v>!! RUPTURE</v>
      </c>
    </row>
    <row r="74" spans="1:8" ht="18" customHeight="1">
      <c r="A74" s="119" t="s">
        <v>72</v>
      </c>
      <c r="B74" s="44" t="str">
        <f>IFERROR(VLOOKUP(A74,ARTICLES!$A$2:$B$485,2,0),"")</f>
        <v/>
      </c>
      <c r="C74" s="120" t="str">
        <f>IFERROR(VLOOKUP(A74,ARTICLES!$A$2:$E$485,5,0),"")</f>
        <v/>
      </c>
      <c r="D74" s="121">
        <f>IFERROR(SUMPRODUCT((MOUVEMENTS!$B$3:$B$500=A74)*(MOUVEMENTS!$D$3:$D$500="IN")*(MOUVEMENTS!$A$3:$A$500&gt;=B62)*(MOUVEMENTS!$A$3:$A$500&lt;=D62)*MOUVEMENTS!$E$3:$E$500),0)</f>
        <v>0</v>
      </c>
      <c r="E74" s="121">
        <f>IFERROR(SUMPRODUCT((MOUVEMENTS!$B$3:$B$500=A74)*(MOUVEMENTS!$D$3:$D$500="OUT")*(MOUVEMENTS!$A$3:$A$500&gt;=B62)*(MOUVEMENTS!$A$3:$A$500&lt;=D62)*MOUVEMENTS!$E$3:$E$500),0)</f>
        <v>0</v>
      </c>
      <c r="F74" s="122">
        <f t="shared" si="6"/>
        <v>0</v>
      </c>
      <c r="G74" s="121">
        <f>IFERROR(F74*VLOOKUP(A74,ARTICLES!$A$2:$G$485,7,0),0)</f>
        <v>0</v>
      </c>
      <c r="H74" s="119" t="str">
        <f t="shared" si="7"/>
        <v>!! RUPTURE</v>
      </c>
    </row>
    <row r="75" spans="1:8" ht="18" customHeight="1">
      <c r="A75" s="123" t="s">
        <v>73</v>
      </c>
      <c r="B75" s="124" t="str">
        <f>IFERROR(VLOOKUP(A75,ARTICLES!$A$2:$B$485,2,0),"")</f>
        <v/>
      </c>
      <c r="C75" s="125" t="str">
        <f>IFERROR(VLOOKUP(A75,ARTICLES!$A$2:$E$485,5,0),"")</f>
        <v/>
      </c>
      <c r="D75" s="126">
        <f>IFERROR(SUMPRODUCT((MOUVEMENTS!$B$3:$B$500=A75)*(MOUVEMENTS!$D$3:$D$500="IN")*(MOUVEMENTS!$A$3:$A$500&gt;=B62)*(MOUVEMENTS!$A$3:$A$500&lt;=D62)*MOUVEMENTS!$E$3:$E$500),0)</f>
        <v>0</v>
      </c>
      <c r="E75" s="126">
        <f>IFERROR(SUMPRODUCT((MOUVEMENTS!$B$3:$B$500=A75)*(MOUVEMENTS!$D$3:$D$500="OUT")*(MOUVEMENTS!$A$3:$A$500&gt;=B62)*(MOUVEMENTS!$A$3:$A$500&lt;=D62)*MOUVEMENTS!$E$3:$E$500),0)</f>
        <v>0</v>
      </c>
      <c r="F75" s="127">
        <f t="shared" si="6"/>
        <v>0</v>
      </c>
      <c r="G75" s="126">
        <f>IFERROR(F75*VLOOKUP(A75,ARTICLES!$A$2:$G$485,7,0),0)</f>
        <v>0</v>
      </c>
      <c r="H75" s="123" t="str">
        <f t="shared" si="7"/>
        <v>!! RUPTURE</v>
      </c>
    </row>
    <row r="76" spans="1:8" ht="21.75" customHeight="1">
      <c r="A76" s="128" t="s">
        <v>244</v>
      </c>
      <c r="B76" s="253" t="s">
        <v>280</v>
      </c>
      <c r="C76" s="220"/>
      <c r="D76" s="129">
        <f>SUM(D64:D75)</f>
        <v>0</v>
      </c>
      <c r="E76" s="129">
        <f>SUM(E64:E75)</f>
        <v>0</v>
      </c>
      <c r="F76" s="129">
        <f>SUM(F64:F75)</f>
        <v>0</v>
      </c>
      <c r="G76" s="129">
        <f>SUM(G64:G75)</f>
        <v>0</v>
      </c>
      <c r="H76" s="130"/>
    </row>
    <row r="77" spans="1:8" ht="25.5" customHeight="1">
      <c r="A77" s="250" t="s">
        <v>287</v>
      </c>
      <c r="B77" s="226"/>
      <c r="C77" s="226"/>
      <c r="D77" s="226"/>
      <c r="E77" s="226"/>
      <c r="F77" s="226"/>
      <c r="G77" s="226"/>
      <c r="H77" s="226"/>
    </row>
    <row r="79" spans="1:8" ht="13.5" customHeight="1">
      <c r="A79" s="212" t="s">
        <v>172</v>
      </c>
      <c r="B79" s="213"/>
      <c r="C79" s="213"/>
      <c r="D79" s="213"/>
      <c r="E79" s="213"/>
      <c r="F79" s="213"/>
      <c r="G79" s="213"/>
      <c r="H79" s="201"/>
    </row>
  </sheetData>
  <mergeCells count="19">
    <mergeCell ref="A4:H4"/>
    <mergeCell ref="A20:H20"/>
    <mergeCell ref="B76:C76"/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55" t="s">
        <v>288</v>
      </c>
      <c r="B1" s="205"/>
      <c r="C1" s="205"/>
      <c r="D1" s="205"/>
    </row>
    <row r="3" spans="1:4" ht="21.75" customHeight="1">
      <c r="A3" s="133" t="s">
        <v>289</v>
      </c>
      <c r="B3" s="134" t="s">
        <v>290</v>
      </c>
      <c r="C3" s="135">
        <v>2900</v>
      </c>
      <c r="D3" s="86" t="s">
        <v>291</v>
      </c>
    </row>
    <row r="4" spans="1:4" ht="21.75" customHeight="1">
      <c r="A4" s="133" t="s">
        <v>292</v>
      </c>
      <c r="B4" s="134" t="s">
        <v>293</v>
      </c>
      <c r="C4" s="135">
        <v>50</v>
      </c>
      <c r="D4" s="86" t="s">
        <v>294</v>
      </c>
    </row>
    <row r="5" spans="1:4" ht="21.75" customHeight="1">
      <c r="A5" s="133" t="s">
        <v>295</v>
      </c>
      <c r="B5" s="134" t="s">
        <v>296</v>
      </c>
      <c r="C5" s="135">
        <v>400</v>
      </c>
      <c r="D5" s="86" t="s">
        <v>297</v>
      </c>
    </row>
    <row r="6" spans="1:4" ht="21.75" customHeight="1">
      <c r="A6" s="133" t="s">
        <v>298</v>
      </c>
      <c r="B6" s="134" t="s">
        <v>299</v>
      </c>
      <c r="C6" s="136">
        <v>0.2</v>
      </c>
      <c r="D6" s="86" t="s">
        <v>300</v>
      </c>
    </row>
    <row r="7" spans="1:4" ht="21.75" customHeight="1">
      <c r="A7" s="133" t="s">
        <v>301</v>
      </c>
      <c r="B7" s="134" t="s">
        <v>302</v>
      </c>
      <c r="C7" s="135">
        <v>200</v>
      </c>
      <c r="D7" s="86" t="s">
        <v>303</v>
      </c>
    </row>
    <row r="8" spans="1:4" ht="21.75" customHeight="1">
      <c r="A8" s="133" t="s">
        <v>304</v>
      </c>
      <c r="B8" s="134" t="s">
        <v>305</v>
      </c>
      <c r="C8" s="135">
        <v>2</v>
      </c>
      <c r="D8" s="86" t="s">
        <v>306</v>
      </c>
    </row>
    <row r="9" spans="1:4" ht="9.75" customHeight="1"/>
    <row r="10" spans="1:4" ht="15" customHeight="1">
      <c r="A10" s="257" t="s">
        <v>307</v>
      </c>
      <c r="B10" s="205"/>
      <c r="C10" s="205"/>
      <c r="D10" s="205"/>
    </row>
    <row r="11" spans="1:4" ht="21.75" customHeight="1">
      <c r="A11" s="137" t="s">
        <v>308</v>
      </c>
      <c r="B11" s="134" t="s">
        <v>309</v>
      </c>
      <c r="C11" s="138">
        <f>ROUND(SQRT(2*C3*C4/(C6*C5)),0)</f>
        <v>60</v>
      </c>
      <c r="D11" s="86" t="s">
        <v>303</v>
      </c>
    </row>
    <row r="12" spans="1:4" ht="21.75" customHeight="1">
      <c r="A12" s="137" t="s">
        <v>310</v>
      </c>
      <c r="B12" s="134" t="s">
        <v>311</v>
      </c>
      <c r="C12" s="138">
        <f>ROUND(C3/C11,1)</f>
        <v>48.3</v>
      </c>
      <c r="D12" s="86" t="s">
        <v>312</v>
      </c>
    </row>
    <row r="13" spans="1:4" ht="21.75" customHeight="1">
      <c r="A13" s="137" t="s">
        <v>256</v>
      </c>
      <c r="B13" s="134" t="s">
        <v>313</v>
      </c>
      <c r="C13" s="138">
        <f>ROUND(C7+(C3/250)*C8,0)</f>
        <v>223</v>
      </c>
      <c r="D13" s="86" t="s">
        <v>303</v>
      </c>
    </row>
    <row r="14" spans="1:4" ht="21.75" customHeight="1">
      <c r="A14" s="137" t="s">
        <v>314</v>
      </c>
      <c r="B14" s="134" t="s">
        <v>315</v>
      </c>
      <c r="C14" s="138">
        <f>ROUND((C3/C11)*C4,0)</f>
        <v>2417</v>
      </c>
      <c r="D14" s="86" t="s">
        <v>316</v>
      </c>
    </row>
    <row r="15" spans="1:4" ht="21.75" customHeight="1">
      <c r="A15" s="137" t="s">
        <v>317</v>
      </c>
      <c r="B15" s="134" t="s">
        <v>318</v>
      </c>
      <c r="C15" s="138">
        <f>ROUND((C11/2+C7)*C6*C5,0)</f>
        <v>18400</v>
      </c>
      <c r="D15" s="86" t="s">
        <v>316</v>
      </c>
    </row>
    <row r="16" spans="1:4" ht="21.75" customHeight="1">
      <c r="A16" s="137" t="s">
        <v>319</v>
      </c>
      <c r="B16" s="134" t="s">
        <v>320</v>
      </c>
      <c r="C16" s="138">
        <f>C14+C15</f>
        <v>20817</v>
      </c>
      <c r="D16" s="86" t="s">
        <v>316</v>
      </c>
    </row>
    <row r="18" spans="1:4" ht="36" customHeight="1">
      <c r="A18" s="256" t="s">
        <v>321</v>
      </c>
      <c r="B18" s="205"/>
      <c r="C18" s="205"/>
      <c r="D18" s="205"/>
    </row>
  </sheetData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55" t="s">
        <v>322</v>
      </c>
      <c r="B1" s="205"/>
      <c r="C1" s="205"/>
      <c r="D1" s="205"/>
      <c r="E1" s="205"/>
      <c r="F1" s="205"/>
      <c r="G1" s="205"/>
    </row>
    <row r="2" spans="1:8" ht="21.75" customHeight="1">
      <c r="A2" s="139" t="s">
        <v>323</v>
      </c>
      <c r="B2" s="140" t="s">
        <v>324</v>
      </c>
      <c r="C2" s="139" t="s">
        <v>325</v>
      </c>
      <c r="D2" s="139" t="s">
        <v>47</v>
      </c>
      <c r="E2" s="139" t="s">
        <v>51</v>
      </c>
      <c r="F2" s="139" t="s">
        <v>326</v>
      </c>
      <c r="G2" s="139" t="s">
        <v>327</v>
      </c>
      <c r="H2" s="139" t="s">
        <v>238</v>
      </c>
    </row>
    <row r="3" spans="1:8" ht="15" customHeight="1">
      <c r="A3" s="141" t="s">
        <v>328</v>
      </c>
      <c r="B3" s="142" t="s">
        <v>329</v>
      </c>
      <c r="C3" s="141" t="s">
        <v>330</v>
      </c>
      <c r="D3" s="141" t="s">
        <v>52</v>
      </c>
      <c r="E3" s="141" t="s">
        <v>55</v>
      </c>
      <c r="F3" s="64">
        <v>500</v>
      </c>
      <c r="G3" s="64">
        <v>405</v>
      </c>
      <c r="H3" s="141" t="s">
        <v>331</v>
      </c>
    </row>
    <row r="4" spans="1:8" ht="15" customHeight="1">
      <c r="A4" s="141" t="s">
        <v>332</v>
      </c>
      <c r="B4" s="142" t="s">
        <v>105</v>
      </c>
      <c r="C4" s="141" t="s">
        <v>333</v>
      </c>
      <c r="D4" s="141" t="s">
        <v>56</v>
      </c>
      <c r="E4" s="141" t="s">
        <v>58</v>
      </c>
      <c r="F4" s="64">
        <v>5</v>
      </c>
      <c r="G4" s="64">
        <v>5</v>
      </c>
      <c r="H4" s="141" t="s">
        <v>331</v>
      </c>
    </row>
    <row r="5" spans="1:8" ht="15" customHeight="1">
      <c r="A5" s="141" t="s">
        <v>334</v>
      </c>
      <c r="B5" s="142" t="s">
        <v>105</v>
      </c>
      <c r="C5" s="141" t="s">
        <v>333</v>
      </c>
      <c r="D5" s="141" t="s">
        <v>59</v>
      </c>
      <c r="E5" s="141" t="s">
        <v>55</v>
      </c>
      <c r="F5" s="64">
        <v>100</v>
      </c>
      <c r="G5" s="64">
        <v>100</v>
      </c>
      <c r="H5" s="141" t="s">
        <v>331</v>
      </c>
    </row>
    <row r="6" spans="1:8" ht="15" customHeight="1">
      <c r="A6" s="143" t="s">
        <v>335</v>
      </c>
      <c r="B6" s="142" t="s">
        <v>336</v>
      </c>
      <c r="C6" s="143" t="s">
        <v>337</v>
      </c>
      <c r="D6" s="143" t="s">
        <v>52</v>
      </c>
      <c r="E6" s="143" t="s">
        <v>55</v>
      </c>
      <c r="F6" s="73">
        <v>60</v>
      </c>
      <c r="G6" s="73"/>
      <c r="H6" s="143" t="s">
        <v>338</v>
      </c>
    </row>
    <row r="7" spans="1:8" ht="15" customHeight="1">
      <c r="A7" s="143" t="s">
        <v>339</v>
      </c>
      <c r="B7" s="142" t="s">
        <v>336</v>
      </c>
      <c r="C7" s="143" t="s">
        <v>337</v>
      </c>
      <c r="D7" s="143" t="s">
        <v>56</v>
      </c>
      <c r="E7" s="143" t="s">
        <v>58</v>
      </c>
      <c r="F7" s="73">
        <v>5</v>
      </c>
      <c r="G7" s="73"/>
      <c r="H7" s="143" t="s">
        <v>338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68" t="s">
        <v>340</v>
      </c>
      <c r="B1" s="216"/>
      <c r="C1" s="216"/>
      <c r="D1" s="216"/>
      <c r="E1" s="216"/>
      <c r="F1" s="216"/>
      <c r="G1" s="216"/>
      <c r="H1" s="217"/>
    </row>
    <row r="2" spans="1:8" ht="18" customHeight="1">
      <c r="A2" s="272" t="s">
        <v>341</v>
      </c>
      <c r="B2" s="219"/>
      <c r="C2" s="219"/>
      <c r="D2" s="219"/>
      <c r="E2" s="219"/>
      <c r="F2" s="219"/>
      <c r="G2" s="219"/>
      <c r="H2" s="220"/>
    </row>
    <row r="3" spans="1:8" ht="15.75" customHeight="1">
      <c r="A3" s="271" t="s">
        <v>342</v>
      </c>
      <c r="B3" s="213"/>
      <c r="C3" s="213"/>
      <c r="D3" s="213"/>
      <c r="E3" s="213"/>
      <c r="F3" s="213"/>
      <c r="G3" s="213"/>
      <c r="H3" s="201"/>
    </row>
    <row r="4" spans="1:8" ht="6" customHeight="1"/>
    <row r="5" spans="1:8" ht="30" customHeight="1">
      <c r="A5" s="273" t="s">
        <v>343</v>
      </c>
      <c r="B5" s="216"/>
      <c r="C5" s="216"/>
      <c r="D5" s="216"/>
      <c r="E5" s="216"/>
      <c r="F5" s="216"/>
      <c r="G5" s="216"/>
      <c r="H5" s="217"/>
    </row>
    <row r="6" spans="1:8" ht="21.75" customHeight="1">
      <c r="B6" s="259" t="s">
        <v>344</v>
      </c>
      <c r="C6" s="201"/>
      <c r="D6" s="270"/>
      <c r="E6" s="219"/>
      <c r="F6" s="219"/>
      <c r="G6" s="219"/>
      <c r="H6" s="220"/>
    </row>
    <row r="7" spans="1:8" ht="13.5" customHeight="1">
      <c r="A7" s="261" t="s">
        <v>345</v>
      </c>
      <c r="B7" s="226"/>
      <c r="C7" s="226"/>
      <c r="D7" s="226"/>
      <c r="E7" s="226"/>
      <c r="F7" s="226"/>
      <c r="G7" s="226"/>
      <c r="H7" s="226"/>
    </row>
    <row r="8" spans="1:8" ht="21.75" customHeight="1">
      <c r="B8" s="259" t="s">
        <v>346</v>
      </c>
      <c r="C8" s="201"/>
      <c r="D8" s="260">
        <f ca="1">TODAY()</f>
        <v>46152</v>
      </c>
      <c r="E8" s="219"/>
      <c r="F8" s="219"/>
      <c r="G8" s="219"/>
      <c r="H8" s="220"/>
    </row>
    <row r="9" spans="1:8" ht="21.75" customHeight="1">
      <c r="B9" s="259" t="s">
        <v>347</v>
      </c>
      <c r="C9" s="201"/>
      <c r="D9" s="258"/>
      <c r="E9" s="219"/>
      <c r="F9" s="219"/>
      <c r="G9" s="219"/>
      <c r="H9" s="220"/>
    </row>
    <row r="10" spans="1:8" ht="21.75" customHeight="1">
      <c r="B10" s="259" t="s">
        <v>189</v>
      </c>
      <c r="C10" s="201"/>
      <c r="D10" s="258"/>
      <c r="E10" s="219"/>
      <c r="F10" s="219"/>
      <c r="G10" s="219"/>
      <c r="H10" s="220"/>
    </row>
    <row r="11" spans="1:8" ht="13.5" customHeight="1">
      <c r="A11" s="261" t="s">
        <v>348</v>
      </c>
      <c r="B11" s="226"/>
      <c r="C11" s="226"/>
      <c r="D11" s="226"/>
      <c r="E11" s="226"/>
      <c r="F11" s="226"/>
      <c r="G11" s="226"/>
      <c r="H11" s="226"/>
    </row>
    <row r="12" spans="1:8" ht="6" customHeight="1">
      <c r="B12" s="1" t="s">
        <v>561</v>
      </c>
    </row>
    <row r="13" spans="1:8" ht="31.5" customHeight="1">
      <c r="A13" s="144" t="s">
        <v>349</v>
      </c>
      <c r="B13" s="144" t="s">
        <v>562</v>
      </c>
      <c r="C13" s="144" t="s">
        <v>351</v>
      </c>
      <c r="D13" s="144" t="s">
        <v>48</v>
      </c>
      <c r="E13" s="144" t="s">
        <v>352</v>
      </c>
      <c r="F13" s="144" t="s">
        <v>353</v>
      </c>
      <c r="G13" s="144" t="s">
        <v>354</v>
      </c>
      <c r="H13" s="144" t="s">
        <v>355</v>
      </c>
    </row>
    <row r="14" spans="1:8" ht="19.5" customHeight="1">
      <c r="A14" s="145">
        <v>1</v>
      </c>
      <c r="B14" s="146"/>
      <c r="C14" s="147" t="str">
        <f>IFERROR(VLOOKUP(B14,ARTICLES!$A$2:$G$485,2,0),"")</f>
        <v/>
      </c>
      <c r="D14" s="148" t="str">
        <f>IFERROR(VLOOKUP(B14,ARTICLES!$A$2:$G$485,3,0),"")</f>
        <v/>
      </c>
      <c r="E14" s="149"/>
      <c r="F14" s="149"/>
      <c r="G14" s="126" t="str">
        <f>IFERROR(VLOOKUP(B14,ARTICLES!$A$2:$G$485,7,0),"")</f>
        <v/>
      </c>
      <c r="H14" s="126" t="str">
        <f t="shared" ref="H14:H21" si="0">IFERROR(F14*G14,"")</f>
        <v/>
      </c>
    </row>
    <row r="15" spans="1:8" ht="19.5" customHeight="1">
      <c r="A15" s="145">
        <v>2</v>
      </c>
      <c r="B15" s="146"/>
      <c r="C15" s="147" t="str">
        <f>IFERROR(VLOOKUP(B15,ARTICLES!$A$2:$G$485,2,0),"")</f>
        <v/>
      </c>
      <c r="D15" s="148" t="str">
        <f>IFERROR(VLOOKUP(B15,ARTICLES!$A$2:$G$485,3,0),"")</f>
        <v/>
      </c>
      <c r="E15" s="149"/>
      <c r="F15" s="149"/>
      <c r="G15" s="126" t="str">
        <f>IFERROR(VLOOKUP(B15,ARTICLES!$A$2:$G$485,7,0),"")</f>
        <v/>
      </c>
      <c r="H15" s="126" t="str">
        <f t="shared" si="0"/>
        <v/>
      </c>
    </row>
    <row r="16" spans="1:8" ht="19.5" customHeight="1">
      <c r="A16" s="145">
        <v>3</v>
      </c>
      <c r="B16" s="146"/>
      <c r="C16" s="147" t="str">
        <f>IFERROR(VLOOKUP(B16,ARTICLES!$A$2:$G$485,2,0),"")</f>
        <v/>
      </c>
      <c r="D16" s="148" t="str">
        <f>IFERROR(VLOOKUP(B16,ARTICLES!$A$2:$G$485,3,0),"")</f>
        <v/>
      </c>
      <c r="E16" s="149"/>
      <c r="F16" s="149"/>
      <c r="G16" s="126" t="str">
        <f>IFERROR(VLOOKUP(B16,ARTICLES!$A$2:$G$485,7,0),"")</f>
        <v/>
      </c>
      <c r="H16" s="126" t="str">
        <f t="shared" si="0"/>
        <v/>
      </c>
    </row>
    <row r="17" spans="1:8" ht="19.5" customHeight="1">
      <c r="A17" s="145">
        <v>4</v>
      </c>
      <c r="B17" s="146"/>
      <c r="C17" s="147" t="str">
        <f>IFERROR(VLOOKUP(B17,ARTICLES!$A$2:$G$485,2,0),"")</f>
        <v/>
      </c>
      <c r="D17" s="148" t="str">
        <f>IFERROR(VLOOKUP(B17,ARTICLES!$A$2:$G$485,3,0),"")</f>
        <v/>
      </c>
      <c r="E17" s="149"/>
      <c r="F17" s="149"/>
      <c r="G17" s="126" t="str">
        <f>IFERROR(VLOOKUP(B17,ARTICLES!$A$2:$G$485,7,0),"")</f>
        <v/>
      </c>
      <c r="H17" s="126" t="str">
        <f t="shared" si="0"/>
        <v/>
      </c>
    </row>
    <row r="18" spans="1:8" ht="19.5" customHeight="1">
      <c r="A18" s="145">
        <v>5</v>
      </c>
      <c r="B18" s="146"/>
      <c r="C18" s="147" t="str">
        <f>IFERROR(VLOOKUP(B18,ARTICLES!$A$2:$G$485,2,0),"")</f>
        <v/>
      </c>
      <c r="D18" s="148" t="str">
        <f>IFERROR(VLOOKUP(B18,ARTICLES!$A$2:$G$485,3,0),"")</f>
        <v/>
      </c>
      <c r="E18" s="149"/>
      <c r="F18" s="149"/>
      <c r="G18" s="126" t="str">
        <f>IFERROR(VLOOKUP(B18,ARTICLES!$A$2:$G$485,7,0),"")</f>
        <v/>
      </c>
      <c r="H18" s="126" t="str">
        <f t="shared" si="0"/>
        <v/>
      </c>
    </row>
    <row r="19" spans="1:8" ht="19.5" customHeight="1">
      <c r="A19" s="145">
        <v>6</v>
      </c>
      <c r="B19" s="146"/>
      <c r="C19" s="147" t="str">
        <f>IFERROR(VLOOKUP(B19,ARTICLES!$A$2:$G$485,2,0),"")</f>
        <v/>
      </c>
      <c r="D19" s="148" t="str">
        <f>IFERROR(VLOOKUP(B19,ARTICLES!$A$2:$G$485,3,0),"")</f>
        <v/>
      </c>
      <c r="E19" s="149"/>
      <c r="F19" s="149"/>
      <c r="G19" s="126" t="str">
        <f>IFERROR(VLOOKUP(B19,ARTICLES!$A$2:$G$485,7,0),"")</f>
        <v/>
      </c>
      <c r="H19" s="126" t="str">
        <f t="shared" si="0"/>
        <v/>
      </c>
    </row>
    <row r="20" spans="1:8" ht="19.5" customHeight="1">
      <c r="A20" s="145">
        <v>7</v>
      </c>
      <c r="B20" s="146"/>
      <c r="C20" s="147" t="str">
        <f>IFERROR(VLOOKUP(B20,ARTICLES!$A$2:$G$485,2,0),"")</f>
        <v/>
      </c>
      <c r="D20" s="148" t="str">
        <f>IFERROR(VLOOKUP(B20,ARTICLES!$A$2:$G$485,3,0),"")</f>
        <v/>
      </c>
      <c r="E20" s="149"/>
      <c r="F20" s="149"/>
      <c r="G20" s="126" t="str">
        <f>IFERROR(VLOOKUP(B20,ARTICLES!$A$2:$G$485,7,0),"")</f>
        <v/>
      </c>
      <c r="H20" s="126" t="str">
        <f t="shared" si="0"/>
        <v/>
      </c>
    </row>
    <row r="21" spans="1:8" ht="19.5" customHeight="1">
      <c r="A21" s="145">
        <v>8</v>
      </c>
      <c r="B21" s="146"/>
      <c r="C21" s="147" t="str">
        <f>IFERROR(VLOOKUP(B21,ARTICLES!$A$2:$G$485,2,0),"")</f>
        <v/>
      </c>
      <c r="D21" s="148" t="str">
        <f>IFERROR(VLOOKUP(B21,ARTICLES!$A$2:$G$485,3,0),"")</f>
        <v/>
      </c>
      <c r="E21" s="149"/>
      <c r="F21" s="149"/>
      <c r="G21" s="126" t="str">
        <f>IFERROR(VLOOKUP(B21,ARTICLES!$A$2:$G$485,7,0),"")</f>
        <v/>
      </c>
      <c r="H21" s="126" t="str">
        <f t="shared" si="0"/>
        <v/>
      </c>
    </row>
    <row r="22" spans="1:8" ht="21.75" customHeight="1">
      <c r="A22" s="253" t="s">
        <v>356</v>
      </c>
      <c r="B22" s="219"/>
      <c r="C22" s="219"/>
      <c r="D22" s="219"/>
      <c r="E22" s="219"/>
      <c r="F22" s="219"/>
      <c r="G22" s="220"/>
      <c r="H22" s="150">
        <f>SUM(H14:H21)</f>
        <v>0</v>
      </c>
    </row>
    <row r="23" spans="1:8" ht="13.5" customHeight="1">
      <c r="A23" s="261" t="s">
        <v>357</v>
      </c>
      <c r="B23" s="226"/>
      <c r="C23" s="226"/>
      <c r="D23" s="226"/>
      <c r="E23" s="226"/>
      <c r="F23" s="226"/>
      <c r="G23" s="226"/>
      <c r="H23" s="226"/>
    </row>
    <row r="24" spans="1:8" ht="18" customHeight="1">
      <c r="A24" s="279" t="s">
        <v>358</v>
      </c>
      <c r="B24" s="213"/>
      <c r="C24" s="213"/>
      <c r="D24" s="213"/>
      <c r="E24" s="213"/>
      <c r="F24" s="213"/>
      <c r="G24" s="213"/>
      <c r="H24" s="201"/>
    </row>
    <row r="25" spans="1:8" ht="18" customHeight="1">
      <c r="A25" s="274"/>
      <c r="B25" s="275"/>
      <c r="C25" s="275"/>
      <c r="D25" s="275"/>
      <c r="E25" s="275"/>
      <c r="F25" s="275"/>
      <c r="G25" s="275"/>
      <c r="H25" s="276"/>
    </row>
    <row r="26" spans="1:8" ht="18" customHeight="1">
      <c r="A26" s="277"/>
      <c r="B26" s="226"/>
      <c r="C26" s="226"/>
      <c r="D26" s="226"/>
      <c r="E26" s="226"/>
      <c r="F26" s="226"/>
      <c r="G26" s="226"/>
      <c r="H26" s="278"/>
    </row>
    <row r="27" spans="1:8" ht="7.5" customHeight="1"/>
    <row r="28" spans="1:8" ht="24" customHeight="1">
      <c r="A28" s="269" t="s">
        <v>359</v>
      </c>
      <c r="B28" s="219"/>
      <c r="C28" s="220"/>
      <c r="D28" s="269" t="s">
        <v>360</v>
      </c>
      <c r="E28" s="219"/>
      <c r="F28" s="220"/>
      <c r="G28" s="269" t="s">
        <v>361</v>
      </c>
      <c r="H28" s="220"/>
    </row>
    <row r="29" spans="1:8" ht="24" customHeight="1">
      <c r="A29" s="262" t="s">
        <v>362</v>
      </c>
      <c r="B29" s="263"/>
      <c r="C29" s="264"/>
      <c r="D29" s="262" t="s">
        <v>362</v>
      </c>
      <c r="E29" s="263"/>
      <c r="F29" s="264"/>
      <c r="G29" s="262" t="s">
        <v>362</v>
      </c>
      <c r="H29" s="264"/>
    </row>
    <row r="30" spans="1:8" ht="24" customHeight="1">
      <c r="A30" s="265"/>
      <c r="B30" s="266"/>
      <c r="C30" s="267"/>
      <c r="D30" s="265"/>
      <c r="E30" s="266"/>
      <c r="F30" s="267"/>
      <c r="G30" s="265"/>
      <c r="H30" s="267"/>
    </row>
    <row r="31" spans="1:8" ht="13.5" customHeight="1">
      <c r="A31" s="261" t="s">
        <v>363</v>
      </c>
      <c r="B31" s="226"/>
      <c r="C31" s="226"/>
      <c r="D31" s="226"/>
      <c r="E31" s="226"/>
      <c r="F31" s="226"/>
      <c r="G31" s="226"/>
      <c r="H31" s="226"/>
    </row>
    <row r="32" spans="1:8" ht="13.5" customHeight="1">
      <c r="A32" s="212" t="s">
        <v>172</v>
      </c>
      <c r="B32" s="213"/>
      <c r="C32" s="213"/>
      <c r="D32" s="213"/>
      <c r="E32" s="213"/>
      <c r="F32" s="213"/>
      <c r="G32" s="213"/>
      <c r="H32" s="201"/>
    </row>
  </sheetData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68" t="s">
        <v>340</v>
      </c>
      <c r="B1" s="216"/>
      <c r="C1" s="216"/>
      <c r="D1" s="216"/>
      <c r="E1" s="216"/>
      <c r="F1" s="216"/>
      <c r="G1" s="216"/>
      <c r="H1" s="217"/>
    </row>
    <row r="2" spans="1:8" ht="18" customHeight="1">
      <c r="A2" s="272" t="s">
        <v>341</v>
      </c>
      <c r="B2" s="219"/>
      <c r="C2" s="219"/>
      <c r="D2" s="219"/>
      <c r="E2" s="219"/>
      <c r="F2" s="219"/>
      <c r="G2" s="219"/>
      <c r="H2" s="220"/>
    </row>
    <row r="3" spans="1:8" ht="15.75" customHeight="1">
      <c r="A3" s="271" t="s">
        <v>342</v>
      </c>
      <c r="B3" s="213"/>
      <c r="C3" s="213"/>
      <c r="D3" s="213"/>
      <c r="E3" s="213"/>
      <c r="F3" s="213"/>
      <c r="G3" s="213"/>
      <c r="H3" s="201"/>
    </row>
    <row r="4" spans="1:8" ht="6" customHeight="1"/>
    <row r="5" spans="1:8" ht="30" customHeight="1">
      <c r="A5" s="273" t="s">
        <v>364</v>
      </c>
      <c r="B5" s="216"/>
      <c r="C5" s="216"/>
      <c r="D5" s="216"/>
      <c r="E5" s="216"/>
      <c r="F5" s="216"/>
      <c r="G5" s="216"/>
      <c r="H5" s="217"/>
    </row>
    <row r="6" spans="1:8" ht="21.75" customHeight="1">
      <c r="B6" s="259" t="s">
        <v>365</v>
      </c>
      <c r="C6" s="201"/>
      <c r="D6" s="270"/>
      <c r="E6" s="219"/>
      <c r="F6" s="219"/>
      <c r="G6" s="219"/>
      <c r="H6" s="220"/>
    </row>
    <row r="7" spans="1:8" ht="13.5" customHeight="1">
      <c r="A7" s="261" t="s">
        <v>366</v>
      </c>
      <c r="B7" s="226"/>
      <c r="C7" s="226"/>
      <c r="D7" s="226"/>
      <c r="E7" s="226"/>
      <c r="F7" s="226"/>
      <c r="G7" s="226"/>
      <c r="H7" s="226"/>
    </row>
    <row r="8" spans="1:8" ht="21.75" customHeight="1">
      <c r="B8" s="259" t="s">
        <v>367</v>
      </c>
      <c r="C8" s="201"/>
      <c r="D8" s="260">
        <f ca="1">TODAY()</f>
        <v>46152</v>
      </c>
      <c r="E8" s="219"/>
      <c r="F8" s="219"/>
      <c r="G8" s="219"/>
      <c r="H8" s="220"/>
    </row>
    <row r="9" spans="1:8" ht="21.75" customHeight="1">
      <c r="B9" s="259" t="s">
        <v>368</v>
      </c>
      <c r="C9" s="201"/>
      <c r="D9" s="274"/>
      <c r="E9" s="219"/>
      <c r="F9" s="219"/>
      <c r="G9" s="219"/>
      <c r="H9" s="220"/>
    </row>
    <row r="10" spans="1:8" ht="13.5" customHeight="1">
      <c r="A10" s="261" t="s">
        <v>369</v>
      </c>
      <c r="B10" s="226"/>
      <c r="C10" s="226"/>
      <c r="D10" s="226"/>
      <c r="E10" s="226"/>
      <c r="F10" s="226"/>
      <c r="G10" s="226"/>
      <c r="H10" s="226"/>
    </row>
    <row r="11" spans="1:8" ht="21.75" customHeight="1">
      <c r="B11" s="259" t="s">
        <v>370</v>
      </c>
      <c r="C11" s="201"/>
      <c r="D11" s="274"/>
      <c r="E11" s="219"/>
      <c r="F11" s="219"/>
      <c r="G11" s="219"/>
      <c r="H11" s="220"/>
    </row>
    <row r="12" spans="1:8" ht="13.5" customHeight="1">
      <c r="A12" s="261" t="s">
        <v>371</v>
      </c>
      <c r="B12" s="226"/>
      <c r="C12" s="226"/>
      <c r="D12" s="226"/>
      <c r="E12" s="226"/>
      <c r="F12" s="226"/>
      <c r="G12" s="226"/>
      <c r="H12" s="226"/>
    </row>
    <row r="13" spans="1:8" ht="6" customHeight="1"/>
    <row r="14" spans="1:8" ht="31.5" customHeight="1">
      <c r="A14" s="144" t="s">
        <v>349</v>
      </c>
      <c r="B14" s="144" t="s">
        <v>350</v>
      </c>
      <c r="C14" s="144" t="s">
        <v>351</v>
      </c>
      <c r="D14" s="144" t="s">
        <v>48</v>
      </c>
      <c r="E14" s="144" t="s">
        <v>352</v>
      </c>
      <c r="F14" s="144" t="s">
        <v>353</v>
      </c>
      <c r="G14" s="144" t="s">
        <v>354</v>
      </c>
      <c r="H14" s="144" t="s">
        <v>355</v>
      </c>
    </row>
    <row r="15" spans="1:8" ht="19.5" customHeight="1">
      <c r="A15" s="145">
        <v>1</v>
      </c>
      <c r="B15" s="146"/>
      <c r="C15" s="147" t="str">
        <f>IFERROR(VLOOKUP(B15,ARTICLES!$A$2:$G$485,2,0),"")</f>
        <v/>
      </c>
      <c r="D15" s="148" t="str">
        <f>IFERROR(VLOOKUP(B15,ARTICLES!$A$2:$G$485,3,0),"")</f>
        <v/>
      </c>
      <c r="E15" s="149"/>
      <c r="F15" s="149"/>
      <c r="G15" s="126" t="str">
        <f>IFERROR(VLOOKUP(B15,ARTICLES!$A$2:$G$485,7,0),"")</f>
        <v/>
      </c>
      <c r="H15" s="126" t="str">
        <f t="shared" ref="H15:H20" si="0">IFERROR(F15*G15,"")</f>
        <v/>
      </c>
    </row>
    <row r="16" spans="1:8" ht="19.5" customHeight="1">
      <c r="A16" s="145">
        <v>2</v>
      </c>
      <c r="B16" s="146"/>
      <c r="C16" s="147" t="str">
        <f>IFERROR(VLOOKUP(B16,ARTICLES!$A$2:$G$485,2,0),"")</f>
        <v/>
      </c>
      <c r="D16" s="148" t="str">
        <f>IFERROR(VLOOKUP(B16,ARTICLES!$A$2:$G$485,3,0),"")</f>
        <v/>
      </c>
      <c r="E16" s="149"/>
      <c r="F16" s="149"/>
      <c r="G16" s="126" t="str">
        <f>IFERROR(VLOOKUP(B16,ARTICLES!$A$2:$G$485,7,0),"")</f>
        <v/>
      </c>
      <c r="H16" s="126" t="str">
        <f t="shared" si="0"/>
        <v/>
      </c>
    </row>
    <row r="17" spans="1:8" ht="19.5" customHeight="1">
      <c r="A17" s="145">
        <v>3</v>
      </c>
      <c r="B17" s="146"/>
      <c r="C17" s="147" t="str">
        <f>IFERROR(VLOOKUP(B17,ARTICLES!$A$2:$G$485,2,0),"")</f>
        <v/>
      </c>
      <c r="D17" s="148" t="str">
        <f>IFERROR(VLOOKUP(B17,ARTICLES!$A$2:$G$485,3,0),"")</f>
        <v/>
      </c>
      <c r="E17" s="149"/>
      <c r="F17" s="149"/>
      <c r="G17" s="126" t="str">
        <f>IFERROR(VLOOKUP(B17,ARTICLES!$A$2:$G$485,7,0),"")</f>
        <v/>
      </c>
      <c r="H17" s="126" t="str">
        <f t="shared" si="0"/>
        <v/>
      </c>
    </row>
    <row r="18" spans="1:8" ht="19.5" customHeight="1">
      <c r="A18" s="145">
        <v>4</v>
      </c>
      <c r="B18" s="146"/>
      <c r="C18" s="147" t="str">
        <f>IFERROR(VLOOKUP(B18,ARTICLES!$A$2:$G$485,2,0),"")</f>
        <v/>
      </c>
      <c r="D18" s="148" t="str">
        <f>IFERROR(VLOOKUP(B18,ARTICLES!$A$2:$G$485,3,0),"")</f>
        <v/>
      </c>
      <c r="E18" s="149"/>
      <c r="F18" s="149"/>
      <c r="G18" s="126" t="str">
        <f>IFERROR(VLOOKUP(B18,ARTICLES!$A$2:$G$485,7,0),"")</f>
        <v/>
      </c>
      <c r="H18" s="126" t="str">
        <f t="shared" si="0"/>
        <v/>
      </c>
    </row>
    <row r="19" spans="1:8" ht="19.5" customHeight="1">
      <c r="A19" s="145">
        <v>5</v>
      </c>
      <c r="B19" s="146"/>
      <c r="C19" s="147" t="str">
        <f>IFERROR(VLOOKUP(B19,ARTICLES!$A$2:$G$485,2,0),"")</f>
        <v/>
      </c>
      <c r="D19" s="148" t="str">
        <f>IFERROR(VLOOKUP(B19,ARTICLES!$A$2:$G$485,3,0),"")</f>
        <v/>
      </c>
      <c r="E19" s="149"/>
      <c r="F19" s="149"/>
      <c r="G19" s="126" t="str">
        <f>IFERROR(VLOOKUP(B19,ARTICLES!$A$2:$G$485,7,0),"")</f>
        <v/>
      </c>
      <c r="H19" s="126" t="str">
        <f t="shared" si="0"/>
        <v/>
      </c>
    </row>
    <row r="20" spans="1:8" ht="19.5" customHeight="1">
      <c r="A20" s="145">
        <v>6</v>
      </c>
      <c r="B20" s="146"/>
      <c r="C20" s="147" t="str">
        <f>IFERROR(VLOOKUP(B20,ARTICLES!$A$2:$G$485,2,0),"")</f>
        <v/>
      </c>
      <c r="D20" s="148" t="str">
        <f>IFERROR(VLOOKUP(B20,ARTICLES!$A$2:$G$485,3,0),"")</f>
        <v/>
      </c>
      <c r="E20" s="149"/>
      <c r="F20" s="149"/>
      <c r="G20" s="126" t="str">
        <f>IFERROR(VLOOKUP(B20,ARTICLES!$A$2:$G$485,7,0),"")</f>
        <v/>
      </c>
      <c r="H20" s="126" t="str">
        <f t="shared" si="0"/>
        <v/>
      </c>
    </row>
    <row r="21" spans="1:8" ht="21.75" customHeight="1">
      <c r="A21" s="253" t="s">
        <v>356</v>
      </c>
      <c r="B21" s="219"/>
      <c r="C21" s="219"/>
      <c r="D21" s="219"/>
      <c r="E21" s="219"/>
      <c r="F21" s="219"/>
      <c r="G21" s="220"/>
      <c r="H21" s="150">
        <f>SUM(H15:H20)</f>
        <v>0</v>
      </c>
    </row>
    <row r="22" spans="1:8" ht="13.5" customHeight="1">
      <c r="A22" s="261" t="s">
        <v>372</v>
      </c>
      <c r="B22" s="226"/>
      <c r="C22" s="226"/>
      <c r="D22" s="226"/>
      <c r="E22" s="226"/>
      <c r="F22" s="226"/>
      <c r="G22" s="226"/>
      <c r="H22" s="226"/>
    </row>
    <row r="23" spans="1:8" ht="18" customHeight="1">
      <c r="A23" s="279" t="s">
        <v>358</v>
      </c>
      <c r="B23" s="213"/>
      <c r="C23" s="213"/>
      <c r="D23" s="213"/>
      <c r="E23" s="213"/>
      <c r="F23" s="213"/>
      <c r="G23" s="213"/>
      <c r="H23" s="201"/>
    </row>
    <row r="24" spans="1:8" ht="18" customHeight="1">
      <c r="A24" s="274"/>
      <c r="B24" s="275"/>
      <c r="C24" s="275"/>
      <c r="D24" s="275"/>
      <c r="E24" s="275"/>
      <c r="F24" s="275"/>
      <c r="G24" s="275"/>
      <c r="H24" s="276"/>
    </row>
    <row r="25" spans="1:8" ht="18" customHeight="1">
      <c r="A25" s="277"/>
      <c r="B25" s="226"/>
      <c r="C25" s="226"/>
      <c r="D25" s="226"/>
      <c r="E25" s="226"/>
      <c r="F25" s="226"/>
      <c r="G25" s="226"/>
      <c r="H25" s="278"/>
    </row>
    <row r="26" spans="1:8" ht="7.5" customHeight="1"/>
    <row r="27" spans="1:8" ht="24" customHeight="1">
      <c r="A27" s="269" t="s">
        <v>373</v>
      </c>
      <c r="B27" s="220"/>
      <c r="C27" s="269" t="s">
        <v>374</v>
      </c>
      <c r="D27" s="219"/>
      <c r="E27" s="220"/>
      <c r="F27" s="269" t="s">
        <v>375</v>
      </c>
      <c r="G27" s="219"/>
      <c r="H27" s="220"/>
    </row>
    <row r="28" spans="1:8" ht="24" customHeight="1">
      <c r="A28" s="262" t="s">
        <v>362</v>
      </c>
      <c r="B28" s="264"/>
      <c r="C28" s="262" t="s">
        <v>362</v>
      </c>
      <c r="D28" s="263"/>
      <c r="E28" s="264"/>
      <c r="F28" s="262" t="s">
        <v>362</v>
      </c>
      <c r="G28" s="263"/>
      <c r="H28" s="264"/>
    </row>
    <row r="29" spans="1:8" ht="24" customHeight="1">
      <c r="A29" s="265"/>
      <c r="B29" s="267"/>
      <c r="C29" s="265"/>
      <c r="D29" s="266"/>
      <c r="E29" s="267"/>
      <c r="F29" s="265"/>
      <c r="G29" s="266"/>
      <c r="H29" s="267"/>
    </row>
    <row r="30" spans="1:8" ht="13.5" customHeight="1">
      <c r="A30" s="261" t="s">
        <v>376</v>
      </c>
      <c r="B30" s="226"/>
      <c r="C30" s="226"/>
      <c r="D30" s="226"/>
      <c r="E30" s="226"/>
      <c r="F30" s="226"/>
      <c r="G30" s="226"/>
      <c r="H30" s="226"/>
    </row>
    <row r="31" spans="1:8" ht="13.5" customHeight="1">
      <c r="A31" s="212" t="s">
        <v>172</v>
      </c>
      <c r="B31" s="213"/>
      <c r="C31" s="213"/>
      <c r="D31" s="213"/>
      <c r="E31" s="213"/>
      <c r="F31" s="213"/>
      <c r="G31" s="213"/>
      <c r="H31" s="201"/>
    </row>
  </sheetData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68" t="s">
        <v>340</v>
      </c>
      <c r="B1" s="216"/>
      <c r="C1" s="216"/>
      <c r="D1" s="216"/>
      <c r="E1" s="216"/>
      <c r="F1" s="216"/>
      <c r="G1" s="216"/>
      <c r="H1" s="217"/>
    </row>
    <row r="2" spans="1:8" ht="18" customHeight="1">
      <c r="A2" s="272" t="s">
        <v>341</v>
      </c>
      <c r="B2" s="219"/>
      <c r="C2" s="219"/>
      <c r="D2" s="219"/>
      <c r="E2" s="219"/>
      <c r="F2" s="219"/>
      <c r="G2" s="219"/>
      <c r="H2" s="220"/>
    </row>
    <row r="3" spans="1:8" ht="15.75" customHeight="1">
      <c r="A3" s="271" t="s">
        <v>342</v>
      </c>
      <c r="B3" s="213"/>
      <c r="C3" s="213"/>
      <c r="D3" s="213"/>
      <c r="E3" s="213"/>
      <c r="F3" s="213"/>
      <c r="G3" s="213"/>
      <c r="H3" s="201"/>
    </row>
    <row r="4" spans="1:8" ht="6" customHeight="1"/>
    <row r="5" spans="1:8" ht="30" customHeight="1">
      <c r="A5" s="273" t="s">
        <v>377</v>
      </c>
      <c r="B5" s="216"/>
      <c r="C5" s="216"/>
      <c r="D5" s="216"/>
      <c r="E5" s="216"/>
      <c r="F5" s="216"/>
      <c r="G5" s="216"/>
      <c r="H5" s="217"/>
    </row>
    <row r="6" spans="1:8" ht="21.75" customHeight="1">
      <c r="B6" s="259" t="s">
        <v>378</v>
      </c>
      <c r="C6" s="201"/>
      <c r="D6" s="270"/>
      <c r="E6" s="219"/>
      <c r="F6" s="219"/>
      <c r="G6" s="219"/>
      <c r="H6" s="220"/>
    </row>
    <row r="7" spans="1:8" ht="13.5" customHeight="1">
      <c r="A7" s="261" t="s">
        <v>379</v>
      </c>
      <c r="B7" s="226"/>
      <c r="C7" s="226"/>
      <c r="D7" s="226"/>
      <c r="E7" s="226"/>
      <c r="F7" s="226"/>
      <c r="G7" s="226"/>
      <c r="H7" s="226"/>
    </row>
    <row r="8" spans="1:8" ht="21.75" customHeight="1">
      <c r="B8" s="259" t="s">
        <v>380</v>
      </c>
      <c r="C8" s="201"/>
      <c r="D8" s="260">
        <f ca="1">TODAY()</f>
        <v>46152</v>
      </c>
      <c r="E8" s="219"/>
      <c r="F8" s="219"/>
      <c r="G8" s="219"/>
      <c r="H8" s="220"/>
    </row>
    <row r="9" spans="1:8" ht="21.75" customHeight="1">
      <c r="B9" s="280" t="s">
        <v>381</v>
      </c>
      <c r="C9" s="201"/>
      <c r="D9" s="274"/>
      <c r="E9" s="219"/>
      <c r="F9" s="219"/>
      <c r="G9" s="219"/>
      <c r="H9" s="220"/>
    </row>
    <row r="10" spans="1:8" ht="13.5" customHeight="1">
      <c r="A10" s="261" t="s">
        <v>382</v>
      </c>
      <c r="B10" s="226"/>
      <c r="C10" s="226"/>
      <c r="D10" s="226"/>
      <c r="E10" s="226"/>
      <c r="F10" s="226"/>
      <c r="G10" s="226"/>
      <c r="H10" s="226"/>
    </row>
    <row r="11" spans="1:8" ht="21.75" customHeight="1">
      <c r="B11" s="259" t="s">
        <v>383</v>
      </c>
      <c r="C11" s="201"/>
      <c r="D11" s="274"/>
      <c r="E11" s="219"/>
      <c r="F11" s="219"/>
      <c r="G11" s="219"/>
      <c r="H11" s="220"/>
    </row>
    <row r="12" spans="1:8" ht="13.5" customHeight="1">
      <c r="A12" s="261" t="s">
        <v>384</v>
      </c>
      <c r="B12" s="226"/>
      <c r="C12" s="226"/>
      <c r="D12" s="226"/>
      <c r="E12" s="226"/>
      <c r="F12" s="226"/>
      <c r="G12" s="226"/>
      <c r="H12" s="226"/>
    </row>
    <row r="13" spans="1:8" ht="21.75" customHeight="1">
      <c r="B13" s="259" t="s">
        <v>385</v>
      </c>
      <c r="C13" s="201"/>
      <c r="D13" s="274"/>
      <c r="E13" s="219"/>
      <c r="F13" s="219"/>
      <c r="G13" s="219"/>
      <c r="H13" s="220"/>
    </row>
    <row r="14" spans="1:8" ht="13.5" customHeight="1">
      <c r="A14" s="261" t="s">
        <v>386</v>
      </c>
      <c r="B14" s="226"/>
      <c r="C14" s="226"/>
      <c r="D14" s="226"/>
      <c r="E14" s="226"/>
      <c r="F14" s="226"/>
      <c r="G14" s="226"/>
      <c r="H14" s="226"/>
    </row>
    <row r="15" spans="1:8" ht="6" customHeight="1"/>
    <row r="16" spans="1:8" ht="31.5" customHeight="1">
      <c r="A16" s="144" t="s">
        <v>349</v>
      </c>
      <c r="B16" s="144" t="s">
        <v>350</v>
      </c>
      <c r="C16" s="144" t="s">
        <v>351</v>
      </c>
      <c r="D16" s="144" t="s">
        <v>48</v>
      </c>
      <c r="E16" s="144" t="s">
        <v>352</v>
      </c>
      <c r="F16" s="144" t="s">
        <v>353</v>
      </c>
      <c r="G16" s="144" t="s">
        <v>354</v>
      </c>
      <c r="H16" s="144" t="s">
        <v>355</v>
      </c>
    </row>
    <row r="17" spans="1:8" ht="19.5" customHeight="1">
      <c r="A17" s="145">
        <v>1</v>
      </c>
      <c r="B17" s="146"/>
      <c r="C17" s="147" t="str">
        <f>IFERROR(VLOOKUP(B17,ARTICLES!$A$2:$G$485,2,0),"")</f>
        <v/>
      </c>
      <c r="D17" s="148" t="str">
        <f>IFERROR(VLOOKUP(B17,ARTICLES!$A$2:$G$485,3,0),"")</f>
        <v/>
      </c>
      <c r="E17" s="149"/>
      <c r="F17" s="149"/>
      <c r="G17" s="126" t="str">
        <f>IFERROR(VLOOKUP(B17,ARTICLES!$A$2:$G$485,7,0),"")</f>
        <v/>
      </c>
      <c r="H17" s="126" t="str">
        <f t="shared" ref="H17:H24" si="0">IFERROR(F17*G17,"")</f>
        <v/>
      </c>
    </row>
    <row r="18" spans="1:8" ht="19.5" customHeight="1">
      <c r="A18" s="145">
        <v>2</v>
      </c>
      <c r="B18" s="146"/>
      <c r="C18" s="147" t="str">
        <f>IFERROR(VLOOKUP(B18,ARTICLES!$A$2:$G$485,2,0),"")</f>
        <v/>
      </c>
      <c r="D18" s="148" t="str">
        <f>IFERROR(VLOOKUP(B18,ARTICLES!$A$2:$G$485,3,0),"")</f>
        <v/>
      </c>
      <c r="E18" s="149"/>
      <c r="F18" s="149"/>
      <c r="G18" s="126" t="str">
        <f>IFERROR(VLOOKUP(B18,ARTICLES!$A$2:$G$485,7,0),"")</f>
        <v/>
      </c>
      <c r="H18" s="126" t="str">
        <f t="shared" si="0"/>
        <v/>
      </c>
    </row>
    <row r="19" spans="1:8" ht="19.5" customHeight="1">
      <c r="A19" s="145">
        <v>3</v>
      </c>
      <c r="B19" s="146"/>
      <c r="C19" s="147" t="str">
        <f>IFERROR(VLOOKUP(B19,ARTICLES!$A$2:$G$485,2,0),"")</f>
        <v/>
      </c>
      <c r="D19" s="148" t="str">
        <f>IFERROR(VLOOKUP(B19,ARTICLES!$A$2:$G$485,3,0),"")</f>
        <v/>
      </c>
      <c r="E19" s="149"/>
      <c r="F19" s="149"/>
      <c r="G19" s="126" t="str">
        <f>IFERROR(VLOOKUP(B19,ARTICLES!$A$2:$G$485,7,0),"")</f>
        <v/>
      </c>
      <c r="H19" s="126" t="str">
        <f t="shared" si="0"/>
        <v/>
      </c>
    </row>
    <row r="20" spans="1:8" ht="19.5" customHeight="1">
      <c r="A20" s="145">
        <v>4</v>
      </c>
      <c r="B20" s="146"/>
      <c r="C20" s="147" t="str">
        <f>IFERROR(VLOOKUP(B20,ARTICLES!$A$2:$G$485,2,0),"")</f>
        <v/>
      </c>
      <c r="D20" s="148" t="str">
        <f>IFERROR(VLOOKUP(B20,ARTICLES!$A$2:$G$485,3,0),"")</f>
        <v/>
      </c>
      <c r="E20" s="149"/>
      <c r="F20" s="149"/>
      <c r="G20" s="126" t="str">
        <f>IFERROR(VLOOKUP(B20,ARTICLES!$A$2:$G$485,7,0),"")</f>
        <v/>
      </c>
      <c r="H20" s="126" t="str">
        <f t="shared" si="0"/>
        <v/>
      </c>
    </row>
    <row r="21" spans="1:8" ht="19.5" customHeight="1">
      <c r="A21" s="145">
        <v>5</v>
      </c>
      <c r="B21" s="146"/>
      <c r="C21" s="147" t="str">
        <f>IFERROR(VLOOKUP(B21,ARTICLES!$A$2:$G$485,2,0),"")</f>
        <v/>
      </c>
      <c r="D21" s="148" t="str">
        <f>IFERROR(VLOOKUP(B21,ARTICLES!$A$2:$G$485,3,0),"")</f>
        <v/>
      </c>
      <c r="E21" s="149"/>
      <c r="F21" s="149"/>
      <c r="G21" s="126" t="str">
        <f>IFERROR(VLOOKUP(B21,ARTICLES!$A$2:$G$485,7,0),"")</f>
        <v/>
      </c>
      <c r="H21" s="126" t="str">
        <f t="shared" si="0"/>
        <v/>
      </c>
    </row>
    <row r="22" spans="1:8" ht="19.5" customHeight="1">
      <c r="A22" s="145">
        <v>6</v>
      </c>
      <c r="B22" s="146"/>
      <c r="C22" s="147" t="str">
        <f>IFERROR(VLOOKUP(B22,ARTICLES!$A$2:$G$485,2,0),"")</f>
        <v/>
      </c>
      <c r="D22" s="148" t="str">
        <f>IFERROR(VLOOKUP(B22,ARTICLES!$A$2:$G$485,3,0),"")</f>
        <v/>
      </c>
      <c r="E22" s="149"/>
      <c r="F22" s="149"/>
      <c r="G22" s="126" t="str">
        <f>IFERROR(VLOOKUP(B22,ARTICLES!$A$2:$G$485,7,0),"")</f>
        <v/>
      </c>
      <c r="H22" s="126" t="str">
        <f t="shared" si="0"/>
        <v/>
      </c>
    </row>
    <row r="23" spans="1:8" ht="19.5" customHeight="1">
      <c r="A23" s="145">
        <v>7</v>
      </c>
      <c r="B23" s="146"/>
      <c r="C23" s="147" t="str">
        <f>IFERROR(VLOOKUP(B23,ARTICLES!$A$2:$G$485,2,0),"")</f>
        <v/>
      </c>
      <c r="D23" s="148" t="str">
        <f>IFERROR(VLOOKUP(B23,ARTICLES!$A$2:$G$485,3,0),"")</f>
        <v/>
      </c>
      <c r="E23" s="149"/>
      <c r="F23" s="149"/>
      <c r="G23" s="126" t="str">
        <f>IFERROR(VLOOKUP(B23,ARTICLES!$A$2:$G$485,7,0),"")</f>
        <v/>
      </c>
      <c r="H23" s="126" t="str">
        <f t="shared" si="0"/>
        <v/>
      </c>
    </row>
    <row r="24" spans="1:8" ht="19.5" customHeight="1">
      <c r="A24" s="145">
        <v>8</v>
      </c>
      <c r="B24" s="146"/>
      <c r="C24" s="147" t="str">
        <f>IFERROR(VLOOKUP(B24,ARTICLES!$A$2:$G$485,2,0),"")</f>
        <v/>
      </c>
      <c r="D24" s="148" t="str">
        <f>IFERROR(VLOOKUP(B24,ARTICLES!$A$2:$G$485,3,0),"")</f>
        <v/>
      </c>
      <c r="E24" s="149"/>
      <c r="F24" s="149"/>
      <c r="G24" s="126" t="str">
        <f>IFERROR(VLOOKUP(B24,ARTICLES!$A$2:$G$485,7,0),"")</f>
        <v/>
      </c>
      <c r="H24" s="126" t="str">
        <f t="shared" si="0"/>
        <v/>
      </c>
    </row>
    <row r="25" spans="1:8" ht="21.75" customHeight="1">
      <c r="A25" s="253" t="s">
        <v>356</v>
      </c>
      <c r="B25" s="219"/>
      <c r="C25" s="219"/>
      <c r="D25" s="219"/>
      <c r="E25" s="219"/>
      <c r="F25" s="219"/>
      <c r="G25" s="220"/>
      <c r="H25" s="150">
        <f>SUM(H17:H24)</f>
        <v>0</v>
      </c>
    </row>
    <row r="26" spans="1:8" ht="18" customHeight="1">
      <c r="A26" s="279" t="s">
        <v>387</v>
      </c>
      <c r="B26" s="213"/>
      <c r="C26" s="213"/>
      <c r="D26" s="213"/>
      <c r="E26" s="213"/>
      <c r="F26" s="213"/>
      <c r="G26" s="213"/>
      <c r="H26" s="201"/>
    </row>
    <row r="27" spans="1:8" ht="18" customHeight="1">
      <c r="A27" s="274"/>
      <c r="B27" s="275"/>
      <c r="C27" s="275"/>
      <c r="D27" s="275"/>
      <c r="E27" s="275"/>
      <c r="F27" s="275"/>
      <c r="G27" s="275"/>
      <c r="H27" s="276"/>
    </row>
    <row r="28" spans="1:8" ht="18" customHeight="1">
      <c r="A28" s="277"/>
      <c r="B28" s="226"/>
      <c r="C28" s="226"/>
      <c r="D28" s="226"/>
      <c r="E28" s="226"/>
      <c r="F28" s="226"/>
      <c r="G28" s="226"/>
      <c r="H28" s="278"/>
    </row>
    <row r="29" spans="1:8" ht="7.5" customHeight="1"/>
    <row r="30" spans="1:8" ht="24" customHeight="1">
      <c r="A30" s="269" t="s">
        <v>388</v>
      </c>
      <c r="B30" s="220"/>
      <c r="C30" s="269" t="s">
        <v>389</v>
      </c>
      <c r="D30" s="219"/>
      <c r="E30" s="220"/>
      <c r="F30" s="269" t="s">
        <v>390</v>
      </c>
      <c r="G30" s="219"/>
      <c r="H30" s="220"/>
    </row>
    <row r="31" spans="1:8" ht="24" customHeight="1">
      <c r="A31" s="262" t="s">
        <v>362</v>
      </c>
      <c r="B31" s="264"/>
      <c r="C31" s="262" t="s">
        <v>362</v>
      </c>
      <c r="D31" s="263"/>
      <c r="E31" s="264"/>
      <c r="F31" s="262" t="s">
        <v>362</v>
      </c>
      <c r="G31" s="263"/>
      <c r="H31" s="264"/>
    </row>
    <row r="32" spans="1:8" ht="24" customHeight="1">
      <c r="A32" s="265"/>
      <c r="B32" s="267"/>
      <c r="C32" s="265"/>
      <c r="D32" s="266"/>
      <c r="E32" s="267"/>
      <c r="F32" s="265"/>
      <c r="G32" s="266"/>
      <c r="H32" s="267"/>
    </row>
    <row r="33" spans="1:8" ht="13.5" customHeight="1">
      <c r="A33" s="261" t="s">
        <v>391</v>
      </c>
      <c r="B33" s="226"/>
      <c r="C33" s="226"/>
      <c r="D33" s="226"/>
      <c r="E33" s="226"/>
      <c r="F33" s="226"/>
      <c r="G33" s="226"/>
      <c r="H33" s="226"/>
    </row>
    <row r="34" spans="1:8" ht="13.5" customHeight="1">
      <c r="A34" s="212" t="s">
        <v>172</v>
      </c>
      <c r="B34" s="213"/>
      <c r="C34" s="213"/>
      <c r="D34" s="213"/>
      <c r="E34" s="213"/>
      <c r="F34" s="213"/>
      <c r="G34" s="213"/>
      <c r="H34" s="201"/>
    </row>
  </sheetData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68" t="s">
        <v>340</v>
      </c>
      <c r="B1" s="216"/>
      <c r="C1" s="216"/>
      <c r="D1" s="216"/>
      <c r="E1" s="216"/>
      <c r="F1" s="216"/>
      <c r="G1" s="216"/>
      <c r="H1" s="217"/>
    </row>
    <row r="2" spans="1:8" ht="18" customHeight="1">
      <c r="A2" s="272" t="s">
        <v>3</v>
      </c>
      <c r="B2" s="219"/>
      <c r="C2" s="219"/>
      <c r="D2" s="219"/>
      <c r="E2" s="219"/>
      <c r="F2" s="219"/>
      <c r="G2" s="219"/>
      <c r="H2" s="220"/>
    </row>
    <row r="3" spans="1:8" ht="6" customHeight="1"/>
    <row r="4" spans="1:8" ht="30" customHeight="1">
      <c r="A4" s="273" t="s">
        <v>392</v>
      </c>
      <c r="B4" s="216"/>
      <c r="C4" s="216"/>
      <c r="D4" s="216"/>
      <c r="E4" s="216"/>
      <c r="F4" s="216"/>
      <c r="G4" s="216"/>
      <c r="H4" s="217"/>
    </row>
    <row r="5" spans="1:8" ht="6" customHeight="1"/>
    <row r="6" spans="1:8" ht="21.75" customHeight="1">
      <c r="B6" s="259" t="s">
        <v>393</v>
      </c>
      <c r="C6" s="201"/>
      <c r="D6" s="258"/>
      <c r="E6" s="219"/>
      <c r="F6" s="219"/>
      <c r="G6" s="219"/>
      <c r="H6" s="220"/>
    </row>
    <row r="7" spans="1:8" ht="13.5" customHeight="1">
      <c r="A7" s="284" t="s">
        <v>394</v>
      </c>
      <c r="B7" s="226"/>
      <c r="C7" s="226"/>
      <c r="D7" s="226"/>
      <c r="E7" s="226"/>
      <c r="F7" s="226"/>
      <c r="G7" s="226"/>
      <c r="H7" s="226"/>
    </row>
    <row r="8" spans="1:8" ht="21.75" customHeight="1">
      <c r="B8" s="259" t="s">
        <v>395</v>
      </c>
      <c r="C8" s="201"/>
      <c r="D8" s="260">
        <f ca="1">TODAY()</f>
        <v>46152</v>
      </c>
      <c r="E8" s="219"/>
      <c r="F8" s="219"/>
      <c r="G8" s="219"/>
      <c r="H8" s="220"/>
    </row>
    <row r="9" spans="1:8" ht="21.75" customHeight="1">
      <c r="B9" s="259" t="s">
        <v>368</v>
      </c>
      <c r="C9" s="201"/>
      <c r="D9" s="258"/>
      <c r="E9" s="219"/>
      <c r="F9" s="219"/>
      <c r="G9" s="219"/>
      <c r="H9" s="220"/>
    </row>
    <row r="10" spans="1:8" ht="13.5" customHeight="1">
      <c r="A10" s="261" t="s">
        <v>396</v>
      </c>
      <c r="B10" s="226"/>
      <c r="C10" s="226"/>
      <c r="D10" s="226"/>
      <c r="E10" s="226"/>
      <c r="F10" s="226"/>
      <c r="G10" s="226"/>
      <c r="H10" s="226"/>
    </row>
    <row r="11" spans="1:8" ht="21.75" customHeight="1">
      <c r="B11" s="259" t="s">
        <v>397</v>
      </c>
      <c r="C11" s="201"/>
      <c r="D11" s="258"/>
      <c r="E11" s="219"/>
      <c r="F11" s="219"/>
      <c r="G11" s="219"/>
      <c r="H11" s="220"/>
    </row>
    <row r="12" spans="1:8" ht="13.5" customHeight="1">
      <c r="A12" s="261" t="s">
        <v>398</v>
      </c>
      <c r="B12" s="226"/>
      <c r="C12" s="226"/>
      <c r="D12" s="226"/>
      <c r="E12" s="226"/>
      <c r="F12" s="226"/>
      <c r="G12" s="226"/>
      <c r="H12" s="226"/>
    </row>
    <row r="13" spans="1:8" ht="21.75" customHeight="1">
      <c r="B13" s="259" t="s">
        <v>399</v>
      </c>
      <c r="C13" s="201"/>
      <c r="D13" s="258"/>
      <c r="E13" s="219"/>
      <c r="F13" s="219"/>
      <c r="G13" s="219"/>
      <c r="H13" s="220"/>
    </row>
    <row r="14" spans="1:8" ht="13.5" customHeight="1">
      <c r="A14" s="261" t="s">
        <v>400</v>
      </c>
      <c r="B14" s="226"/>
      <c r="C14" s="226"/>
      <c r="D14" s="226"/>
      <c r="E14" s="226"/>
      <c r="F14" s="226"/>
      <c r="G14" s="226"/>
      <c r="H14" s="226"/>
    </row>
    <row r="15" spans="1:8" ht="6" customHeight="1"/>
    <row r="16" spans="1:8" ht="31.5" customHeight="1">
      <c r="A16" s="144" t="s">
        <v>349</v>
      </c>
      <c r="B16" s="144" t="s">
        <v>47</v>
      </c>
      <c r="C16" s="144" t="s">
        <v>351</v>
      </c>
      <c r="D16" s="144" t="s">
        <v>48</v>
      </c>
      <c r="E16" s="144" t="s">
        <v>401</v>
      </c>
      <c r="F16" s="144" t="s">
        <v>402</v>
      </c>
      <c r="G16" s="144" t="s">
        <v>403</v>
      </c>
      <c r="H16" s="144" t="s">
        <v>404</v>
      </c>
    </row>
    <row r="17" spans="1:8" ht="19.5" customHeight="1">
      <c r="A17" s="125">
        <v>1</v>
      </c>
      <c r="B17" s="146"/>
      <c r="C17" s="147" t="str">
        <f>IFERROR(VLOOKUP(B17,ARTICLES!$A$2:$G$485,2,0),"")</f>
        <v/>
      </c>
      <c r="D17" s="148" t="str">
        <f>IFERROR(VLOOKUP(B17,ARTICLES!$A$2:$G$485,3,0),"")</f>
        <v/>
      </c>
      <c r="E17" s="149"/>
      <c r="F17" s="151"/>
      <c r="G17" s="147"/>
      <c r="H17" s="117" t="str">
        <f>IFERROR(IF(B17="","",SUMIFS(MOUVEMENTS!$E$3:$E$500,MOUVEMENTS!$B$3:$B$500,B17,MOUVEMENTS!$D$3:$D$500,"IN")-SUMIFS(MOUVEMENTS!$E$3:$E$500,MOUVEMENTS!$B$3:$B$500,B17,MOUVEMENTS!$D$3:$D$500,"OUT")),"?")</f>
        <v/>
      </c>
    </row>
    <row r="18" spans="1:8" ht="19.5" customHeight="1">
      <c r="A18" s="125">
        <v>2</v>
      </c>
      <c r="B18" s="146"/>
      <c r="C18" s="147" t="str">
        <f>IFERROR(VLOOKUP(B18,ARTICLES!$A$2:$G$485,2,0),"")</f>
        <v/>
      </c>
      <c r="D18" s="148" t="str">
        <f>IFERROR(VLOOKUP(B18,ARTICLES!$A$2:$G$485,3,0),"")</f>
        <v/>
      </c>
      <c r="E18" s="149"/>
      <c r="F18" s="151"/>
      <c r="G18" s="147"/>
      <c r="H18" s="117" t="str">
        <f>IFERROR(IF(B18="","",SUMIFS(MOUVEMENTS!$E$3:$E$500,MOUVEMENTS!$B$3:$B$500,B18,MOUVEMENTS!$D$3:$D$500,"IN")-SUMIFS(MOUVEMENTS!$E$3:$E$500,MOUVEMENTS!$B$3:$B$500,B18,MOUVEMENTS!$D$3:$D$500,"OUT")),"?")</f>
        <v/>
      </c>
    </row>
    <row r="19" spans="1:8" ht="19.5" customHeight="1">
      <c r="A19" s="125">
        <v>3</v>
      </c>
      <c r="B19" s="146"/>
      <c r="C19" s="147" t="str">
        <f>IFERROR(VLOOKUP(B19,ARTICLES!$A$2:$G$485,2,0),"")</f>
        <v/>
      </c>
      <c r="D19" s="148" t="str">
        <f>IFERROR(VLOOKUP(B19,ARTICLES!$A$2:$G$485,3,0),"")</f>
        <v/>
      </c>
      <c r="E19" s="149"/>
      <c r="F19" s="151"/>
      <c r="G19" s="147"/>
      <c r="H19" s="117" t="str">
        <f>IFERROR(IF(B19="","",SUMIFS(MOUVEMENTS!$E$3:$E$500,MOUVEMENTS!$B$3:$B$500,B19,MOUVEMENTS!$D$3:$D$500,"IN")-SUMIFS(MOUVEMENTS!$E$3:$E$500,MOUVEMENTS!$B$3:$B$500,B19,MOUVEMENTS!$D$3:$D$500,"OUT")),"?")</f>
        <v/>
      </c>
    </row>
    <row r="20" spans="1:8" ht="19.5" customHeight="1">
      <c r="A20" s="125">
        <v>4</v>
      </c>
      <c r="B20" s="146"/>
      <c r="C20" s="147" t="str">
        <f>IFERROR(VLOOKUP(B20,ARTICLES!$A$2:$G$485,2,0),"")</f>
        <v/>
      </c>
      <c r="D20" s="148" t="str">
        <f>IFERROR(VLOOKUP(B20,ARTICLES!$A$2:$G$485,3,0),"")</f>
        <v/>
      </c>
      <c r="E20" s="149"/>
      <c r="F20" s="151"/>
      <c r="G20" s="147"/>
      <c r="H20" s="117" t="str">
        <f>IFERROR(IF(B20="","",SUMIFS(MOUVEMENTS!$E$3:$E$500,MOUVEMENTS!$B$3:$B$500,B20,MOUVEMENTS!$D$3:$D$500,"IN")-SUMIFS(MOUVEMENTS!$E$3:$E$500,MOUVEMENTS!$B$3:$B$500,B20,MOUVEMENTS!$D$3:$D$500,"OUT")),"?")</f>
        <v/>
      </c>
    </row>
    <row r="21" spans="1:8" ht="19.5" customHeight="1">
      <c r="A21" s="125">
        <v>5</v>
      </c>
      <c r="B21" s="146"/>
      <c r="C21" s="147" t="str">
        <f>IFERROR(VLOOKUP(B21,ARTICLES!$A$2:$G$485,2,0),"")</f>
        <v/>
      </c>
      <c r="D21" s="148" t="str">
        <f>IFERROR(VLOOKUP(B21,ARTICLES!$A$2:$G$485,3,0),"")</f>
        <v/>
      </c>
      <c r="E21" s="149"/>
      <c r="F21" s="151"/>
      <c r="G21" s="147"/>
      <c r="H21" s="117" t="str">
        <f>IFERROR(IF(B21="","",SUMIFS(MOUVEMENTS!$E$3:$E$500,MOUVEMENTS!$B$3:$B$500,B21,MOUVEMENTS!$D$3:$D$500,"IN")-SUMIFS(MOUVEMENTS!$E$3:$E$500,MOUVEMENTS!$B$3:$B$500,B21,MOUVEMENTS!$D$3:$D$500,"OUT")),"?")</f>
        <v/>
      </c>
    </row>
    <row r="22" spans="1:8" ht="19.5" customHeight="1">
      <c r="A22" s="125">
        <v>6</v>
      </c>
      <c r="B22" s="146"/>
      <c r="C22" s="147" t="str">
        <f>IFERROR(VLOOKUP(B22,ARTICLES!$A$2:$G$485,2,0),"")</f>
        <v/>
      </c>
      <c r="D22" s="148" t="str">
        <f>IFERROR(VLOOKUP(B22,ARTICLES!$A$2:$G$485,3,0),"")</f>
        <v/>
      </c>
      <c r="E22" s="149"/>
      <c r="F22" s="151"/>
      <c r="G22" s="147"/>
      <c r="H22" s="117" t="str">
        <f>IFERROR(IF(B22="","",SUMIFS(MOUVEMENTS!$E$3:$E$500,MOUVEMENTS!$B$3:$B$500,B22,MOUVEMENTS!$D$3:$D$500,"IN")-SUMIFS(MOUVEMENTS!$E$3:$E$500,MOUVEMENTS!$B$3:$B$500,B22,MOUVEMENTS!$D$3:$D$500,"OUT")),"?")</f>
        <v/>
      </c>
    </row>
    <row r="23" spans="1:8" ht="19.5" customHeight="1">
      <c r="A23" s="125">
        <v>7</v>
      </c>
      <c r="B23" s="146"/>
      <c r="C23" s="147" t="str">
        <f>IFERROR(VLOOKUP(B23,ARTICLES!$A$2:$G$485,2,0),"")</f>
        <v/>
      </c>
      <c r="D23" s="148" t="str">
        <f>IFERROR(VLOOKUP(B23,ARTICLES!$A$2:$G$485,3,0),"")</f>
        <v/>
      </c>
      <c r="E23" s="149"/>
      <c r="F23" s="151"/>
      <c r="G23" s="147"/>
      <c r="H23" s="117" t="str">
        <f>IFERROR(IF(B23="","",SUMIFS(MOUVEMENTS!$E$3:$E$500,MOUVEMENTS!$B$3:$B$500,B23,MOUVEMENTS!$D$3:$D$500,"IN")-SUMIFS(MOUVEMENTS!$E$3:$E$500,MOUVEMENTS!$B$3:$B$500,B23,MOUVEMENTS!$D$3:$D$500,"OUT")),"?")</f>
        <v/>
      </c>
    </row>
    <row r="24" spans="1:8" ht="19.5" customHeight="1">
      <c r="A24" s="125">
        <v>8</v>
      </c>
      <c r="B24" s="146"/>
      <c r="C24" s="147" t="str">
        <f>IFERROR(VLOOKUP(B24,ARTICLES!$A$2:$G$485,2,0),"")</f>
        <v/>
      </c>
      <c r="D24" s="148" t="str">
        <f>IFERROR(VLOOKUP(B24,ARTICLES!$A$2:$G$485,3,0),"")</f>
        <v/>
      </c>
      <c r="E24" s="149"/>
      <c r="F24" s="151"/>
      <c r="G24" s="147"/>
      <c r="H24" s="117" t="str">
        <f>IFERROR(IF(B24="","",SUMIFS(MOUVEMENTS!$E$3:$E$500,MOUVEMENTS!$B$3:$B$500,B24,MOUVEMENTS!$D$3:$D$500,"IN")-SUMIFS(MOUVEMENTS!$E$3:$E$500,MOUVEMENTS!$B$3:$B$500,B24,MOUVEMENTS!$D$3:$D$500,"OUT")),"?")</f>
        <v/>
      </c>
    </row>
    <row r="25" spans="1:8" ht="6" customHeight="1">
      <c r="A25" s="285"/>
      <c r="B25" s="213"/>
      <c r="C25" s="213"/>
      <c r="D25" s="213"/>
      <c r="E25" s="213"/>
      <c r="F25" s="213"/>
      <c r="G25" s="213"/>
      <c r="H25" s="201"/>
    </row>
    <row r="26" spans="1:8" ht="21.75" customHeight="1">
      <c r="A26" s="281" t="s">
        <v>405</v>
      </c>
      <c r="B26" s="275"/>
      <c r="C26" s="275"/>
      <c r="D26" s="275"/>
      <c r="E26" s="275"/>
      <c r="F26" s="275"/>
      <c r="G26" s="275"/>
      <c r="H26" s="276"/>
    </row>
    <row r="27" spans="1:8" ht="21.75" customHeight="1">
      <c r="A27" s="282"/>
      <c r="B27" s="205"/>
      <c r="C27" s="205"/>
      <c r="D27" s="205"/>
      <c r="E27" s="205"/>
      <c r="F27" s="205"/>
      <c r="G27" s="205"/>
      <c r="H27" s="283"/>
    </row>
    <row r="28" spans="1:8" ht="21.75" customHeight="1">
      <c r="A28" s="277"/>
      <c r="B28" s="226"/>
      <c r="C28" s="226"/>
      <c r="D28" s="226"/>
      <c r="E28" s="226"/>
      <c r="F28" s="226"/>
      <c r="G28" s="226"/>
      <c r="H28" s="278"/>
    </row>
    <row r="29" spans="1:8" ht="7.5" customHeight="1"/>
    <row r="30" spans="1:8" ht="24" customHeight="1">
      <c r="A30" s="269" t="s">
        <v>406</v>
      </c>
      <c r="B30" s="219"/>
      <c r="C30" s="220"/>
      <c r="D30" s="269" t="s">
        <v>407</v>
      </c>
      <c r="E30" s="219"/>
      <c r="F30" s="220"/>
      <c r="G30" s="269" t="s">
        <v>408</v>
      </c>
      <c r="H30" s="220"/>
    </row>
    <row r="31" spans="1:8" ht="24" customHeight="1">
      <c r="A31" s="262" t="s">
        <v>362</v>
      </c>
      <c r="B31" s="263"/>
      <c r="C31" s="264"/>
      <c r="D31" s="262" t="s">
        <v>362</v>
      </c>
      <c r="E31" s="263"/>
      <c r="F31" s="264"/>
      <c r="G31" s="262" t="s">
        <v>362</v>
      </c>
      <c r="H31" s="264"/>
    </row>
    <row r="32" spans="1:8" ht="24" customHeight="1">
      <c r="A32" s="265"/>
      <c r="B32" s="266"/>
      <c r="C32" s="267"/>
      <c r="D32" s="265"/>
      <c r="E32" s="266"/>
      <c r="F32" s="267"/>
      <c r="G32" s="265"/>
      <c r="H32" s="267"/>
    </row>
    <row r="33" spans="1:8" ht="13.5" customHeight="1">
      <c r="A33" s="212" t="s">
        <v>172</v>
      </c>
      <c r="B33" s="213"/>
      <c r="C33" s="213"/>
      <c r="D33" s="213"/>
      <c r="E33" s="213"/>
      <c r="F33" s="213"/>
      <c r="G33" s="213"/>
      <c r="H33" s="201"/>
    </row>
  </sheetData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86" t="s">
        <v>409</v>
      </c>
      <c r="B1" s="205"/>
    </row>
    <row r="2" spans="1:2" ht="24" customHeight="1">
      <c r="A2" s="152" t="s">
        <v>410</v>
      </c>
      <c r="B2" s="153" t="s">
        <v>411</v>
      </c>
    </row>
    <row r="3" spans="1:2" ht="18" customHeight="1">
      <c r="A3" s="154" t="s">
        <v>412</v>
      </c>
      <c r="B3" s="155" t="s">
        <v>413</v>
      </c>
    </row>
    <row r="4" spans="1:2" ht="18" customHeight="1">
      <c r="A4" s="154" t="s">
        <v>412</v>
      </c>
      <c r="B4" s="156" t="s">
        <v>414</v>
      </c>
    </row>
    <row r="5" spans="1:2" ht="18" customHeight="1">
      <c r="A5" s="154" t="s">
        <v>412</v>
      </c>
      <c r="B5" s="155" t="s">
        <v>415</v>
      </c>
    </row>
    <row r="6" spans="1:2" ht="18" customHeight="1">
      <c r="A6" s="154" t="s">
        <v>412</v>
      </c>
      <c r="B6" s="156" t="s">
        <v>416</v>
      </c>
    </row>
    <row r="7" spans="1:2" ht="18" customHeight="1">
      <c r="A7" s="154" t="s">
        <v>412</v>
      </c>
      <c r="B7" s="155" t="s">
        <v>417</v>
      </c>
    </row>
    <row r="8" spans="1:2" ht="18" customHeight="1">
      <c r="A8" s="154" t="s">
        <v>412</v>
      </c>
      <c r="B8" s="156" t="s">
        <v>418</v>
      </c>
    </row>
    <row r="9" spans="1:2" ht="18" customHeight="1">
      <c r="A9" s="154" t="s">
        <v>412</v>
      </c>
      <c r="B9" s="155" t="s">
        <v>419</v>
      </c>
    </row>
    <row r="10" spans="1:2" ht="18" customHeight="1">
      <c r="A10" s="154" t="s">
        <v>412</v>
      </c>
      <c r="B10" s="156" t="s">
        <v>420</v>
      </c>
    </row>
    <row r="11" spans="1:2" ht="18" customHeight="1">
      <c r="A11" s="154"/>
      <c r="B11" s="155"/>
    </row>
    <row r="12" spans="1:2" ht="24" customHeight="1">
      <c r="A12" s="152" t="s">
        <v>410</v>
      </c>
      <c r="B12" s="153" t="s">
        <v>421</v>
      </c>
    </row>
    <row r="13" spans="1:2" ht="18" customHeight="1">
      <c r="A13" s="154" t="s">
        <v>412</v>
      </c>
      <c r="B13" s="155" t="s">
        <v>422</v>
      </c>
    </row>
    <row r="14" spans="1:2" ht="18" customHeight="1">
      <c r="A14" s="154" t="s">
        <v>412</v>
      </c>
      <c r="B14" s="156" t="s">
        <v>423</v>
      </c>
    </row>
    <row r="15" spans="1:2" ht="18" customHeight="1">
      <c r="A15" s="154" t="s">
        <v>412</v>
      </c>
      <c r="B15" s="155" t="s">
        <v>424</v>
      </c>
    </row>
    <row r="16" spans="1:2" ht="18" customHeight="1">
      <c r="A16" s="154"/>
      <c r="B16" s="156"/>
    </row>
    <row r="17" spans="1:2" ht="24" customHeight="1">
      <c r="A17" s="152" t="s">
        <v>410</v>
      </c>
      <c r="B17" s="153" t="s">
        <v>425</v>
      </c>
    </row>
    <row r="18" spans="1:2" ht="18" customHeight="1">
      <c r="A18" s="154" t="s">
        <v>426</v>
      </c>
      <c r="B18" s="156" t="s">
        <v>427</v>
      </c>
    </row>
    <row r="19" spans="1:2" ht="18" customHeight="1">
      <c r="A19" s="154" t="s">
        <v>426</v>
      </c>
      <c r="B19" s="155" t="s">
        <v>428</v>
      </c>
    </row>
    <row r="20" spans="1:2" ht="18" customHeight="1">
      <c r="A20" s="154" t="s">
        <v>426</v>
      </c>
      <c r="B20" s="156" t="s">
        <v>429</v>
      </c>
    </row>
    <row r="21" spans="1:2" ht="18" customHeight="1">
      <c r="A21" s="154"/>
      <c r="B21" s="155"/>
    </row>
    <row r="22" spans="1:2" ht="24" customHeight="1">
      <c r="A22" s="152" t="s">
        <v>410</v>
      </c>
      <c r="B22" s="153" t="s">
        <v>430</v>
      </c>
    </row>
    <row r="23" spans="1:2" ht="18" customHeight="1">
      <c r="A23" s="154" t="s">
        <v>431</v>
      </c>
      <c r="B23" s="155" t="s">
        <v>432</v>
      </c>
    </row>
    <row r="24" spans="1:2" ht="18" customHeight="1">
      <c r="A24" s="154" t="s">
        <v>433</v>
      </c>
      <c r="B24" s="156" t="s">
        <v>434</v>
      </c>
    </row>
    <row r="25" spans="1:2" ht="18" customHeight="1">
      <c r="A25" s="154" t="s">
        <v>435</v>
      </c>
      <c r="B25" s="155" t="s">
        <v>436</v>
      </c>
    </row>
    <row r="26" spans="1:2" ht="18" customHeight="1">
      <c r="A26" s="154" t="s">
        <v>437</v>
      </c>
      <c r="B26" s="156" t="s">
        <v>438</v>
      </c>
    </row>
    <row r="27" spans="1:2" ht="18" customHeight="1">
      <c r="A27" s="154"/>
      <c r="B27" s="155"/>
    </row>
    <row r="28" spans="1:2" ht="24" customHeight="1">
      <c r="A28" s="152" t="s">
        <v>410</v>
      </c>
      <c r="B28" s="153" t="s">
        <v>439</v>
      </c>
    </row>
    <row r="29" spans="1:2" ht="18" customHeight="1">
      <c r="A29" s="154" t="s">
        <v>440</v>
      </c>
      <c r="B29" s="155" t="s">
        <v>441</v>
      </c>
    </row>
    <row r="30" spans="1:2" ht="18" customHeight="1">
      <c r="A30" s="154" t="s">
        <v>442</v>
      </c>
      <c r="B30" s="156" t="s">
        <v>443</v>
      </c>
    </row>
    <row r="31" spans="1:2" ht="18" customHeight="1">
      <c r="A31" s="154"/>
      <c r="B31" s="155"/>
    </row>
    <row r="32" spans="1:2" ht="24" customHeight="1">
      <c r="A32" s="152" t="s">
        <v>410</v>
      </c>
      <c r="B32" s="153" t="s">
        <v>444</v>
      </c>
    </row>
    <row r="33" spans="1:2" ht="18" customHeight="1">
      <c r="A33" s="154" t="s">
        <v>445</v>
      </c>
      <c r="B33" s="155" t="s">
        <v>446</v>
      </c>
    </row>
    <row r="34" spans="1:2" ht="18" customHeight="1">
      <c r="A34" s="154" t="s">
        <v>447</v>
      </c>
      <c r="B34" s="156" t="s">
        <v>448</v>
      </c>
    </row>
    <row r="35" spans="1:2" ht="18" customHeight="1">
      <c r="A35" s="154" t="s">
        <v>449</v>
      </c>
      <c r="B35" s="155" t="s">
        <v>450</v>
      </c>
    </row>
    <row r="36" spans="1:2" ht="18" customHeight="1">
      <c r="A36" s="154" t="s">
        <v>451</v>
      </c>
      <c r="B36" s="156" t="s">
        <v>452</v>
      </c>
    </row>
    <row r="37" spans="1:2" ht="18" customHeight="1">
      <c r="A37" s="154" t="s">
        <v>453</v>
      </c>
      <c r="B37" s="155" t="s">
        <v>454</v>
      </c>
    </row>
    <row r="38" spans="1:2" ht="18" customHeight="1">
      <c r="A38" s="154" t="s">
        <v>455</v>
      </c>
      <c r="B38" s="156" t="s">
        <v>456</v>
      </c>
    </row>
    <row r="39" spans="1:2" ht="18" customHeight="1">
      <c r="A39" s="154"/>
      <c r="B39" s="155"/>
    </row>
    <row r="40" spans="1:2" ht="24" customHeight="1">
      <c r="A40" s="152" t="s">
        <v>410</v>
      </c>
      <c r="B40" s="153" t="s">
        <v>457</v>
      </c>
    </row>
    <row r="41" spans="1:2" ht="18" customHeight="1">
      <c r="A41" s="154" t="s">
        <v>458</v>
      </c>
      <c r="B41" s="155" t="s">
        <v>459</v>
      </c>
    </row>
    <row r="42" spans="1:2" ht="18" customHeight="1">
      <c r="A42" s="154" t="s">
        <v>458</v>
      </c>
      <c r="B42" s="156" t="s">
        <v>460</v>
      </c>
    </row>
    <row r="43" spans="1:2" ht="18" customHeight="1">
      <c r="A43" s="154" t="s">
        <v>458</v>
      </c>
      <c r="B43" s="155" t="s">
        <v>461</v>
      </c>
    </row>
    <row r="44" spans="1:2" ht="18" customHeight="1">
      <c r="A44" s="154" t="s">
        <v>458</v>
      </c>
      <c r="B44" s="156" t="s">
        <v>462</v>
      </c>
    </row>
    <row r="46" spans="1:2" ht="25.5" customHeight="1">
      <c r="A46" s="152" t="s">
        <v>410</v>
      </c>
      <c r="B46" s="153" t="s">
        <v>463</v>
      </c>
    </row>
    <row r="47" spans="1:2" ht="19.5" customHeight="1">
      <c r="A47" s="157" t="s">
        <v>163</v>
      </c>
      <c r="B47" s="158" t="s">
        <v>464</v>
      </c>
    </row>
    <row r="48" spans="1:2" ht="19.5" customHeight="1">
      <c r="A48" s="157" t="s">
        <v>163</v>
      </c>
      <c r="B48" s="159" t="s">
        <v>465</v>
      </c>
    </row>
    <row r="49" spans="1:2" ht="19.5" customHeight="1">
      <c r="A49" s="157" t="s">
        <v>163</v>
      </c>
      <c r="B49" s="158" t="s">
        <v>466</v>
      </c>
    </row>
    <row r="50" spans="1:2" ht="19.5" customHeight="1">
      <c r="A50" s="157" t="s">
        <v>163</v>
      </c>
      <c r="B50" s="159" t="s">
        <v>467</v>
      </c>
    </row>
    <row r="51" spans="1:2" ht="19.5" customHeight="1">
      <c r="A51" s="154"/>
      <c r="B51" s="155"/>
    </row>
    <row r="52" spans="1:2" ht="25.5" customHeight="1">
      <c r="A52" s="152" t="s">
        <v>410</v>
      </c>
      <c r="B52" s="153" t="s">
        <v>468</v>
      </c>
    </row>
    <row r="53" spans="1:2" ht="19.5" customHeight="1">
      <c r="A53" s="154" t="s">
        <v>431</v>
      </c>
      <c r="B53" s="155" t="s">
        <v>469</v>
      </c>
    </row>
    <row r="54" spans="1:2" ht="19.5" customHeight="1">
      <c r="A54" s="154" t="s">
        <v>433</v>
      </c>
      <c r="B54" s="156" t="s">
        <v>470</v>
      </c>
    </row>
    <row r="55" spans="1:2" ht="19.5" customHeight="1">
      <c r="A55" s="154" t="s">
        <v>435</v>
      </c>
      <c r="B55" s="155" t="s">
        <v>471</v>
      </c>
    </row>
    <row r="56" spans="1:2" ht="19.5" customHeight="1">
      <c r="A56" s="154" t="s">
        <v>437</v>
      </c>
      <c r="B56" s="156" t="s">
        <v>472</v>
      </c>
    </row>
    <row r="57" spans="1:2" ht="19.5" customHeight="1">
      <c r="A57" s="154" t="s">
        <v>473</v>
      </c>
      <c r="B57" s="155" t="s">
        <v>474</v>
      </c>
    </row>
    <row r="58" spans="1:2" ht="19.5" customHeight="1">
      <c r="A58" s="154" t="s">
        <v>475</v>
      </c>
      <c r="B58" s="156" t="s">
        <v>476</v>
      </c>
    </row>
    <row r="59" spans="1:2" ht="19.5" customHeight="1">
      <c r="A59" s="154" t="s">
        <v>477</v>
      </c>
      <c r="B59" s="155" t="s">
        <v>478</v>
      </c>
    </row>
    <row r="62" spans="1:2" ht="15" customHeight="1">
      <c r="A62" s="17" t="s">
        <v>479</v>
      </c>
    </row>
    <row r="63" spans="1:2" ht="15" customHeight="1">
      <c r="A63" s="160" t="s">
        <v>480</v>
      </c>
      <c r="B63" s="161" t="s">
        <v>481</v>
      </c>
    </row>
    <row r="64" spans="1:2" ht="15" customHeight="1">
      <c r="A64" s="160" t="s">
        <v>482</v>
      </c>
      <c r="B64" s="161" t="s">
        <v>483</v>
      </c>
    </row>
    <row r="65" spans="1:1" ht="15" customHeight="1">
      <c r="A65" s="162" t="s">
        <v>484</v>
      </c>
    </row>
    <row r="67" spans="1:1" ht="15" customHeight="1">
      <c r="A67" s="50" t="s">
        <v>485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211" t="s">
        <v>486</v>
      </c>
      <c r="B1" s="205"/>
    </row>
    <row r="2" spans="1:2" ht="27.75" customHeight="1">
      <c r="A2" s="288" t="s">
        <v>487</v>
      </c>
      <c r="B2" s="236"/>
    </row>
    <row r="3" spans="1:2" ht="27.75" customHeight="1">
      <c r="A3" s="163" t="s">
        <v>488</v>
      </c>
      <c r="B3" s="164" t="s">
        <v>489</v>
      </c>
    </row>
    <row r="4" spans="1:2" ht="279.75" customHeight="1">
      <c r="A4" s="163" t="s">
        <v>490</v>
      </c>
      <c r="B4" s="164" t="s">
        <v>491</v>
      </c>
    </row>
    <row r="5" spans="1:2" ht="69.75" customHeight="1">
      <c r="A5" s="163" t="s">
        <v>492</v>
      </c>
      <c r="B5" s="164" t="s">
        <v>493</v>
      </c>
    </row>
    <row r="6" spans="1:2" ht="294" customHeight="1">
      <c r="A6" s="163" t="s">
        <v>494</v>
      </c>
      <c r="B6" s="164" t="s">
        <v>495</v>
      </c>
    </row>
    <row r="7" spans="1:2" ht="307.5" customHeight="1">
      <c r="A7" s="163" t="s">
        <v>496</v>
      </c>
      <c r="B7" s="164" t="s">
        <v>497</v>
      </c>
    </row>
    <row r="8" spans="1:2" ht="153.75" customHeight="1">
      <c r="A8" s="163" t="s">
        <v>498</v>
      </c>
      <c r="B8" s="164" t="s">
        <v>499</v>
      </c>
    </row>
    <row r="9" spans="1:2" ht="409.6" customHeight="1">
      <c r="A9" s="163" t="s">
        <v>500</v>
      </c>
      <c r="B9" s="164" t="s">
        <v>501</v>
      </c>
    </row>
    <row r="10" spans="1:2" ht="27.75" customHeight="1">
      <c r="A10" s="288" t="s">
        <v>502</v>
      </c>
      <c r="B10" s="236"/>
    </row>
    <row r="11" spans="1:2" ht="139.5" customHeight="1">
      <c r="A11" s="163" t="s">
        <v>503</v>
      </c>
      <c r="B11" s="164" t="s">
        <v>504</v>
      </c>
    </row>
    <row r="12" spans="1:2" ht="27.75" customHeight="1">
      <c r="A12" s="288" t="s">
        <v>505</v>
      </c>
      <c r="B12" s="236"/>
    </row>
    <row r="13" spans="1:2" ht="69.75" customHeight="1">
      <c r="A13" s="163" t="s">
        <v>506</v>
      </c>
      <c r="B13" s="164" t="s">
        <v>507</v>
      </c>
    </row>
    <row r="14" spans="1:2" ht="27.75" customHeight="1">
      <c r="A14" s="288" t="s">
        <v>508</v>
      </c>
      <c r="B14" s="236"/>
    </row>
    <row r="15" spans="1:2" ht="405.75" customHeight="1">
      <c r="A15" s="163" t="s">
        <v>509</v>
      </c>
      <c r="B15" s="164" t="s">
        <v>510</v>
      </c>
    </row>
    <row r="16" spans="1:2" ht="409.6" customHeight="1">
      <c r="A16" s="163" t="s">
        <v>511</v>
      </c>
      <c r="B16" s="164" t="s">
        <v>512</v>
      </c>
    </row>
    <row r="17" spans="1:2" ht="363.75" customHeight="1">
      <c r="A17" s="163" t="s">
        <v>513</v>
      </c>
      <c r="B17" s="164" t="s">
        <v>514</v>
      </c>
    </row>
    <row r="18" spans="1:2" ht="409.6" customHeight="1">
      <c r="A18" s="163" t="s">
        <v>515</v>
      </c>
      <c r="B18" s="164" t="s">
        <v>516</v>
      </c>
    </row>
    <row r="19" spans="1:2" ht="409.6" customHeight="1">
      <c r="A19" s="163" t="s">
        <v>517</v>
      </c>
      <c r="B19" s="164" t="s">
        <v>518</v>
      </c>
    </row>
    <row r="20" spans="1:2" ht="27.75" customHeight="1">
      <c r="A20" s="288" t="s">
        <v>519</v>
      </c>
      <c r="B20" s="236"/>
    </row>
    <row r="21" spans="1:2" ht="27.75" customHeight="1">
      <c r="A21" s="163" t="s">
        <v>520</v>
      </c>
      <c r="B21" s="164" t="s">
        <v>521</v>
      </c>
    </row>
    <row r="22" spans="1:2" ht="55.5" customHeight="1">
      <c r="A22" s="163" t="s">
        <v>522</v>
      </c>
      <c r="B22" s="164" t="s">
        <v>523</v>
      </c>
    </row>
    <row r="23" spans="1:2" ht="84" customHeight="1">
      <c r="A23" s="163" t="s">
        <v>524</v>
      </c>
      <c r="B23" s="164" t="s">
        <v>525</v>
      </c>
    </row>
    <row r="24" spans="1:2" ht="69.75" customHeight="1">
      <c r="A24" s="163" t="s">
        <v>526</v>
      </c>
      <c r="B24" s="164" t="s">
        <v>527</v>
      </c>
    </row>
    <row r="25" spans="1:2" ht="84" customHeight="1">
      <c r="A25" s="163" t="s">
        <v>528</v>
      </c>
      <c r="B25" s="164" t="s">
        <v>529</v>
      </c>
    </row>
    <row r="26" spans="1:2" ht="321.75" customHeight="1">
      <c r="A26" s="163" t="s">
        <v>530</v>
      </c>
      <c r="B26" s="164" t="s">
        <v>531</v>
      </c>
    </row>
    <row r="28" spans="1:2" ht="27.75" customHeight="1">
      <c r="A28" s="287" t="s">
        <v>532</v>
      </c>
      <c r="B28" s="220"/>
    </row>
    <row r="29" spans="1:2" ht="409.6" customHeight="1">
      <c r="A29" s="165" t="s">
        <v>533</v>
      </c>
      <c r="B29" s="166" t="s">
        <v>534</v>
      </c>
    </row>
  </sheetData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90" t="s">
        <v>535</v>
      </c>
      <c r="B1" s="205"/>
      <c r="C1" s="205"/>
      <c r="D1" s="205"/>
      <c r="E1" s="205"/>
    </row>
    <row r="2" spans="1:5" ht="15" customHeight="1">
      <c r="A2" s="289" t="s">
        <v>536</v>
      </c>
      <c r="B2" s="205"/>
      <c r="C2" s="205"/>
      <c r="D2" s="205"/>
      <c r="E2" s="205"/>
    </row>
    <row r="3" spans="1:5" ht="24" customHeight="1">
      <c r="A3" s="167" t="s">
        <v>537</v>
      </c>
      <c r="B3" s="167" t="s">
        <v>538</v>
      </c>
      <c r="C3" s="167" t="s">
        <v>539</v>
      </c>
      <c r="D3" s="167" t="s">
        <v>540</v>
      </c>
      <c r="E3" s="167" t="s">
        <v>541</v>
      </c>
    </row>
    <row r="4" spans="1:5" ht="16.5" customHeight="1">
      <c r="A4" s="168" t="s">
        <v>542</v>
      </c>
      <c r="B4" s="169" t="s">
        <v>543</v>
      </c>
      <c r="C4" s="169" t="s">
        <v>544</v>
      </c>
      <c r="D4" s="170" t="s">
        <v>545</v>
      </c>
      <c r="E4" s="169" t="s">
        <v>546</v>
      </c>
    </row>
    <row r="5" spans="1:5" ht="16.5" customHeight="1">
      <c r="A5" s="171" t="s">
        <v>547</v>
      </c>
      <c r="B5" s="172" t="s">
        <v>543</v>
      </c>
      <c r="C5" s="172" t="s">
        <v>544</v>
      </c>
      <c r="D5" s="173" t="s">
        <v>548</v>
      </c>
      <c r="E5" s="172" t="s">
        <v>546</v>
      </c>
    </row>
    <row r="6" spans="1:5" ht="16.5" customHeight="1">
      <c r="A6" s="168" t="s">
        <v>549</v>
      </c>
      <c r="B6" s="169" t="s">
        <v>543</v>
      </c>
      <c r="C6" s="169" t="s">
        <v>550</v>
      </c>
      <c r="D6" s="170" t="s">
        <v>551</v>
      </c>
      <c r="E6" s="169" t="s">
        <v>546</v>
      </c>
    </row>
    <row r="7" spans="1:5" ht="16.5" customHeight="1">
      <c r="A7" s="171" t="s">
        <v>552</v>
      </c>
      <c r="B7" s="172" t="s">
        <v>543</v>
      </c>
      <c r="C7" s="172" t="s">
        <v>550</v>
      </c>
      <c r="D7" s="173" t="s">
        <v>553</v>
      </c>
      <c r="E7" s="172" t="s">
        <v>546</v>
      </c>
    </row>
    <row r="8" spans="1:5" ht="16.5" customHeight="1">
      <c r="A8" s="168" t="s">
        <v>554</v>
      </c>
      <c r="B8" s="169" t="s">
        <v>543</v>
      </c>
      <c r="C8" s="169" t="s">
        <v>550</v>
      </c>
      <c r="D8" s="170" t="s">
        <v>555</v>
      </c>
      <c r="E8" s="169" t="s">
        <v>546</v>
      </c>
    </row>
    <row r="9" spans="1:5" ht="16.5" customHeight="1">
      <c r="A9" s="171" t="s">
        <v>556</v>
      </c>
      <c r="B9" s="172" t="s">
        <v>543</v>
      </c>
      <c r="C9" s="172" t="s">
        <v>557</v>
      </c>
      <c r="D9" s="173" t="s">
        <v>558</v>
      </c>
      <c r="E9" s="172" t="s">
        <v>546</v>
      </c>
    </row>
    <row r="10" spans="1:5" ht="16.5" customHeight="1">
      <c r="A10" s="168" t="s">
        <v>559</v>
      </c>
      <c r="B10" s="169"/>
      <c r="C10" s="169"/>
      <c r="D10" s="170"/>
      <c r="E10" s="169"/>
    </row>
    <row r="12" spans="1:5" ht="24" customHeight="1">
      <c r="A12" s="291" t="s">
        <v>560</v>
      </c>
      <c r="B12" s="205"/>
      <c r="C12" s="205"/>
      <c r="D12" s="205"/>
      <c r="E12" s="205"/>
    </row>
    <row r="13" spans="1:5">
      <c r="A13" s="179">
        <v>46137</v>
      </c>
      <c r="B13" s="180">
        <v>0.40958333333333335</v>
      </c>
      <c r="C13" s="1" t="s">
        <v>584</v>
      </c>
      <c r="D13" s="1" t="s">
        <v>585</v>
      </c>
      <c r="E13" s="1" t="s">
        <v>582</v>
      </c>
    </row>
    <row r="14" spans="1:5">
      <c r="A14" s="179">
        <v>46137</v>
      </c>
      <c r="B14" s="180">
        <v>0.53903935185185181</v>
      </c>
      <c r="C14" s="1" t="s">
        <v>584</v>
      </c>
      <c r="D14" s="1" t="s">
        <v>585</v>
      </c>
      <c r="E14" s="1" t="s">
        <v>582</v>
      </c>
    </row>
    <row r="15" spans="1:5">
      <c r="A15" s="179">
        <v>46137</v>
      </c>
      <c r="B15" s="180">
        <v>0.89533564814814814</v>
      </c>
      <c r="C15" s="1" t="s">
        <v>584</v>
      </c>
      <c r="D15" s="1" t="s">
        <v>586</v>
      </c>
      <c r="E15" s="1" t="s">
        <v>582</v>
      </c>
    </row>
    <row r="16" spans="1:5">
      <c r="A16" s="179">
        <v>46138</v>
      </c>
      <c r="B16" s="180">
        <v>0.42469907407407409</v>
      </c>
      <c r="C16" s="1" t="s">
        <v>584</v>
      </c>
      <c r="D16" s="1" t="s">
        <v>586</v>
      </c>
      <c r="E16" s="1" t="s">
        <v>630</v>
      </c>
    </row>
    <row r="17" spans="1:5">
      <c r="A17" s="179">
        <v>46138</v>
      </c>
      <c r="B17" s="180">
        <v>0.42818287037037034</v>
      </c>
      <c r="C17" s="1" t="s">
        <v>584</v>
      </c>
      <c r="D17" s="1" t="s">
        <v>585</v>
      </c>
      <c r="E17" s="1" t="s">
        <v>632</v>
      </c>
    </row>
    <row r="18" spans="1:5">
      <c r="A18" s="179">
        <v>46138</v>
      </c>
      <c r="B18" s="180">
        <v>0.43094907407407407</v>
      </c>
      <c r="C18" s="1" t="s">
        <v>584</v>
      </c>
      <c r="D18" s="1" t="s">
        <v>585</v>
      </c>
      <c r="E18" s="1" t="s">
        <v>632</v>
      </c>
    </row>
    <row r="19" spans="1:5">
      <c r="A19" s="179">
        <v>46138</v>
      </c>
      <c r="B19" s="180">
        <v>0.43730324074074073</v>
      </c>
      <c r="C19" s="1" t="s">
        <v>584</v>
      </c>
      <c r="D19" s="1" t="s">
        <v>585</v>
      </c>
      <c r="E19" s="1" t="s">
        <v>632</v>
      </c>
    </row>
    <row r="20" spans="1:5">
      <c r="A20" s="179">
        <v>46138</v>
      </c>
      <c r="B20" s="180">
        <v>0.46271990740740737</v>
      </c>
      <c r="C20" s="1" t="s">
        <v>584</v>
      </c>
      <c r="D20" s="1" t="s">
        <v>585</v>
      </c>
      <c r="E20" s="1" t="s">
        <v>632</v>
      </c>
    </row>
    <row r="21" spans="1:5">
      <c r="A21" s="179">
        <v>46138</v>
      </c>
      <c r="B21" s="180">
        <v>0.47091435185185188</v>
      </c>
      <c r="C21" s="1" t="s">
        <v>584</v>
      </c>
      <c r="D21" s="1" t="s">
        <v>586</v>
      </c>
      <c r="E21" s="1" t="s">
        <v>632</v>
      </c>
    </row>
    <row r="22" spans="1:5">
      <c r="A22" s="179">
        <v>46138</v>
      </c>
      <c r="B22" s="180">
        <v>0.4773148148148148</v>
      </c>
      <c r="C22" s="1" t="s">
        <v>584</v>
      </c>
      <c r="D22" s="1" t="s">
        <v>586</v>
      </c>
      <c r="E22" s="1" t="s">
        <v>760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81"/>
    <col min="3" max="3" width="16" style="181" bestFit="1" customWidth="1"/>
    <col min="4" max="4" width="4.5703125" style="181" bestFit="1" customWidth="1"/>
    <col min="5" max="5" width="11.5703125" style="181" bestFit="1" customWidth="1"/>
    <col min="6" max="6" width="5.7109375" style="181" bestFit="1" customWidth="1"/>
    <col min="7" max="7" width="13.7109375" style="181" bestFit="1" customWidth="1"/>
    <col min="8" max="8" width="9.140625" style="181"/>
    <col min="9" max="9" width="6.5703125" style="181" bestFit="1" customWidth="1"/>
    <col min="10" max="10" width="17" style="181" bestFit="1" customWidth="1"/>
    <col min="11" max="16384" width="9.140625" style="181"/>
  </cols>
  <sheetData>
    <row r="1" spans="2:10" ht="30" customHeight="1">
      <c r="B1" s="191" t="s">
        <v>610</v>
      </c>
    </row>
    <row r="2" spans="2:10" ht="15.75">
      <c r="B2" s="183" t="s">
        <v>587</v>
      </c>
      <c r="C2" s="184">
        <v>15</v>
      </c>
      <c r="D2" s="189" t="s">
        <v>573</v>
      </c>
      <c r="E2" s="189" t="s">
        <v>592</v>
      </c>
      <c r="F2" s="189" t="s">
        <v>593</v>
      </c>
      <c r="G2" s="189" t="s">
        <v>594</v>
      </c>
      <c r="I2" s="188" t="s">
        <v>80</v>
      </c>
      <c r="J2" s="188" t="s">
        <v>600</v>
      </c>
    </row>
    <row r="3" spans="2:10" ht="15.75">
      <c r="B3" s="183" t="s">
        <v>588</v>
      </c>
      <c r="C3" s="185">
        <v>3</v>
      </c>
      <c r="D3" s="190" t="s">
        <v>595</v>
      </c>
      <c r="E3" s="190"/>
      <c r="F3" s="190">
        <v>10</v>
      </c>
      <c r="G3" s="190" t="s">
        <v>565</v>
      </c>
      <c r="I3" s="190" t="s">
        <v>601</v>
      </c>
      <c r="J3" s="190">
        <v>8</v>
      </c>
    </row>
    <row r="4" spans="2:10" ht="6" customHeight="1">
      <c r="B4" s="183" t="s">
        <v>589</v>
      </c>
      <c r="C4" s="186">
        <v>9</v>
      </c>
      <c r="D4" s="190" t="s">
        <v>595</v>
      </c>
      <c r="E4" s="190"/>
      <c r="F4" s="190">
        <v>1</v>
      </c>
      <c r="G4" s="190" t="s">
        <v>596</v>
      </c>
      <c r="I4" s="190" t="s">
        <v>602</v>
      </c>
      <c r="J4" s="190">
        <v>4</v>
      </c>
    </row>
    <row r="5" spans="2:10" ht="36" customHeight="1">
      <c r="B5" s="183" t="s">
        <v>590</v>
      </c>
      <c r="C5" s="187">
        <v>463380</v>
      </c>
      <c r="D5" s="190" t="s">
        <v>595</v>
      </c>
      <c r="E5" s="190"/>
      <c r="F5" s="190">
        <v>6</v>
      </c>
      <c r="G5" s="190" t="s">
        <v>597</v>
      </c>
      <c r="I5" s="190" t="s">
        <v>603</v>
      </c>
      <c r="J5" s="190">
        <v>16</v>
      </c>
    </row>
    <row r="6" spans="2:10">
      <c r="B6" s="183" t="s">
        <v>591</v>
      </c>
      <c r="C6" s="182">
        <v>0</v>
      </c>
      <c r="D6" s="190" t="s">
        <v>595</v>
      </c>
      <c r="E6" s="190"/>
      <c r="F6" s="190">
        <v>10</v>
      </c>
      <c r="G6" s="190" t="s">
        <v>598</v>
      </c>
      <c r="I6" s="190" t="s">
        <v>604</v>
      </c>
      <c r="J6" s="190">
        <v>0</v>
      </c>
    </row>
    <row r="7" spans="2:10">
      <c r="D7" s="190" t="s">
        <v>595</v>
      </c>
      <c r="E7" s="190"/>
      <c r="F7" s="190">
        <v>2</v>
      </c>
      <c r="G7" s="190" t="s">
        <v>599</v>
      </c>
      <c r="I7" s="190" t="s">
        <v>605</v>
      </c>
      <c r="J7" s="190">
        <v>0</v>
      </c>
    </row>
    <row r="8" spans="2:10">
      <c r="I8" s="190" t="s">
        <v>606</v>
      </c>
      <c r="J8" s="190">
        <v>0</v>
      </c>
    </row>
    <row r="9" spans="2:10">
      <c r="I9" s="190" t="s">
        <v>607</v>
      </c>
      <c r="J9" s="190">
        <v>0</v>
      </c>
    </row>
    <row r="10" spans="2:10">
      <c r="I10" s="190" t="s">
        <v>608</v>
      </c>
      <c r="J10" s="190">
        <v>0</v>
      </c>
    </row>
    <row r="11" spans="2:10">
      <c r="I11" s="190" t="s">
        <v>609</v>
      </c>
      <c r="J11" s="190">
        <v>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92" t="s">
        <v>566</v>
      </c>
      <c r="B1" s="205"/>
      <c r="C1" s="205"/>
      <c r="D1" s="205"/>
    </row>
    <row r="3" spans="1:4">
      <c r="A3" t="s">
        <v>567</v>
      </c>
    </row>
    <row r="4" spans="1:4">
      <c r="A4" t="s">
        <v>568</v>
      </c>
      <c r="B4" t="s">
        <v>186</v>
      </c>
    </row>
    <row r="5" spans="1:4">
      <c r="A5" t="s">
        <v>569</v>
      </c>
      <c r="B5">
        <v>0</v>
      </c>
    </row>
    <row r="6" spans="1:4">
      <c r="A6" t="s">
        <v>570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92" bestFit="1" customWidth="1"/>
    <col min="2" max="2" width="27.42578125" style="192" bestFit="1" customWidth="1"/>
    <col min="3" max="3" width="11.85546875" style="192" bestFit="1" customWidth="1"/>
    <col min="4" max="4" width="9.5703125" style="192" bestFit="1" customWidth="1"/>
    <col min="5" max="5" width="16.5703125" style="192" bestFit="1" customWidth="1"/>
    <col min="6" max="6" width="12.140625" style="192" bestFit="1" customWidth="1"/>
    <col min="7" max="7" width="17.5703125" style="192" bestFit="1" customWidth="1"/>
    <col min="8" max="16384" width="9.140625" style="192"/>
  </cols>
  <sheetData>
    <row r="1" spans="1:7">
      <c r="A1" s="194" t="s">
        <v>573</v>
      </c>
      <c r="B1" s="194" t="s">
        <v>592</v>
      </c>
      <c r="C1" s="194" t="s">
        <v>255</v>
      </c>
      <c r="D1" s="194" t="s">
        <v>611</v>
      </c>
      <c r="E1" s="194" t="s">
        <v>612</v>
      </c>
      <c r="F1" s="194" t="s">
        <v>613</v>
      </c>
      <c r="G1" s="194" t="s">
        <v>614</v>
      </c>
    </row>
    <row r="2" spans="1:7">
      <c r="A2" s="195" t="s">
        <v>616</v>
      </c>
      <c r="B2" s="195" t="s">
        <v>617</v>
      </c>
      <c r="C2" s="195">
        <v>10</v>
      </c>
      <c r="D2" s="195">
        <v>51.07</v>
      </c>
      <c r="E2" s="195">
        <v>38</v>
      </c>
      <c r="F2" s="197">
        <v>450</v>
      </c>
      <c r="G2" s="197">
        <v>17320.5</v>
      </c>
    </row>
    <row r="3" spans="1:7">
      <c r="A3" s="195" t="s">
        <v>56</v>
      </c>
      <c r="B3" s="195" t="s">
        <v>618</v>
      </c>
      <c r="C3" s="195">
        <v>42</v>
      </c>
      <c r="D3" s="195">
        <v>53.8</v>
      </c>
      <c r="E3" s="195">
        <v>39</v>
      </c>
      <c r="F3" s="197">
        <v>1600</v>
      </c>
      <c r="G3" s="197">
        <v>61648</v>
      </c>
    </row>
    <row r="4" spans="1:7">
      <c r="A4" s="195" t="s">
        <v>59</v>
      </c>
      <c r="B4" s="195" t="s">
        <v>619</v>
      </c>
      <c r="C4" s="195">
        <v>6</v>
      </c>
      <c r="D4" s="195">
        <v>50.8</v>
      </c>
      <c r="E4" s="195">
        <v>129</v>
      </c>
      <c r="F4" s="197">
        <v>30</v>
      </c>
      <c r="G4" s="197">
        <v>3873</v>
      </c>
    </row>
    <row r="5" spans="1:7">
      <c r="A5" s="196" t="s">
        <v>60</v>
      </c>
      <c r="B5" s="196" t="s">
        <v>620</v>
      </c>
      <c r="C5" s="196">
        <v>4</v>
      </c>
      <c r="D5" s="196">
        <v>50.4</v>
      </c>
      <c r="E5" s="196">
        <v>60</v>
      </c>
      <c r="F5" s="198">
        <v>70</v>
      </c>
      <c r="G5" s="198">
        <v>4183.2</v>
      </c>
    </row>
    <row r="6" spans="1:7">
      <c r="A6" s="196" t="s">
        <v>62</v>
      </c>
      <c r="B6" s="196" t="s">
        <v>621</v>
      </c>
      <c r="C6" s="196">
        <v>1</v>
      </c>
      <c r="D6" s="196">
        <v>51.27</v>
      </c>
      <c r="E6" s="196">
        <v>19</v>
      </c>
      <c r="F6" s="198">
        <v>2200</v>
      </c>
      <c r="G6" s="198">
        <v>41734</v>
      </c>
    </row>
    <row r="7" spans="1:7">
      <c r="A7" s="195" t="s">
        <v>622</v>
      </c>
      <c r="B7" s="195" t="s">
        <v>623</v>
      </c>
      <c r="C7" s="195">
        <v>12</v>
      </c>
      <c r="D7" s="195">
        <v>50.13</v>
      </c>
      <c r="E7" s="195">
        <v>12</v>
      </c>
      <c r="F7" s="197">
        <v>550</v>
      </c>
      <c r="G7" s="197">
        <v>6770.5</v>
      </c>
    </row>
    <row r="8" spans="1:7">
      <c r="A8" s="196" t="s">
        <v>66</v>
      </c>
      <c r="B8" s="196" t="s">
        <v>624</v>
      </c>
      <c r="C8" s="196">
        <v>2</v>
      </c>
      <c r="D8" s="196">
        <v>50.2</v>
      </c>
      <c r="E8" s="196">
        <v>11</v>
      </c>
      <c r="F8" s="198">
        <v>950</v>
      </c>
      <c r="G8" s="198">
        <v>10896.5</v>
      </c>
    </row>
    <row r="9" spans="1:7">
      <c r="A9" s="195" t="s">
        <v>68</v>
      </c>
      <c r="B9" s="195" t="s">
        <v>625</v>
      </c>
      <c r="C9" s="195">
        <v>25</v>
      </c>
      <c r="D9" s="195">
        <v>50.07</v>
      </c>
      <c r="E9" s="195">
        <v>8</v>
      </c>
      <c r="F9" s="197">
        <v>600</v>
      </c>
      <c r="G9" s="197">
        <v>4998</v>
      </c>
    </row>
    <row r="10" spans="1:7">
      <c r="A10" s="195" t="s">
        <v>70</v>
      </c>
      <c r="B10" s="195" t="s">
        <v>626</v>
      </c>
      <c r="C10" s="195">
        <v>4</v>
      </c>
      <c r="D10" s="195">
        <v>50.4</v>
      </c>
      <c r="E10" s="195">
        <v>18</v>
      </c>
      <c r="F10" s="197">
        <v>750</v>
      </c>
      <c r="G10" s="197">
        <v>13695</v>
      </c>
    </row>
    <row r="11" spans="1:7">
      <c r="A11" s="195" t="s">
        <v>627</v>
      </c>
      <c r="B11" s="195" t="s">
        <v>628</v>
      </c>
      <c r="C11" s="195">
        <v>39</v>
      </c>
      <c r="D11" s="195">
        <v>50.27</v>
      </c>
      <c r="E11" s="195">
        <v>6</v>
      </c>
      <c r="F11" s="197">
        <v>4500</v>
      </c>
      <c r="G11" s="197">
        <v>27405</v>
      </c>
    </row>
    <row r="12" spans="1:7">
      <c r="A12" s="195" t="s">
        <v>72</v>
      </c>
      <c r="B12" s="195" t="s">
        <v>629</v>
      </c>
      <c r="C12" s="195">
        <v>28</v>
      </c>
      <c r="D12" s="195">
        <v>50.27</v>
      </c>
      <c r="E12" s="195">
        <v>24</v>
      </c>
      <c r="F12" s="197">
        <v>300</v>
      </c>
      <c r="G12" s="197">
        <v>7071</v>
      </c>
    </row>
    <row r="13" spans="1:7">
      <c r="F13" s="193" t="s">
        <v>615</v>
      </c>
      <c r="G13" s="199">
        <f>SUM(G2:G12)</f>
        <v>199594.7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74" t="s">
        <v>571</v>
      </c>
      <c r="B1" s="174" t="s">
        <v>572</v>
      </c>
      <c r="C1" s="174" t="s">
        <v>573</v>
      </c>
      <c r="D1" s="174" t="s">
        <v>574</v>
      </c>
      <c r="E1" s="174" t="s">
        <v>575</v>
      </c>
      <c r="F1" s="174" t="s">
        <v>576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74" t="s">
        <v>577</v>
      </c>
      <c r="B1" s="174" t="s">
        <v>578</v>
      </c>
    </row>
    <row r="2" spans="1:2">
      <c r="A2" t="s">
        <v>635</v>
      </c>
      <c r="B2" t="s">
        <v>636</v>
      </c>
    </row>
    <row r="3" spans="1:2">
      <c r="A3" t="s">
        <v>579</v>
      </c>
      <c r="B3" t="s">
        <v>637</v>
      </c>
    </row>
    <row r="4" spans="1:2">
      <c r="A4" t="s">
        <v>564</v>
      </c>
      <c r="B4" t="s">
        <v>638</v>
      </c>
    </row>
    <row r="5" spans="1:2">
      <c r="A5" t="s">
        <v>563</v>
      </c>
      <c r="B5" t="s">
        <v>639</v>
      </c>
    </row>
    <row r="6" spans="1:2">
      <c r="A6" t="s">
        <v>640</v>
      </c>
      <c r="B6" t="s">
        <v>641</v>
      </c>
    </row>
    <row r="7" spans="1:2">
      <c r="A7" t="s">
        <v>642</v>
      </c>
      <c r="B7" t="s">
        <v>643</v>
      </c>
    </row>
    <row r="8" spans="1:2">
      <c r="A8" t="s">
        <v>644</v>
      </c>
      <c r="B8" t="s">
        <v>643</v>
      </c>
    </row>
    <row r="9" spans="1:2">
      <c r="A9" t="s">
        <v>645</v>
      </c>
      <c r="B9" t="s">
        <v>646</v>
      </c>
    </row>
    <row r="10" spans="1:2">
      <c r="A10" t="s">
        <v>647</v>
      </c>
      <c r="B10" t="s">
        <v>648</v>
      </c>
    </row>
    <row r="11" spans="1:2">
      <c r="A11" t="s">
        <v>649</v>
      </c>
      <c r="B11" t="s">
        <v>650</v>
      </c>
    </row>
    <row r="12" spans="1:2">
      <c r="A12" t="s">
        <v>651</v>
      </c>
      <c r="B12" t="s">
        <v>650</v>
      </c>
    </row>
    <row r="13" spans="1:2">
      <c r="A13" t="s">
        <v>652</v>
      </c>
      <c r="B13" t="s">
        <v>653</v>
      </c>
    </row>
    <row r="14" spans="1:2">
      <c r="A14" t="s">
        <v>654</v>
      </c>
      <c r="B14" t="s">
        <v>646</v>
      </c>
    </row>
    <row r="15" spans="1:2">
      <c r="A15" t="s">
        <v>655</v>
      </c>
      <c r="B15" t="s">
        <v>643</v>
      </c>
    </row>
    <row r="16" spans="1:2">
      <c r="A16" t="s">
        <v>656</v>
      </c>
      <c r="B16" t="s">
        <v>657</v>
      </c>
    </row>
    <row r="17" spans="1:2">
      <c r="A17" t="s">
        <v>658</v>
      </c>
      <c r="B17" t="s">
        <v>659</v>
      </c>
    </row>
    <row r="18" spans="1:2">
      <c r="A18" t="s">
        <v>660</v>
      </c>
      <c r="B18" t="s">
        <v>661</v>
      </c>
    </row>
    <row r="19" spans="1:2">
      <c r="A19" t="s">
        <v>662</v>
      </c>
      <c r="B19" t="s">
        <v>648</v>
      </c>
    </row>
    <row r="20" spans="1:2">
      <c r="A20" t="s">
        <v>663</v>
      </c>
      <c r="B20" t="s">
        <v>646</v>
      </c>
    </row>
    <row r="21" spans="1:2">
      <c r="A21" t="s">
        <v>664</v>
      </c>
      <c r="B21" t="s">
        <v>650</v>
      </c>
    </row>
    <row r="22" spans="1:2">
      <c r="A22" t="s">
        <v>665</v>
      </c>
      <c r="B22" t="s">
        <v>666</v>
      </c>
    </row>
    <row r="23" spans="1:2">
      <c r="A23" t="s">
        <v>667</v>
      </c>
      <c r="B23" t="s">
        <v>668</v>
      </c>
    </row>
    <row r="24" spans="1:2">
      <c r="A24" t="s">
        <v>669</v>
      </c>
      <c r="B24" t="s">
        <v>670</v>
      </c>
    </row>
    <row r="25" spans="1:2">
      <c r="A25" t="s">
        <v>671</v>
      </c>
      <c r="B25" t="s">
        <v>643</v>
      </c>
    </row>
    <row r="26" spans="1:2">
      <c r="A26" t="s">
        <v>672</v>
      </c>
      <c r="B26" t="s">
        <v>643</v>
      </c>
    </row>
    <row r="27" spans="1:2">
      <c r="A27" t="s">
        <v>673</v>
      </c>
      <c r="B27" t="s">
        <v>643</v>
      </c>
    </row>
    <row r="28" spans="1:2">
      <c r="A28" t="s">
        <v>674</v>
      </c>
      <c r="B28" t="s">
        <v>643</v>
      </c>
    </row>
    <row r="29" spans="1:2">
      <c r="A29" t="s">
        <v>675</v>
      </c>
      <c r="B29" t="s">
        <v>676</v>
      </c>
    </row>
    <row r="30" spans="1:2">
      <c r="A30" t="s">
        <v>677</v>
      </c>
      <c r="B30" t="s">
        <v>678</v>
      </c>
    </row>
    <row r="31" spans="1:2">
      <c r="A31" t="s">
        <v>679</v>
      </c>
      <c r="B31" t="s">
        <v>680</v>
      </c>
    </row>
    <row r="32" spans="1:2">
      <c r="A32" t="s">
        <v>681</v>
      </c>
      <c r="B32" t="s">
        <v>682</v>
      </c>
    </row>
    <row r="33" spans="1:2">
      <c r="A33" t="s">
        <v>683</v>
      </c>
      <c r="B33" t="s">
        <v>680</v>
      </c>
    </row>
    <row r="34" spans="1:2">
      <c r="A34" t="s">
        <v>684</v>
      </c>
      <c r="B34" t="s">
        <v>685</v>
      </c>
    </row>
    <row r="35" spans="1:2">
      <c r="A35" t="s">
        <v>686</v>
      </c>
      <c r="B35" t="s">
        <v>687</v>
      </c>
    </row>
    <row r="36" spans="1:2">
      <c r="A36" t="s">
        <v>688</v>
      </c>
      <c r="B36" t="s">
        <v>689</v>
      </c>
    </row>
    <row r="37" spans="1:2">
      <c r="A37" t="s">
        <v>690</v>
      </c>
      <c r="B37" t="s">
        <v>691</v>
      </c>
    </row>
    <row r="38" spans="1:2">
      <c r="A38" t="s">
        <v>692</v>
      </c>
      <c r="B38" t="s">
        <v>648</v>
      </c>
    </row>
    <row r="39" spans="1:2">
      <c r="A39" t="s">
        <v>693</v>
      </c>
      <c r="B39" t="s">
        <v>694</v>
      </c>
    </row>
    <row r="40" spans="1:2">
      <c r="A40" t="s">
        <v>695</v>
      </c>
      <c r="B40" t="s">
        <v>648</v>
      </c>
    </row>
    <row r="41" spans="1:2">
      <c r="A41" t="s">
        <v>696</v>
      </c>
      <c r="B41" t="s">
        <v>643</v>
      </c>
    </row>
    <row r="42" spans="1:2">
      <c r="A42" t="s">
        <v>697</v>
      </c>
      <c r="B42" t="s">
        <v>643</v>
      </c>
    </row>
    <row r="43" spans="1:2">
      <c r="A43" t="s">
        <v>698</v>
      </c>
      <c r="B43" t="s">
        <v>641</v>
      </c>
    </row>
    <row r="44" spans="1:2">
      <c r="A44" t="s">
        <v>699</v>
      </c>
      <c r="B44" t="s">
        <v>641</v>
      </c>
    </row>
    <row r="45" spans="1:2">
      <c r="A45" t="s">
        <v>700</v>
      </c>
      <c r="B45" t="s">
        <v>643</v>
      </c>
    </row>
    <row r="46" spans="1:2">
      <c r="A46" t="s">
        <v>701</v>
      </c>
      <c r="B46" t="s">
        <v>643</v>
      </c>
    </row>
    <row r="47" spans="1:2">
      <c r="A47" t="s">
        <v>702</v>
      </c>
      <c r="B47" t="s">
        <v>646</v>
      </c>
    </row>
    <row r="48" spans="1:2">
      <c r="A48" t="s">
        <v>703</v>
      </c>
      <c r="B48" t="s">
        <v>704</v>
      </c>
    </row>
    <row r="49" spans="1:2">
      <c r="A49" t="s">
        <v>705</v>
      </c>
      <c r="B49" t="s">
        <v>643</v>
      </c>
    </row>
    <row r="50" spans="1:2">
      <c r="A50" t="s">
        <v>706</v>
      </c>
      <c r="B50" t="s">
        <v>643</v>
      </c>
    </row>
    <row r="51" spans="1:2">
      <c r="A51" t="s">
        <v>707</v>
      </c>
      <c r="B51" t="s">
        <v>646</v>
      </c>
    </row>
    <row r="52" spans="1:2">
      <c r="A52" t="s">
        <v>708</v>
      </c>
      <c r="B52" t="s">
        <v>643</v>
      </c>
    </row>
    <row r="53" spans="1:2">
      <c r="A53" t="s">
        <v>709</v>
      </c>
      <c r="B53" t="s">
        <v>650</v>
      </c>
    </row>
    <row r="54" spans="1:2">
      <c r="A54" t="s">
        <v>710</v>
      </c>
      <c r="B54" t="s">
        <v>666</v>
      </c>
    </row>
    <row r="55" spans="1:2">
      <c r="A55" t="s">
        <v>711</v>
      </c>
      <c r="B55" t="s">
        <v>666</v>
      </c>
    </row>
    <row r="56" spans="1:2">
      <c r="A56" t="s">
        <v>712</v>
      </c>
      <c r="B56" t="s">
        <v>650</v>
      </c>
    </row>
    <row r="57" spans="1:2">
      <c r="A57" t="s">
        <v>713</v>
      </c>
      <c r="B57" t="s">
        <v>650</v>
      </c>
    </row>
    <row r="58" spans="1:2">
      <c r="A58" t="s">
        <v>714</v>
      </c>
      <c r="B58" t="s">
        <v>715</v>
      </c>
    </row>
    <row r="59" spans="1:2">
      <c r="A59" t="s">
        <v>716</v>
      </c>
      <c r="B59" t="s">
        <v>639</v>
      </c>
    </row>
    <row r="60" spans="1:2">
      <c r="A60" t="s">
        <v>717</v>
      </c>
      <c r="B60" t="s">
        <v>639</v>
      </c>
    </row>
    <row r="61" spans="1:2">
      <c r="A61" t="s">
        <v>718</v>
      </c>
      <c r="B61" t="s">
        <v>719</v>
      </c>
    </row>
    <row r="62" spans="1:2">
      <c r="A62" t="s">
        <v>720</v>
      </c>
      <c r="B62" t="s">
        <v>657</v>
      </c>
    </row>
    <row r="63" spans="1:2">
      <c r="A63" t="s">
        <v>721</v>
      </c>
      <c r="B63" t="s">
        <v>722</v>
      </c>
    </row>
    <row r="64" spans="1:2">
      <c r="A64" t="s">
        <v>723</v>
      </c>
      <c r="B64" t="s">
        <v>724</v>
      </c>
    </row>
    <row r="65" spans="1:2">
      <c r="A65" t="s">
        <v>725</v>
      </c>
      <c r="B65" t="s">
        <v>704</v>
      </c>
    </row>
    <row r="66" spans="1:2">
      <c r="A66" t="s">
        <v>726</v>
      </c>
      <c r="B66" t="s">
        <v>643</v>
      </c>
    </row>
    <row r="67" spans="1:2">
      <c r="A67" t="s">
        <v>727</v>
      </c>
      <c r="B67" t="s">
        <v>641</v>
      </c>
    </row>
    <row r="68" spans="1:2">
      <c r="A68" t="s">
        <v>728</v>
      </c>
      <c r="B68" t="s">
        <v>643</v>
      </c>
    </row>
    <row r="69" spans="1:2">
      <c r="A69" t="s">
        <v>729</v>
      </c>
      <c r="B69" t="s">
        <v>643</v>
      </c>
    </row>
    <row r="70" spans="1:2">
      <c r="A70" t="s">
        <v>730</v>
      </c>
      <c r="B70" t="s">
        <v>643</v>
      </c>
    </row>
    <row r="71" spans="1:2">
      <c r="A71" t="s">
        <v>731</v>
      </c>
      <c r="B71" t="s">
        <v>732</v>
      </c>
    </row>
    <row r="72" spans="1:2">
      <c r="A72" t="s">
        <v>733</v>
      </c>
      <c r="B72" t="s">
        <v>734</v>
      </c>
    </row>
    <row r="73" spans="1:2">
      <c r="A73" t="s">
        <v>735</v>
      </c>
      <c r="B73" t="s">
        <v>736</v>
      </c>
    </row>
    <row r="74" spans="1:2">
      <c r="A74" t="s">
        <v>737</v>
      </c>
      <c r="B74" t="s">
        <v>738</v>
      </c>
    </row>
    <row r="75" spans="1:2">
      <c r="A75" t="s">
        <v>739</v>
      </c>
      <c r="B75" t="s">
        <v>740</v>
      </c>
    </row>
    <row r="76" spans="1:2">
      <c r="A76" t="s">
        <v>741</v>
      </c>
      <c r="B76" t="s">
        <v>742</v>
      </c>
    </row>
    <row r="77" spans="1:2">
      <c r="A77" t="s">
        <v>743</v>
      </c>
      <c r="B77" t="s">
        <v>744</v>
      </c>
    </row>
    <row r="78" spans="1:2">
      <c r="A78" t="s">
        <v>745</v>
      </c>
      <c r="B78" t="s">
        <v>704</v>
      </c>
    </row>
    <row r="79" spans="1:2">
      <c r="A79" t="s">
        <v>746</v>
      </c>
      <c r="B79" t="s">
        <v>643</v>
      </c>
    </row>
    <row r="80" spans="1:2">
      <c r="A80" t="s">
        <v>747</v>
      </c>
      <c r="B80" t="s">
        <v>704</v>
      </c>
    </row>
    <row r="81" spans="1:2">
      <c r="A81" t="s">
        <v>748</v>
      </c>
      <c r="B81" t="s">
        <v>704</v>
      </c>
    </row>
    <row r="82" spans="1:2">
      <c r="A82" t="s">
        <v>749</v>
      </c>
      <c r="B82" t="s">
        <v>641</v>
      </c>
    </row>
    <row r="83" spans="1:2">
      <c r="A83" t="s">
        <v>750</v>
      </c>
      <c r="B83" t="s">
        <v>751</v>
      </c>
    </row>
    <row r="84" spans="1:2">
      <c r="A84" t="s">
        <v>752</v>
      </c>
      <c r="B84" t="s">
        <v>753</v>
      </c>
    </row>
    <row r="85" spans="1:2">
      <c r="A85" t="s">
        <v>754</v>
      </c>
      <c r="B85" t="s">
        <v>653</v>
      </c>
    </row>
    <row r="86" spans="1:2">
      <c r="A86" t="s">
        <v>755</v>
      </c>
      <c r="B86" t="s">
        <v>756</v>
      </c>
    </row>
    <row r="87" spans="1:2">
      <c r="A87" t="s">
        <v>757</v>
      </c>
      <c r="B87" t="s">
        <v>653</v>
      </c>
    </row>
    <row r="88" spans="1:2">
      <c r="A88" t="s">
        <v>758</v>
      </c>
      <c r="B88" t="s">
        <v>653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74" t="s">
        <v>580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74" t="s">
        <v>581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2026-05-10T01:58:45Z</dcterms:modified>
  <dc:language>en-US</dc:language>
</cp:coreProperties>
</file>