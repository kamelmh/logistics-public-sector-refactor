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Software_Surgical_Edit\"/>
    </mc:Choice>
  </mc:AlternateContent>
  <xr:revisionPtr revIDLastSave="0" documentId="13_ncr:1_{E756C597-EAF6-4D59-A57C-E4D6B9A81A81}" xr6:coauthVersionLast="36" xr6:coauthVersionMax="36" xr10:uidLastSave="{00000000-0000-0000-0000-000000000000}"/>
  <bookViews>
    <workbookView xWindow="0" yWindow="0" windowWidth="20490" windowHeight="10725" firstSheet="5" activeTab="7" xr2:uid="{7386DEF2-9882-43FD-8CEA-DF2406CACFDD}"/>
  </bookViews>
  <sheets>
    <sheet name="ACCUEIL" sheetId="1" r:id="rId1"/>
    <sheet name="ARTICLES" sheetId="2" r:id="rId2"/>
    <sheet name="FOURNISSEURS" sheetId="3" r:id="rId3"/>
    <sheet name="CONVENTIONS" sheetId="4" r:id="rId4"/>
    <sheet name="MOUVEMENTS" sheetId="5" r:id="rId5"/>
    <sheet name="TABLEAU DE BORD" sheetId="6" r:id="rId6"/>
    <sheet name="ALERTE_DASHBOARD" sheetId="7" r:id="rId7"/>
    <sheet name="INVENTAIRE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B7" i="6"/>
</calcChain>
</file>

<file path=xl/sharedStrings.xml><?xml version="1.0" encoding="utf-8"?>
<sst xmlns="http://schemas.openxmlformats.org/spreadsheetml/2006/main" count="70" uniqueCount="58">
  <si>
    <t>نظام دعم القرار - الإدارة العامة للتربية - البيض</t>
  </si>
  <si>
    <t>Decision Support System v13.2</t>
  </si>
  <si>
    <t>Case Study: Toner G030 (ART-001)</t>
  </si>
  <si>
    <t>ROP Target: 205.6 units</t>
  </si>
  <si>
    <t>Annual Demand (D): 1546 units</t>
  </si>
  <si>
    <t>Lead Time (LT): 2 days</t>
  </si>
  <si>
    <t>Safety Stock (SS): 200 units</t>
  </si>
  <si>
    <t>Code Article</t>
  </si>
  <si>
    <t>Désignation</t>
  </si>
  <si>
    <t>Catégorie ABC</t>
  </si>
  <si>
    <t>Demande Annuelle</t>
  </si>
  <si>
    <t>ROP</t>
  </si>
  <si>
    <t>Stock Actuel</t>
  </si>
  <si>
    <t>CMUP</t>
  </si>
  <si>
    <t>ART-001</t>
  </si>
  <si>
    <t>Toner G030</t>
  </si>
  <si>
    <t>A</t>
  </si>
  <si>
    <t>ART-002</t>
  </si>
  <si>
    <t>Rame Papier A4</t>
  </si>
  <si>
    <t>ART-003</t>
  </si>
  <si>
    <t>Cartouches Encre Noir</t>
  </si>
  <si>
    <t>B</t>
  </si>
  <si>
    <t>ART-004</t>
  </si>
  <si>
    <t>Clips 19mm</t>
  </si>
  <si>
    <t>C</t>
  </si>
  <si>
    <t>ART-005</t>
  </si>
  <si>
    <t>Cahier 100 pages</t>
  </si>
  <si>
    <t>ART-006</t>
  </si>
  <si>
    <t>Stylo Bille Bleu</t>
  </si>
  <si>
    <t>ART-007</t>
  </si>
  <si>
    <t>Dossier Suspendu</t>
  </si>
  <si>
    <t>ART-008</t>
  </si>
  <si>
    <t>Agrafeuse</t>
  </si>
  <si>
    <t>ART-009</t>
  </si>
  <si>
    <t>Ruban Adhésif</t>
  </si>
  <si>
    <t>ART-010</t>
  </si>
  <si>
    <t>Sac Poubelle 50L</t>
  </si>
  <si>
    <t>ART-011</t>
  </si>
  <si>
    <t>Marqueur Tableau</t>
  </si>
  <si>
    <t>ART-012</t>
  </si>
  <si>
    <t>Trombones</t>
  </si>
  <si>
    <t>Date</t>
  </si>
  <si>
    <t>Type</t>
  </si>
  <si>
    <t>Quantité</t>
  </si>
  <si>
    <t>Valeur</t>
  </si>
  <si>
    <t>Référence</t>
  </si>
  <si>
    <t>سجل المخزون الرقمي - Direction de l'Éducation, El Bayadh</t>
  </si>
  <si>
    <t>Indicateur</t>
  </si>
  <si>
    <t>Unité</t>
  </si>
  <si>
    <t>ROP (ART-001)</t>
  </si>
  <si>
    <t>units</t>
  </si>
  <si>
    <t>EOQ (ART-001)</t>
  </si>
  <si>
    <t>CMUP (ART-001)</t>
  </si>
  <si>
    <t>DA/unit</t>
  </si>
  <si>
    <t>Taux de Rotation</t>
  </si>
  <si>
    <t>turns/year</t>
  </si>
  <si>
    <t>Durée de Stock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</si>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</sst>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78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2" borderId="0" xfId="0" applyFon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E66C-6F5F-43BA-8910-B8519D66CECC}">
  <sheetPr codeName="ورقة1"/>
  <dimension ref="A1:A9"/>
  <sheetViews>
    <sheetView workbookViewId="0"/>
  </sheetViews>
  <sheetFormatPr defaultRowHeight="15" x14ac:dyDescent="0.25"/>
  <sheetData>
    <row r="1" spans="1:1" ht="21" x14ac:dyDescent="0.35">
      <c r="A1" s="1" t="s">
        <v>0</v>
      </c>
    </row>
    <row r="3" spans="1:1" ht="15.75" x14ac:dyDescent="0.25">
      <c r="A3" s="2" t="s">
        <v>1</v>
      </c>
    </row>
    <row r="5" spans="1:1" x14ac:dyDescent="0.25">
      <c r="A5" s="3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9" spans="1:1" x14ac:dyDescent="0.25">
      <c r="A9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44A76-586A-4997-9357-ADD4B09B1B9E}">
  <sheetPr codeName="ورقة2"/>
  <dimension ref="A1:G13"/>
  <sheetViews>
    <sheetView workbookViewId="0"/>
  </sheetViews>
  <sheetFormatPr defaultRowHeight="15" x14ac:dyDescent="0.25"/>
  <cols>
    <col min="1" max="1" width="11.85546875" bestFit="1" customWidth="1"/>
    <col min="2" max="2" width="20.7109375" bestFit="1" customWidth="1"/>
    <col min="3" max="3" width="13.7109375" bestFit="1" customWidth="1"/>
    <col min="4" max="4" width="18.42578125" bestFit="1" customWidth="1"/>
    <col min="5" max="5" width="6" bestFit="1" customWidth="1"/>
    <col min="6" max="6" width="11.85546875" bestFit="1" customWidth="1"/>
    <col min="7" max="7" width="6.5703125" bestFit="1" customWidth="1"/>
  </cols>
  <sheetData>
    <row r="1" spans="1:7" x14ac:dyDescent="0.25">
      <c r="A1" s="4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</row>
    <row r="2" spans="1:7" x14ac:dyDescent="0.25">
      <c r="A2" t="s">
        <v>14</v>
      </c>
      <c r="B2" t="s">
        <v>15</v>
      </c>
      <c r="C2" t="s">
        <v>16</v>
      </c>
      <c r="D2">
        <v>1546</v>
      </c>
      <c r="E2">
        <v>205.6</v>
      </c>
      <c r="F2">
        <v>300</v>
      </c>
      <c r="G2">
        <v>2500</v>
      </c>
    </row>
    <row r="3" spans="1:7" x14ac:dyDescent="0.25">
      <c r="A3" t="s">
        <v>17</v>
      </c>
      <c r="B3" t="s">
        <v>18</v>
      </c>
      <c r="C3" t="s">
        <v>16</v>
      </c>
      <c r="D3">
        <v>1200</v>
      </c>
      <c r="E3">
        <v>180.5</v>
      </c>
      <c r="F3">
        <v>250</v>
      </c>
      <c r="G3">
        <v>450</v>
      </c>
    </row>
    <row r="4" spans="1:7" x14ac:dyDescent="0.25">
      <c r="A4" t="s">
        <v>19</v>
      </c>
      <c r="B4" t="s">
        <v>20</v>
      </c>
      <c r="C4" t="s">
        <v>21</v>
      </c>
      <c r="D4">
        <v>800</v>
      </c>
      <c r="E4">
        <v>120.3</v>
      </c>
      <c r="F4">
        <v>150</v>
      </c>
      <c r="G4">
        <v>1800</v>
      </c>
    </row>
    <row r="5" spans="1:7" x14ac:dyDescent="0.25">
      <c r="A5" t="s">
        <v>22</v>
      </c>
      <c r="B5" t="s">
        <v>23</v>
      </c>
      <c r="C5" t="s">
        <v>24</v>
      </c>
      <c r="D5">
        <v>600</v>
      </c>
      <c r="E5">
        <v>90.2</v>
      </c>
      <c r="F5">
        <v>100</v>
      </c>
      <c r="G5">
        <v>50</v>
      </c>
    </row>
    <row r="6" spans="1:7" x14ac:dyDescent="0.25">
      <c r="A6" t="s">
        <v>25</v>
      </c>
      <c r="B6" t="s">
        <v>26</v>
      </c>
      <c r="C6" t="s">
        <v>21</v>
      </c>
      <c r="D6">
        <v>950</v>
      </c>
      <c r="E6">
        <v>140.80000000000001</v>
      </c>
      <c r="F6">
        <v>200</v>
      </c>
      <c r="G6">
        <v>120</v>
      </c>
    </row>
    <row r="7" spans="1:7" x14ac:dyDescent="0.25">
      <c r="A7" t="s">
        <v>27</v>
      </c>
      <c r="B7" t="s">
        <v>28</v>
      </c>
      <c r="C7" t="s">
        <v>24</v>
      </c>
      <c r="D7">
        <v>400</v>
      </c>
      <c r="E7">
        <v>60.1</v>
      </c>
      <c r="F7">
        <v>80</v>
      </c>
      <c r="G7">
        <v>30</v>
      </c>
    </row>
    <row r="8" spans="1:7" x14ac:dyDescent="0.25">
      <c r="A8" t="s">
        <v>29</v>
      </c>
      <c r="B8" t="s">
        <v>30</v>
      </c>
      <c r="C8" t="s">
        <v>21</v>
      </c>
      <c r="D8">
        <v>700</v>
      </c>
      <c r="E8">
        <v>105.4</v>
      </c>
      <c r="F8">
        <v>120</v>
      </c>
      <c r="G8">
        <v>350</v>
      </c>
    </row>
    <row r="9" spans="1:7" x14ac:dyDescent="0.25">
      <c r="A9" t="s">
        <v>31</v>
      </c>
      <c r="B9" t="s">
        <v>32</v>
      </c>
      <c r="C9" t="s">
        <v>24</v>
      </c>
      <c r="D9">
        <v>300</v>
      </c>
      <c r="E9">
        <v>45.6</v>
      </c>
      <c r="F9">
        <v>50</v>
      </c>
      <c r="G9">
        <v>800</v>
      </c>
    </row>
    <row r="10" spans="1:7" x14ac:dyDescent="0.25">
      <c r="A10" t="s">
        <v>33</v>
      </c>
      <c r="B10" t="s">
        <v>34</v>
      </c>
      <c r="C10" t="s">
        <v>24</v>
      </c>
      <c r="D10">
        <v>250</v>
      </c>
      <c r="E10">
        <v>37.799999999999997</v>
      </c>
      <c r="F10">
        <v>40</v>
      </c>
      <c r="G10">
        <v>60</v>
      </c>
    </row>
    <row r="11" spans="1:7" x14ac:dyDescent="0.25">
      <c r="A11" t="s">
        <v>35</v>
      </c>
      <c r="B11" t="s">
        <v>36</v>
      </c>
      <c r="C11" t="s">
        <v>21</v>
      </c>
      <c r="D11">
        <v>880</v>
      </c>
      <c r="E11">
        <v>132.6</v>
      </c>
      <c r="F11">
        <v>180</v>
      </c>
      <c r="G11">
        <v>90</v>
      </c>
    </row>
    <row r="12" spans="1:7" x14ac:dyDescent="0.25">
      <c r="A12" t="s">
        <v>37</v>
      </c>
      <c r="B12" t="s">
        <v>38</v>
      </c>
      <c r="C12" t="s">
        <v>24</v>
      </c>
      <c r="D12">
        <v>350</v>
      </c>
      <c r="E12">
        <v>52.9</v>
      </c>
      <c r="F12">
        <v>60</v>
      </c>
      <c r="G12">
        <v>250</v>
      </c>
    </row>
    <row r="13" spans="1:7" x14ac:dyDescent="0.25">
      <c r="A13" t="s">
        <v>39</v>
      </c>
      <c r="B13" t="s">
        <v>40</v>
      </c>
      <c r="C13" t="s">
        <v>24</v>
      </c>
      <c r="D13">
        <v>200</v>
      </c>
      <c r="E13">
        <v>30.2</v>
      </c>
      <c r="F13">
        <v>30</v>
      </c>
      <c r="G1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85C0A-DD73-41D6-86A6-2E2659BC8BFF}">
  <sheetPr codeName="ورقة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88471-3178-46F7-B960-09E9D05CF9F5}">
  <sheetPr codeName="ورقة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D12C0-6841-42E4-BAC6-136CA2EB29A7}">
  <sheetPr codeName="ورقة5"/>
  <dimension ref="A1:F1"/>
  <sheetViews>
    <sheetView workbookViewId="0"/>
  </sheetViews>
  <sheetFormatPr defaultRowHeight="15" x14ac:dyDescent="0.25"/>
  <cols>
    <col min="1" max="1" width="5.140625" bestFit="1" customWidth="1"/>
    <col min="2" max="2" width="11.85546875" bestFit="1" customWidth="1"/>
    <col min="3" max="3" width="5.28515625" bestFit="1" customWidth="1"/>
    <col min="4" max="4" width="8.85546875" bestFit="1" customWidth="1"/>
    <col min="5" max="5" width="6.85546875" bestFit="1" customWidth="1"/>
    <col min="6" max="6" width="10.140625" bestFit="1" customWidth="1"/>
  </cols>
  <sheetData>
    <row r="1" spans="1:6" x14ac:dyDescent="0.25">
      <c r="A1" s="4" t="s">
        <v>41</v>
      </c>
      <c r="B1" s="4" t="s">
        <v>7</v>
      </c>
      <c r="C1" s="4" t="s">
        <v>42</v>
      </c>
      <c r="D1" s="4" t="s">
        <v>43</v>
      </c>
      <c r="E1" s="4" t="s">
        <v>44</v>
      </c>
      <c r="F1" s="4" t="s">
        <v>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F7CE5-EB27-4DD4-B3BC-53859BDE14C0}">
  <sheetPr codeName="ورقة6"/>
  <dimension ref="A1:C8"/>
  <sheetViews>
    <sheetView workbookViewId="0"/>
  </sheetViews>
  <sheetFormatPr defaultRowHeight="15" x14ac:dyDescent="0.25"/>
  <cols>
    <col min="1" max="1" width="64.85546875" bestFit="1" customWidth="1"/>
    <col min="2" max="2" width="12" bestFit="1" customWidth="1"/>
    <col min="3" max="3" width="10.28515625" bestFit="1" customWidth="1"/>
  </cols>
  <sheetData>
    <row r="1" spans="1:3" ht="18.75" x14ac:dyDescent="0.3">
      <c r="A1" s="5" t="s">
        <v>46</v>
      </c>
    </row>
    <row r="3" spans="1:3" x14ac:dyDescent="0.25">
      <c r="A3" s="4" t="s">
        <v>47</v>
      </c>
      <c r="B3" s="4" t="s">
        <v>44</v>
      </c>
      <c r="C3" s="4" t="s">
        <v>48</v>
      </c>
    </row>
    <row r="4" spans="1:3" x14ac:dyDescent="0.25">
      <c r="A4" t="s">
        <v>49</v>
      </c>
      <c r="B4">
        <v>205.6</v>
      </c>
      <c r="C4" t="s">
        <v>50</v>
      </c>
    </row>
    <row r="5" spans="1:3" x14ac:dyDescent="0.25">
      <c r="A5" t="s">
        <v>51</v>
      </c>
      <c r="B5">
        <v>176</v>
      </c>
      <c r="C5" t="s">
        <v>50</v>
      </c>
    </row>
    <row r="6" spans="1:3" x14ac:dyDescent="0.25">
      <c r="A6" t="s">
        <v>52</v>
      </c>
      <c r="B6">
        <v>2500</v>
      </c>
      <c r="C6" t="s">
        <v>53</v>
      </c>
    </row>
    <row r="7" spans="1:3" x14ac:dyDescent="0.25">
      <c r="A7" t="s">
        <v>54</v>
      </c>
      <c r="B7">
        <f>1546/300</f>
        <v>5.1533333333333333</v>
      </c>
      <c r="C7" t="s">
        <v>55</v>
      </c>
    </row>
    <row r="8" spans="1:3" x14ac:dyDescent="0.25">
      <c r="A8" t="s">
        <v>56</v>
      </c>
      <c r="B8">
        <f>300/(1546/365)</f>
        <v>70.827943078913336</v>
      </c>
      <c r="C8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E828-4AF6-45A1-996C-10952A1397C4}">
  <sheetPr codeName="ورقة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2BA4-8540-439F-BCA4-74ABB03AE182}">
  <sheetPr codeName="ورقة8"/>
  <dimension ref="A1"/>
  <sheetViews>
    <sheetView tabSelected="1" workbookViewId="0">
      <selection activeCell="I10" sqref="I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2026-05-03T12:26:35Z</dcterms:created>
  <dcterms:modified xsi:type="dcterms:W3CDTF">2026-05-04T17:14:51Z</dcterms:modified>
</cp:coreProperties>
</file>