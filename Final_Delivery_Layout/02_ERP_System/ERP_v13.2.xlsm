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"/>
    </mc:Choice>
  </mc:AlternateContent>
  <xr:revisionPtr revIDLastSave="0" documentId="13_ncr:1_{360C24B9-D0CE-4689-BD66-2F6F2198A3FD}" xr6:coauthVersionLast="36" xr6:coauthVersionMax="36" xr10:uidLastSave="{00000000-0000-0000-0000-000000000000}"/>
  <bookViews>
    <workbookView xWindow="0" yWindow="0" windowWidth="16380" windowHeight="8190" tabRatio="500" firstSheet="15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functionGroups builtInGroupCount="19"/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H12" i="6"/>
  <c r="H20" i="7" s="1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H5" i="6"/>
  <c r="H13" i="7" s="1"/>
  <c r="H8" i="6"/>
  <c r="H16" i="7" s="1"/>
  <c r="H4" i="6"/>
  <c r="H12" i="7" s="1"/>
  <c r="E13" i="7"/>
  <c r="J5" i="6"/>
  <c r="F13" i="7" s="1"/>
  <c r="H10" i="6"/>
  <c r="H18" i="7" s="1"/>
  <c r="H14" i="6"/>
  <c r="H22" i="7" s="1"/>
  <c r="H13" i="6"/>
  <c r="H21" i="7" s="1"/>
  <c r="F4" i="6"/>
  <c r="E12" i="7"/>
  <c r="H11" i="6"/>
  <c r="H19" i="7" s="1"/>
  <c r="H15" i="6"/>
  <c r="H23" i="7" s="1"/>
  <c r="H9" i="6"/>
  <c r="H17" i="7" s="1"/>
  <c r="H7" i="6"/>
  <c r="H15" i="7" s="1"/>
  <c r="H6" i="6"/>
  <c r="H14" i="7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I5" i="6" l="1"/>
  <c r="I13" i="7" s="1"/>
  <c r="K5" i="6"/>
  <c r="G13" i="7" s="1"/>
  <c r="K11" i="6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J23" i="7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J13" i="7" l="1"/>
  <c r="K15" i="7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<sst xmlns="http://schemas.openxmlformats.org/spreadsheetml/2006/main" count="1351" uniqueCount="805">
  <si>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</si>
  <si>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</si>
  <si>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</si>
  <si>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</si>
  <si>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</si>
  <si>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</si>
  <si>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</si>
  <si>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</si>
  <si>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</si>
  <si>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</si>
  <si>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</si>
  <si>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</si>
  <si>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</si>
  <si>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</si>
  <si>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</si>
  <si>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</si>
  <si>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</si>
  <si>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</si>
  <si>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</si>
  <si>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</si>
  <si>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</si>
  <si>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</si>
  <si>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</si>
  <si>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</si>
  <si>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</si>
  <si>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</si>
  <si>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</si>
  <si>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</si>
  <si>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</si>
  <si>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</si>
  <si>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</si>
  <si>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</si>
  <si>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</si>
  <si>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</si>
  <si>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</si>
  <si>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</si>
  <si>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</si>
  <si>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</si>
  <si>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</si>
  <si>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</si>
  <si>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</si>
  <si>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</si>
  <si>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</si>
  <si>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</si>
  <si>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</si>
  <si>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</si>
  <si>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</si>
  <si>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</si>
  <si>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Unité</t>
  </si>
  <si>
    <t>Stock Min</t>
  </si>
  <si>
    <t>Prix Unit. (DA)</t>
  </si>
  <si>
    <t>Fournisseur</t>
  </si>
  <si>
    <t>ART-001</t>
  </si>
  <si>
    <t>A</t>
  </si>
  <si>
    <t>ENAP Alger</t>
  </si>
  <si>
    <t>ART-002</t>
  </si>
  <si>
    <t>B</t>
  </si>
  <si>
    <t>Bureautique Oran</t>
  </si>
  <si>
    <t>ART-003</t>
  </si>
  <si>
    <t>ART-004</t>
  </si>
  <si>
    <t>Bureau Plus</t>
  </si>
  <si>
    <t>ART-005</t>
  </si>
  <si>
    <t>Agrafeuse de bureau</t>
  </si>
  <si>
    <t>ART-006</t>
  </si>
  <si>
    <t>ART-007</t>
  </si>
  <si>
    <t>Registre grand format 5m</t>
  </si>
  <si>
    <t>ART-008</t>
  </si>
  <si>
    <t>ART-009</t>
  </si>
  <si>
    <t>ART-010</t>
  </si>
  <si>
    <t>ART-011</t>
  </si>
  <si>
    <t>ART-012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</si>
  <si>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</si>
  <si>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</si>
  <si>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</si>
  <si>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</si>
  <si>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</si>
  <si>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</si>
  <si>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</si>
  <si>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</si>
  <si>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</si>
  <si>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</si>
  <si>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</si>
  <si>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F-002</t>
  </si>
  <si>
    <t>F-003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</si>
  <si>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</si>
  <si>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</si>
  <si>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</si>
  <si>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</si>
  <si>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</si>
  <si>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</si>
  <si>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</si>
  <si>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</si>
  <si>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</si>
  <si>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</si>
  <si>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</si>
  <si>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</si>
  <si>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</si>
  <si>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</si>
  <si>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</si>
  <si>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</si>
  <si>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</si>
  <si>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</si>
  <si>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</si>
  <si>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</si>
  <si>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</si>
  <si>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</si>
  <si>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</si>
  <si>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</si>
  <si>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</si>
  <si>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</si>
  <si>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</si>
  <si>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</si>
  <si>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</si>
  <si>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</si>
  <si>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</si>
  <si>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</si>
  <si>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</si>
  <si>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</si>
  <si>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</si>
  <si>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</si>
  <si>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</si>
  <si>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</si>
  <si>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</si>
  <si>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</si>
  <si>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</si>
  <si>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</si>
  <si>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</si>
  <si>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</si>
  <si>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</si>
  <si>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</si>
  <si>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</si>
  <si>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</si>
  <si>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</si>
  <si>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</si>
  <si>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</si>
  <si>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</si>
  <si>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</si>
  <si>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</si>
  <si>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</si>
  <si>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</si>
  <si>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</si>
  <si>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</si>
  <si>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</si>
  <si>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</si>
  <si>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</si>
  <si>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</si>
  <si>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</si>
  <si>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</si>
  <si>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</si>
  <si>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</si>
  <si>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</si>
  <si>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</si>
  <si>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</si>
  <si>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</si>
  <si>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</si>
  <si>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</si>
  <si>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</si>
  <si>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</si>
  <si>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</si>
  <si>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</si>
  <si>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</si>
  <si>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</si>
  <si>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</si>
  <si>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</si>
  <si>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</si>
  <si>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</si>
  <si>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</si>
  <si>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</si>
  <si>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</si>
  <si>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</si>
  <si>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</si>
  <si>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</si>
  <si>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OUT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</si>
  <si>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</si>
  <si>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</si>
  <si>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</si>
  <si>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</si>
  <si>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</si>
  <si>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</si>
  <si>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</si>
  <si>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</si>
  <si>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</si>
  <si>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</si>
  <si>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</si>
  <si>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</si>
  <si>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</si>
  <si>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</si>
  <si>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</si>
  <si>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</si>
  <si>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</si>
  <si>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</si>
  <si>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</si>
  <si>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</si>
  <si>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</si>
  <si>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</si>
  <si>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</si>
  <si>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</si>
  <si>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</si>
  <si>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</si>
  <si>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</si>
  <si>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</si>
  <si>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</si>
  <si>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</si>
  <si>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</si>
  <si>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</si>
  <si>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</si>
  <si>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</si>
  <si>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</si>
  <si>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</si>
  <si>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</si>
  <si>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</si>
  <si>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</si>
  <si>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</si>
  <si>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</si>
  <si>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</si>
  <si>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</si>
  <si>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</si>
  <si>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</si>
  <si>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</si>
  <si>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</si>
  <si>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</si>
  <si>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</si>
  <si>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</si>
  <si>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</si>
  <si>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</si>
  <si>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</si>
  <si>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</si>
  <si>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</si>
  <si>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</si>
  <si>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</si>
  <si>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</si>
  <si>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</si>
  <si>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</si>
  <si>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</si>
  <si>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</si>
  <si>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</si>
  <si>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</si>
  <si>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</si>
  <si>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</si>
  <si>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</si>
  <si>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</si>
  <si>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</si>
  <si>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</si>
  <si>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</si>
  <si>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</si>
  <si>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</si>
  <si>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</si>
  <si>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</si>
  <si>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</si>
  <si>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</si>
  <si>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</si>
  <si>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</si>
  <si>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</si>
  <si>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</si>
  <si>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</si>
  <si>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</si>
  <si>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</si>
  <si>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</si>
  <si>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</si>
  <si>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</si>
  <si>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</si>
  <si>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</si>
  <si>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</si>
  <si>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</si>
  <si>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</si>
  <si>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</si>
  <si>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</si>
  <si>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</si>
  <si>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</si>
  <si>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</si>
  <si>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</si>
  <si>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</si>
  <si>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</si>
  <si>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</si>
  <si>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</si>
  <si>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</si>
  <si>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</si>
  <si>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</si>
  <si>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</si>
  <si>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</si>
  <si>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</si>
  <si>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</si>
  <si>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</si>
  <si>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</si>
  <si>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</si>
  <si>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</si>
  <si>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</si>
  <si>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</si>
  <si>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</si>
  <si>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</si>
  <si>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</si>
  <si>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</si>
  <si>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</si>
  <si>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</si>
  <si>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</si>
  <si>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</si>
  <si>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</si>
  <si>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</si>
  <si>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</si>
  <si>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</si>
  <si>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</si>
  <si>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</si>
  <si>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</si>
  <si>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</si>
  <si>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</si>
  <si>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</si>
  <si>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</si>
  <si>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</si>
  <si>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</si>
  <si>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</si>
  <si>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</si>
  <si>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</si>
  <si>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</si>
  <si>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</si>
  <si>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</si>
  <si>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</si>
  <si>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</si>
  <si>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</si>
  <si>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</si>
  <si>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</si>
  <si>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</si>
  <si>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</si>
  <si>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</si>
  <si>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</si>
  <si>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</si>
  <si>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</si>
  <si>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</si>
  <si>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</si>
  <si>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</si>
  <si>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</si>
  <si>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</si>
  <si>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</si>
  <si>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</si>
  <si>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</si>
  <si>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</si>
  <si>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</si>
  <si>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</si>
  <si>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</si>
  <si>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</si>
  <si>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</si>
  <si>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</si>
  <si>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</si>
  <si>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</si>
  <si>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</si>
  <si>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</si>
  <si>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</si>
  <si>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</si>
  <si>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</si>
  <si>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</si>
  <si>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</si>
  <si>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</si>
  <si>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</si>
  <si>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</si>
  <si>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</si>
  <si>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</si>
  <si>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</si>
  <si>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</si>
  <si>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</si>
  <si>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</si>
  <si>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</si>
  <si>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</si>
  <si>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</si>
  <si>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</si>
  <si>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</si>
  <si>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</si>
  <si>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</si>
  <si>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</si>
  <si>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</si>
  <si>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</si>
  <si>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</si>
  <si>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</si>
  <si>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</si>
  <si>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</si>
  <si>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</si>
  <si>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</si>
  <si>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</si>
  <si>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</si>
  <si>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</si>
  <si>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</si>
  <si>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</si>
  <si>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</si>
  <si>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</si>
  <si>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</si>
  <si>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</si>
  <si>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</si>
  <si>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</si>
  <si>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</si>
  <si>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</si>
  <si>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</si>
  <si>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</si>
  <si>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</si>
  <si>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</si>
  <si>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</si>
  <si>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</si>
  <si>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</si>
  <si>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</si>
  <si>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</si>
  <si>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</si>
  <si>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</si>
  <si>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</si>
  <si>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</si>
  <si>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</si>
  <si>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</si>
  <si>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</si>
  <si>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</si>
  <si>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</si>
  <si>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</si>
  <si>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</si>
  <si>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</si>
  <si>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</si>
  <si>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</si>
  <si>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</si>
  <si>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</si>
  <si>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</si>
  <si>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</si>
  <si>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</si>
  <si>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</si>
  <si>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</si>
  <si>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</si>
  <si>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</si>
  <si>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</si>
  <si>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</si>
  <si>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</si>
  <si>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</si>
  <si>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</si>
  <si>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</si>
  <si>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</si>
  <si>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</si>
  <si>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</si>
  <si>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</si>
  <si>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</si>
  <si>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</si>
  <si>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</si>
  <si>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</si>
  <si>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</si>
  <si>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</si>
  <si>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</si>
  <si>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</si>
  <si>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</si>
  <si>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</si>
  <si>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</si>
  <si>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</si>
  <si>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</si>
  <si>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</si>
  <si>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</si>
  <si>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</si>
  <si>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</si>
  <si>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</si>
  <si>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</si>
  <si>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</si>
  <si>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</si>
  <si>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</si>
  <si>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</si>
  <si>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</si>
  <si>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</si>
  <si>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</si>
  <si>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</si>
  <si>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</si>
  <si>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</si>
  <si>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</si>
  <si>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</si>
  <si>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</si>
  <si>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</si>
  <si>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</si>
  <si>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</si>
  <si>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</si>
  <si>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</si>
  <si>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</si>
  <si>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</si>
  <si>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</si>
  <si>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</si>
  <si>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</si>
  <si>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</si>
  <si>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</si>
  <si>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</si>
  <si>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</si>
  <si>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</si>
  <si>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</si>
  <si>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</si>
  <si>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</si>
  <si>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</si>
  <si>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</si>
  <si>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</si>
  <si>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</si>
  <si>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</si>
  <si>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</si>
  <si>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</si>
  <si>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</si>
  <si>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</si>
  <si>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</si>
  <si>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</si>
  <si>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</si>
  <si>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</si>
  <si>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</si>
  <si>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</si>
  <si>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</si>
  <si>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</si>
  <si>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</si>
  <si>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</si>
  <si>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</si>
  <si>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</si>
  <si>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</si>
  <si>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</si>
  <si>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</si>
  <si>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</si>
  <si>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</si>
  <si>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</si>
  <si>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</si>
  <si>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</si>
  <si>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</si>
  <si>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</si>
  <si>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</si>
  <si>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</si>
  <si>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</si>
  <si>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</si>
  <si>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</si>
  <si>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</si>
  <si>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</si>
  <si>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</si>
  <si>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</si>
  <si>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</si>
  <si>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</si>
  <si>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</si>
  <si>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</si>
  <si>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</si>
  <si>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</si>
  <si>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</si>
  <si>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</si>
  <si>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</si>
  <si>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</si>
  <si>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</si>
  <si>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</si>
  <si>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</si>
  <si>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</si>
  <si>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</si>
  <si>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</si>
  <si>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</si>
  <si>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</si>
  <si>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</si>
  <si>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</si>
  <si>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</si>
  <si>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</si>
  <si>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</si>
  <si>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</si>
  <si>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</si>
  <si>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</si>
  <si>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</si>
  <si>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</si>
  <si>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</si>
  <si>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</si>
  <si>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</si>
  <si>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</si>
  <si>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</si>
  <si>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</si>
  <si>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</si>
  <si>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</si>
  <si>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</si>
  <si>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</si>
  <si>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</si>
  <si>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</si>
  <si>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</si>
  <si>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</si>
  <si>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</si>
  <si>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</si>
  <si>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</si>
  <si>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</si>
  <si>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</si>
  <si>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</si>
  <si>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</si>
  <si>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</si>
  <si>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</si>
  <si>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</si>
  <si>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</si>
  <si>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</si>
  <si>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</si>
  <si>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BS-2026-2604-001</t>
  </si>
  <si>
    <t>DATE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</si>
  <si>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</si>
  <si>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</si>
  <si>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</si>
  <si>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</si>
  <si>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</si>
  <si>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</si>
  <si>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</si>
  <si>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</si>
  <si>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</si>
  <si>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</si>
  <si>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</si>
  <si>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</si>
  <si>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</si>
  <si>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</si>
  <si>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</si>
  <si>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</si>
  <si>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</si>
  <si>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</si>
  <si>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</si>
  <si>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</si>
  <si>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</si>
  <si>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</si>
  <si>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</si>
  <si>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</si>
  <si>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</si>
  <si>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</si>
  <si>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</si>
  <si>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</si>
  <si>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</si>
  <si>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</si>
  <si>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</si>
  <si>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</si>
  <si>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</si>
  <si>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</si>
  <si>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</si>
  <si>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</si>
  <si>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</si>
  <si>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</si>
  <si>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</si>
  <si>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</si>
  <si>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</si>
  <si>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</si>
  <si>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</si>
  <si>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</si>
  <si>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</si>
  <si>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</si>
  <si>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</si>
  <si>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</si>
  <si>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</si>
  <si>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</si>
  <si>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</si>
  <si>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</si>
  <si>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</si>
  <si>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</si>
  <si>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</si>
  <si>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</si>
  <si>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</si>
  <si>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</si>
  <si>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</si>
  <si>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</si>
  <si>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</si>
  <si>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</si>
  <si>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</si>
  <si>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</si>
  <si>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</si>
  <si>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</si>
  <si>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</si>
  <si>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</si>
  <si>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</si>
  <si>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</si>
  <si>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</si>
  <si>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</si>
  <si>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</si>
  <si>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</si>
  <si>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</si>
  <si>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</si>
  <si>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</si>
  <si>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</si>
  <si>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</si>
  <si>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</si>
  <si>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</si>
  <si>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</si>
  <si>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</si>
  <si>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</si>
  <si>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</si>
  <si>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</si>
  <si>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</si>
  <si>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</si>
  <si>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</si>
  <si>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</si>
  <si>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</si>
  <si>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</si>
  <si>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</si>
  <si>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</si>
  <si>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</si>
  <si>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</si>
  <si>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</si>
  <si>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</si>
  <si>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</si>
  <si>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</si>
  <si>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</si>
  <si>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</si>
  <si>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</si>
  <si>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</si>
  <si>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</si>
  <si>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</si>
  <si>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</si>
  <si>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</si>
  <si>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</si>
  <si>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</si>
  <si>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</si>
  <si>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</si>
  <si>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</si>
  <si>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</si>
  <si>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</si>
  <si>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</si>
  <si>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</si>
  <si>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</si>
  <si>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</si>
  <si>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</si>
  <si>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</si>
  <si>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</si>
  <si>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</si>
  <si>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</si>
  <si>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DA-2026-2604-001</t>
  </si>
  <si>
    <t>Toner imprimante G030 (noir)</t>
  </si>
  <si>
    <t>Informatique</t>
  </si>
  <si>
    <t>Fournitures d'impression</t>
  </si>
  <si>
    <t>Rame papier A4 80g/m2</t>
  </si>
  <si>
    <t>Papeterie standard</t>
  </si>
  <si>
    <t>Rame papier A3 80g/m2</t>
  </si>
  <si>
    <t>Papier grand format</t>
  </si>
  <si>
    <t>Boite archives carton</t>
  </si>
  <si>
    <t>Admin</t>
  </si>
  <si>
    <t>Archivage physique</t>
  </si>
  <si>
    <t>C</t>
  </si>
  <si>
    <t>Petit materiel</t>
  </si>
  <si>
    <t>Stylos bille boite/50</t>
  </si>
  <si>
    <t>Consommables ecriture</t>
  </si>
  <si>
    <t>Registres officiels</t>
  </si>
  <si>
    <t>Encre tampon</t>
  </si>
  <si>
    <t>Consommables tampon</t>
  </si>
  <si>
    <t>Sous-chemise carton</t>
  </si>
  <si>
    <t>Chemises classement</t>
  </si>
  <si>
    <t>Chemise cartonnee</t>
  </si>
  <si>
    <t>Chemises documents</t>
  </si>
  <si>
    <t>Rouleau papier fax</t>
  </si>
  <si>
    <t>Consommables fax</t>
  </si>
  <si>
    <t>Marqueur permanent noir</t>
  </si>
  <si>
    <t>Marquage etatiquetage</t>
  </si>
  <si>
    <t>Alger, Hydra</t>
  </si>
  <si>
    <t>021-XXX-XXXX</t>
  </si>
  <si>
    <t>RC-16/00-123456</t>
  </si>
  <si>
    <t>Art-001</t>
  </si>
  <si>
    <t>Oran, Es Senia</t>
  </si>
  <si>
    <t>041-XXX-XXXX</t>
  </si>
  <si>
    <t>RC-31/00-654321</t>
  </si>
  <si>
    <t>Art-002</t>
  </si>
  <si>
    <t>El Bayadh, Centre</t>
  </si>
  <si>
    <t>049-XXX-XXXX</t>
  </si>
  <si>
    <t>RC-32/00-789012</t>
  </si>
  <si>
    <t>Art-003</t>
  </si>
  <si>
    <t>BS-2026-0001</t>
  </si>
  <si>
    <t>Service Archives</t>
  </si>
  <si>
    <t>BS-2026-0002</t>
  </si>
  <si>
    <t>BS-2026-0003</t>
  </si>
  <si>
    <t>Service Comptabilite</t>
  </si>
  <si>
    <t>BS-2026-0004</t>
  </si>
  <si>
    <t>Service Informatique</t>
  </si>
  <si>
    <t>BS-2026-0005</t>
  </si>
  <si>
    <t>BS-2026-0006</t>
  </si>
  <si>
    <t>BR-2026-0001</t>
  </si>
  <si>
    <t>BR-2026-0002</t>
  </si>
  <si>
    <t>BS-2026-0007</t>
  </si>
  <si>
    <t>Service Juridique</t>
  </si>
  <si>
    <t>BS-2026-0008</t>
  </si>
  <si>
    <t>BS-2026-0009</t>
  </si>
  <si>
    <t>Direction</t>
  </si>
  <si>
    <t>BS-2026-0010</t>
  </si>
  <si>
    <t>BS-2026-0011</t>
  </si>
  <si>
    <t>BS-2026-0012</t>
  </si>
  <si>
    <t>BS-2026-0013</t>
  </si>
  <si>
    <t>BS-2026-0014</t>
  </si>
  <si>
    <t>BS-2026-0015</t>
  </si>
  <si>
    <t>BS-2026-0016</t>
  </si>
  <si>
    <t>BS-2026-0017</t>
  </si>
  <si>
    <t>BR-2026-0003</t>
  </si>
  <si>
    <t>BR-2026-0004</t>
  </si>
  <si>
    <t>BS-2026-0018</t>
  </si>
  <si>
    <t>BS-2026-0019</t>
  </si>
  <si>
    <t>BS-2026-0020</t>
  </si>
  <si>
    <t>BS-2026-0021</t>
  </si>
  <si>
    <t>BS-2026-0022</t>
  </si>
  <si>
    <t>BR-2026-0005</t>
  </si>
  <si>
    <t>BS-2026-0023</t>
  </si>
  <si>
    <t>BS-2026-0024</t>
  </si>
  <si>
    <t>BS-2026-0025</t>
  </si>
  <si>
    <t>BR-2026-0006</t>
  </si>
  <si>
    <t>BS-2026-0026</t>
  </si>
  <si>
    <t>BS-2026-0027</t>
  </si>
  <si>
    <t>BS-2026-0028</t>
  </si>
  <si>
    <t>BS-2026-0029</t>
  </si>
  <si>
    <t>BS-2026-0030</t>
  </si>
  <si>
    <t>BS-2026-0031</t>
  </si>
  <si>
    <t>BS-2026-0032</t>
  </si>
  <si>
    <t>BS-2026-0033</t>
  </si>
  <si>
    <t>BR-2026-0007</t>
  </si>
  <si>
    <t>BS-2026-0034</t>
  </si>
  <si>
    <t>BS-2026-0035</t>
  </si>
  <si>
    <t>BS-2026-0036</t>
  </si>
  <si>
    <t>BS-2026-0037</t>
  </si>
  <si>
    <t>BS-2026-0038</t>
  </si>
  <si>
    <t>BS-2026-0039</t>
  </si>
  <si>
    <t>BS-2026-0040</t>
  </si>
  <si>
    <t>BS-2026-0041</t>
  </si>
  <si>
    <t>BS-2026-0042</t>
  </si>
  <si>
    <t>BR-2026-0008</t>
  </si>
  <si>
    <t>BS-2026-0043</t>
  </si>
  <si>
    <t>BS-2026-0044</t>
  </si>
  <si>
    <t>BS-2026-0045</t>
  </si>
  <si>
    <t>BS-2026-0046</t>
  </si>
  <si>
    <t>BS-2026-0047</t>
  </si>
  <si>
    <t>BR-2026-0009</t>
  </si>
  <si>
    <t>BS-2026-0048</t>
  </si>
  <si>
    <t>BS-2026-0049</t>
  </si>
  <si>
    <t>BS-2026-0050</t>
  </si>
  <si>
    <t>BS-2026-0051</t>
  </si>
  <si>
    <t>BS-2026-0052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</si>
</sst>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[$DA]"/>
    <numFmt numFmtId="165" formatCode="0.0%"/>
    <numFmt numFmtId="166" formatCode="dd/mm/yyyy\ hh:mm:ss"/>
    <numFmt numFmtId="167" formatCode="yyyy\-mm\-dd"/>
    <numFmt numFmtId="168" formatCode="hh:mm:ss"/>
    <numFmt numFmtId="169" formatCode="#,##0.00\ &quot;DZD&quot;"/>
    <numFmt numFmtId="170" formatCode="0.00\ \x"/>
  </numFmts>
  <fonts count="72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75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1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10" borderId="1" xfId="0" applyFont="1" applyFill="1" applyBorder="1" applyAlignment="1">
      <alignment horizontal="right" vertical="center"/>
    </xf>
    <xf numFmtId="0" fontId="15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6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0" fillId="0" borderId="0" xfId="0" applyFont="1" applyAlignment="1"/>
    <xf numFmtId="0" fontId="22" fillId="0" borderId="0" xfId="0" applyFont="1" applyAlignment="1"/>
    <xf numFmtId="0" fontId="24" fillId="0" borderId="0" xfId="0" applyFont="1" applyAlignment="1"/>
    <xf numFmtId="0" fontId="25" fillId="0" borderId="0" xfId="0" applyFont="1" applyAlignment="1"/>
    <xf numFmtId="0" fontId="13" fillId="0" borderId="0" xfId="0" applyFont="1" applyAlignment="1"/>
    <xf numFmtId="0" fontId="27" fillId="2" borderId="3" xfId="0" applyFont="1" applyFill="1" applyBorder="1" applyAlignment="1">
      <alignment horizontal="center" vertical="center" wrapText="1" readingOrder="2"/>
    </xf>
    <xf numFmtId="164" fontId="29" fillId="8" borderId="1" xfId="0" applyNumberFormat="1" applyFont="1" applyFill="1" applyBorder="1" applyAlignment="1">
      <alignment horizontal="center" vertical="center"/>
    </xf>
    <xf numFmtId="164" fontId="29" fillId="10" borderId="1" xfId="0" applyNumberFormat="1" applyFont="1" applyFill="1" applyBorder="1" applyAlignment="1">
      <alignment horizontal="center" vertical="center"/>
    </xf>
    <xf numFmtId="164" fontId="29" fillId="4" borderId="1" xfId="0" applyNumberFormat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39" fillId="18" borderId="2" xfId="0" applyFont="1" applyFill="1" applyBorder="1" applyAlignment="1">
      <alignment horizontal="center" vertical="center"/>
    </xf>
    <xf numFmtId="0" fontId="40" fillId="18" borderId="2" xfId="0" applyFont="1" applyFill="1" applyBorder="1" applyAlignment="1">
      <alignment horizontal="left" vertical="center"/>
    </xf>
    <xf numFmtId="0" fontId="41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right" vertical="center"/>
    </xf>
    <xf numFmtId="0" fontId="32" fillId="18" borderId="2" xfId="0" applyFont="1" applyFill="1" applyBorder="1" applyAlignment="1">
      <alignment horizontal="left" vertical="center" wrapText="1"/>
    </xf>
    <xf numFmtId="0" fontId="39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left" vertical="center"/>
    </xf>
    <xf numFmtId="0" fontId="41" fillId="0" borderId="2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3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3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45" fillId="0" borderId="0" xfId="0" applyFont="1" applyAlignment="1"/>
    <xf numFmtId="0" fontId="47" fillId="19" borderId="3" xfId="0" applyFont="1" applyFill="1" applyBorder="1" applyAlignment="1">
      <alignment horizontal="center" vertical="center" wrapText="1" readingOrder="2"/>
    </xf>
    <xf numFmtId="0" fontId="47" fillId="20" borderId="3" xfId="0" applyFont="1" applyFill="1" applyBorder="1" applyAlignment="1">
      <alignment horizontal="center" vertical="center" wrapText="1" readingOrder="2"/>
    </xf>
    <xf numFmtId="0" fontId="47" fillId="21" borderId="3" xfId="0" applyFont="1" applyFill="1" applyBorder="1" applyAlignment="1">
      <alignment horizontal="center" vertical="center" wrapText="1" readingOrder="2"/>
    </xf>
    <xf numFmtId="0" fontId="47" fillId="22" borderId="3" xfId="0" applyFont="1" applyFill="1" applyBorder="1" applyAlignment="1">
      <alignment horizontal="center" vertical="center" wrapText="1" readingOrder="2"/>
    </xf>
    <xf numFmtId="0" fontId="47" fillId="23" borderId="3" xfId="0" applyFont="1" applyFill="1" applyBorder="1" applyAlignment="1">
      <alignment horizontal="center" vertical="center" wrapText="1" readingOrder="2"/>
    </xf>
    <xf numFmtId="0" fontId="47" fillId="24" borderId="3" xfId="0" applyFont="1" applyFill="1" applyBorder="1" applyAlignment="1">
      <alignment horizontal="center" vertical="center" wrapText="1" readingOrder="2"/>
    </xf>
    <xf numFmtId="0" fontId="47" fillId="25" borderId="3" xfId="0" applyFont="1" applyFill="1" applyBorder="1" applyAlignment="1">
      <alignment horizontal="center" vertical="center" wrapText="1" readingOrder="2"/>
    </xf>
    <xf numFmtId="0" fontId="47" fillId="26" borderId="3" xfId="0" applyFont="1" applyFill="1" applyBorder="1" applyAlignment="1">
      <alignment horizontal="center" vertical="center" wrapText="1" readingOrder="2"/>
    </xf>
    <xf numFmtId="0" fontId="47" fillId="27" borderId="3" xfId="0" applyFont="1" applyFill="1" applyBorder="1" applyAlignment="1">
      <alignment horizontal="center" vertical="center" wrapText="1" readingOrder="2"/>
    </xf>
    <xf numFmtId="0" fontId="47" fillId="28" borderId="3" xfId="0" applyFont="1" applyFill="1" applyBorder="1" applyAlignment="1">
      <alignment horizontal="center" vertical="center" wrapText="1" readingOrder="2"/>
    </xf>
    <xf numFmtId="3" fontId="0" fillId="4" borderId="1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27" fillId="19" borderId="3" xfId="0" applyFont="1" applyFill="1" applyBorder="1" applyAlignment="1">
      <alignment horizontal="center" vertical="center" readingOrder="2"/>
    </xf>
    <xf numFmtId="0" fontId="27" fillId="20" borderId="3" xfId="0" applyFont="1" applyFill="1" applyBorder="1" applyAlignment="1">
      <alignment horizontal="center" vertical="center" readingOrder="2"/>
    </xf>
    <xf numFmtId="0" fontId="27" fillId="29" borderId="3" xfId="0" applyFont="1" applyFill="1" applyBorder="1" applyAlignment="1">
      <alignment horizontal="center" vertical="center" readingOrder="2"/>
    </xf>
    <xf numFmtId="0" fontId="27" fillId="30" borderId="3" xfId="0" applyFont="1" applyFill="1" applyBorder="1" applyAlignment="1">
      <alignment horizontal="center" vertical="center" readingOrder="2"/>
    </xf>
    <xf numFmtId="0" fontId="27" fillId="28" borderId="3" xfId="0" applyFont="1" applyFill="1" applyBorder="1" applyAlignment="1">
      <alignment horizontal="center" vertical="center" readingOrder="2"/>
    </xf>
    <xf numFmtId="0" fontId="27" fillId="22" borderId="3" xfId="0" applyFont="1" applyFill="1" applyBorder="1" applyAlignment="1">
      <alignment horizontal="center" vertical="center" readingOrder="2"/>
    </xf>
    <xf numFmtId="0" fontId="27" fillId="31" borderId="3" xfId="0" applyFont="1" applyFill="1" applyBorder="1" applyAlignment="1">
      <alignment horizontal="center" vertical="center" readingOrder="2"/>
    </xf>
    <xf numFmtId="0" fontId="17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2" borderId="1" xfId="0" applyNumberFormat="1" applyFill="1" applyBorder="1" applyAlignment="1">
      <alignment horizontal="center" vertical="center" readingOrder="2"/>
    </xf>
    <xf numFmtId="3" fontId="0" fillId="33" borderId="1" xfId="0" applyNumberFormat="1" applyFill="1" applyBorder="1" applyAlignment="1">
      <alignment horizontal="center" vertical="center" readingOrder="2"/>
    </xf>
    <xf numFmtId="3" fontId="21" fillId="34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8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7" fillId="35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7" fillId="37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4" fontId="23" fillId="40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 wrapText="1"/>
    </xf>
    <xf numFmtId="0" fontId="31" fillId="18" borderId="2" xfId="0" applyFont="1" applyFill="1" applyBorder="1" applyAlignment="1">
      <alignment horizontal="center" vertical="center"/>
    </xf>
    <xf numFmtId="0" fontId="33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1" fillId="17" borderId="2" xfId="0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left" vertical="center"/>
    </xf>
    <xf numFmtId="0" fontId="33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4" fontId="0" fillId="40" borderId="5" xfId="0" applyNumberFormat="1" applyFill="1" applyBorder="1" applyAlignment="1">
      <alignment horizontal="center" vertical="center" readingOrder="2"/>
    </xf>
    <xf numFmtId="14" fontId="0" fillId="0" borderId="5" xfId="0" applyNumberFormat="1" applyBorder="1" applyAlignment="1">
      <alignment horizontal="center" vertical="center"/>
    </xf>
    <xf numFmtId="0" fontId="39" fillId="6" borderId="1" xfId="0" applyFont="1" applyFill="1" applyBorder="1" applyAlignment="1">
      <alignment horizontal="center" vertical="center"/>
    </xf>
    <xf numFmtId="0" fontId="56" fillId="0" borderId="1" xfId="0" applyFont="1" applyBorder="1" applyAlignment="1">
      <alignment horizontal="left" vertical="center"/>
    </xf>
    <xf numFmtId="3" fontId="39" fillId="7" borderId="1" xfId="0" applyNumberFormat="1" applyFont="1" applyFill="1" applyBorder="1" applyAlignment="1">
      <alignment horizontal="center" vertical="center"/>
    </xf>
    <xf numFmtId="4" fontId="39" fillId="7" borderId="1" xfId="0" applyNumberFormat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3" fontId="39" fillId="41" borderId="1" xfId="0" applyNumberFormat="1" applyFont="1" applyFill="1" applyBorder="1" applyAlignment="1">
      <alignment horizontal="center" vertical="center"/>
    </xf>
    <xf numFmtId="0" fontId="27" fillId="42" borderId="3" xfId="0" applyFont="1" applyFill="1" applyBorder="1" applyAlignment="1">
      <alignment horizontal="center" vertical="center" readingOrder="2"/>
    </xf>
    <xf numFmtId="0" fontId="27" fillId="43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5" fillId="44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1" fillId="18" borderId="6" xfId="0" applyFont="1" applyFill="1" applyBorder="1" applyAlignment="1">
      <alignment horizontal="center" vertical="center" wrapText="1"/>
    </xf>
    <xf numFmtId="0" fontId="18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56" fillId="17" borderId="1" xfId="0" applyFont="1" applyFill="1" applyBorder="1" applyAlignment="1">
      <alignment horizontal="left" vertical="center" wrapText="1"/>
    </xf>
    <xf numFmtId="0" fontId="56" fillId="14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59" fillId="0" borderId="0" xfId="0" applyFont="1" applyAlignment="1"/>
    <xf numFmtId="0" fontId="60" fillId="0" borderId="0" xfId="0" applyFont="1" applyAlignment="1"/>
    <xf numFmtId="0" fontId="61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2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2" fillId="14" borderId="2" xfId="0" applyFont="1" applyFill="1" applyBorder="1" applyAlignment="1">
      <alignment horizontal="left" vertical="center" wrapText="1"/>
    </xf>
    <xf numFmtId="0" fontId="17" fillId="45" borderId="4" xfId="0" applyFont="1" applyFill="1" applyBorder="1" applyAlignment="1">
      <alignment horizontal="center" vertical="center" wrapText="1"/>
    </xf>
    <xf numFmtId="166" fontId="33" fillId="16" borderId="1" xfId="0" applyNumberFormat="1" applyFont="1" applyFill="1" applyBorder="1" applyAlignment="1">
      <alignment horizontal="left" vertical="center"/>
    </xf>
    <xf numFmtId="0" fontId="33" fillId="16" borderId="1" xfId="0" applyFont="1" applyFill="1" applyBorder="1" applyAlignment="1">
      <alignment horizontal="left" vertical="center"/>
    </xf>
    <xf numFmtId="0" fontId="18" fillId="16" borderId="1" xfId="0" applyFont="1" applyFill="1" applyBorder="1" applyAlignment="1">
      <alignment horizontal="left" vertical="center"/>
    </xf>
    <xf numFmtId="166" fontId="33" fillId="17" borderId="1" xfId="0" applyNumberFormat="1" applyFont="1" applyFill="1" applyBorder="1" applyAlignment="1">
      <alignment horizontal="left" vertical="center"/>
    </xf>
    <xf numFmtId="0" fontId="33" fillId="17" borderId="1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64" fillId="0" borderId="0" xfId="0" applyFont="1" applyAlignment="1"/>
    <xf numFmtId="14" fontId="0" fillId="0" borderId="0" xfId="0" applyNumberFormat="1" applyAlignment="1"/>
    <xf numFmtId="167" fontId="0" fillId="0" borderId="0" xfId="0" applyNumberFormat="1" applyAlignment="1"/>
    <xf numFmtId="168" fontId="0" fillId="0" borderId="0" xfId="0" applyNumberFormat="1" applyAlignment="1"/>
    <xf numFmtId="0" fontId="0" fillId="49" borderId="0" xfId="0" applyFill="1" applyAlignment="1"/>
    <xf numFmtId="170" fontId="0" fillId="49" borderId="0" xfId="0" applyNumberFormat="1" applyFill="1" applyAlignment="1"/>
    <xf numFmtId="0" fontId="64" fillId="49" borderId="0" xfId="0" applyFont="1" applyFill="1" applyAlignment="1">
      <alignment horizontal="right"/>
    </xf>
    <xf numFmtId="0" fontId="67" fillId="49" borderId="0" xfId="0" applyFont="1" applyFill="1" applyAlignment="1">
      <alignment horizontal="left"/>
    </xf>
    <xf numFmtId="0" fontId="68" fillId="49" borderId="0" xfId="0" applyFont="1" applyFill="1" applyAlignment="1">
      <alignment horizontal="left"/>
    </xf>
    <xf numFmtId="0" fontId="69" fillId="49" borderId="0" xfId="0" applyFont="1" applyFill="1" applyAlignment="1">
      <alignment horizontal="left"/>
    </xf>
    <xf numFmtId="169" fontId="67" fillId="49" borderId="0" xfId="0" applyNumberFormat="1" applyFont="1" applyFill="1" applyAlignment="1">
      <alignment horizontal="left"/>
    </xf>
    <xf numFmtId="0" fontId="65" fillId="47" borderId="0" xfId="0" applyFont="1" applyFill="1" applyAlignment="1"/>
    <xf numFmtId="0" fontId="65" fillId="47" borderId="0" xfId="0" applyFont="1" applyFill="1" applyAlignment="1">
      <alignment horizontal="center"/>
    </xf>
    <xf numFmtId="0" fontId="0" fillId="49" borderId="2" xfId="0" applyFill="1" applyBorder="1" applyAlignment="1"/>
    <xf numFmtId="0" fontId="70" fillId="49" borderId="0" xfId="0" applyFont="1" applyFill="1" applyAlignment="1"/>
    <xf numFmtId="0" fontId="0" fillId="0" borderId="0" xfId="0" applyFill="1" applyAlignment="1"/>
    <xf numFmtId="0" fontId="64" fillId="0" borderId="0" xfId="0" applyFont="1" applyFill="1" applyAlignment="1"/>
    <xf numFmtId="0" fontId="65" fillId="47" borderId="2" xfId="0" applyFont="1" applyFill="1" applyBorder="1" applyAlignment="1">
      <alignment horizontal="center"/>
    </xf>
    <xf numFmtId="0" fontId="0" fillId="50" borderId="2" xfId="0" applyFill="1" applyBorder="1" applyAlignment="1"/>
    <xf numFmtId="0" fontId="0" fillId="51" borderId="2" xfId="0" applyFill="1" applyBorder="1" applyAlignment="1"/>
    <xf numFmtId="169" fontId="0" fillId="50" borderId="2" xfId="0" applyNumberFormat="1" applyFill="1" applyBorder="1" applyAlignment="1"/>
    <xf numFmtId="169" fontId="0" fillId="51" borderId="2" xfId="0" applyNumberFormat="1" applyFill="1" applyBorder="1" applyAlignment="1"/>
    <xf numFmtId="169" fontId="64" fillId="0" borderId="0" xfId="0" applyNumberFormat="1" applyFont="1" applyFill="1" applyAlignment="1"/>
    <xf numFmtId="0" fontId="18" fillId="0" borderId="2" xfId="0" applyFont="1" applyBorder="1" applyAlignment="1">
      <alignment horizontal="left" vertical="center"/>
    </xf>
    <xf numFmtId="0" fontId="0" fillId="0" borderId="10" xfId="0" applyBorder="1"/>
    <xf numFmtId="0" fontId="18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65" fillId="48" borderId="0" xfId="0" applyFont="1" applyFill="1" applyAlignment="1"/>
    <xf numFmtId="0" fontId="26" fillId="5" borderId="0" xfId="0" applyFont="1" applyFill="1" applyAlignment="1">
      <alignment horizontal="center" vertical="center"/>
    </xf>
    <xf numFmtId="0" fontId="43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3" fillId="18" borderId="2" xfId="0" applyFont="1" applyFill="1" applyBorder="1" applyAlignment="1">
      <alignment horizontal="left" vertical="center" wrapText="1"/>
    </xf>
    <xf numFmtId="0" fontId="16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38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0" fillId="18" borderId="2" xfId="0" applyFont="1" applyFill="1" applyBorder="1" applyAlignment="1">
      <alignment horizontal="left" vertical="center" wrapText="1"/>
    </xf>
    <xf numFmtId="0" fontId="30" fillId="0" borderId="2" xfId="0" applyFont="1" applyBorder="1" applyAlignment="1">
      <alignment horizontal="left" vertical="center" wrapText="1"/>
    </xf>
    <xf numFmtId="0" fontId="19" fillId="18" borderId="2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71" fillId="52" borderId="0" xfId="0" applyFont="1" applyFill="1" applyAlignment="1">
      <alignment horizontal="center" vertical="center"/>
    </xf>
    <xf numFmtId="0" fontId="64" fillId="53" borderId="0" xfId="0" applyFont="1" applyFill="1" applyAlignment="1"/>
    <xf numFmtId="0" fontId="36" fillId="14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0" fillId="0" borderId="20" xfId="0" applyBorder="1"/>
    <xf numFmtId="0" fontId="18" fillId="6" borderId="0" xfId="0" applyFont="1" applyFill="1" applyAlignment="1">
      <alignment horizontal="center" vertical="center"/>
    </xf>
    <xf numFmtId="0" fontId="17" fillId="35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52" fillId="4" borderId="4" xfId="0" applyFont="1" applyFill="1" applyBorder="1" applyAlignment="1">
      <alignment horizontal="center" vertical="center" readingOrder="2"/>
    </xf>
    <xf numFmtId="0" fontId="42" fillId="35" borderId="0" xfId="0" applyFont="1" applyFill="1" applyAlignment="1">
      <alignment horizontal="center" vertical="center"/>
    </xf>
    <xf numFmtId="0" fontId="17" fillId="37" borderId="4" xfId="0" applyFont="1" applyFill="1" applyBorder="1" applyAlignment="1">
      <alignment horizontal="center" vertical="center"/>
    </xf>
    <xf numFmtId="0" fontId="49" fillId="8" borderId="4" xfId="0" applyFont="1" applyFill="1" applyBorder="1" applyAlignment="1">
      <alignment horizontal="center" vertical="center" readingOrder="2"/>
    </xf>
    <xf numFmtId="0" fontId="34" fillId="14" borderId="0" xfId="0" applyFont="1" applyFill="1" applyAlignment="1">
      <alignment horizontal="center" vertical="center"/>
    </xf>
    <xf numFmtId="0" fontId="17" fillId="38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48" fillId="35" borderId="0" xfId="0" applyFont="1" applyFill="1" applyAlignment="1">
      <alignment horizontal="center" vertical="center"/>
    </xf>
    <xf numFmtId="0" fontId="50" fillId="39" borderId="4" xfId="0" applyFont="1" applyFill="1" applyBorder="1" applyAlignment="1">
      <alignment horizontal="center" vertical="center" readingOrder="2"/>
    </xf>
    <xf numFmtId="0" fontId="51" fillId="15" borderId="4" xfId="0" applyFont="1" applyFill="1" applyBorder="1" applyAlignment="1">
      <alignment horizontal="center" vertical="center" readingOrder="2"/>
    </xf>
    <xf numFmtId="0" fontId="2" fillId="36" borderId="0" xfId="0" applyFont="1" applyFill="1" applyAlignment="1">
      <alignment horizontal="center" vertical="center"/>
    </xf>
    <xf numFmtId="0" fontId="26" fillId="37" borderId="0" xfId="0" applyFont="1" applyFill="1" applyAlignment="1">
      <alignment horizontal="center" vertical="center"/>
    </xf>
    <xf numFmtId="0" fontId="55" fillId="0" borderId="7" xfId="0" applyFont="1" applyBorder="1" applyAlignment="1">
      <alignment horizontal="left" vertical="center" wrapText="1"/>
    </xf>
    <xf numFmtId="0" fontId="38" fillId="2" borderId="6" xfId="0" applyFont="1" applyFill="1" applyBorder="1" applyAlignment="1">
      <alignment horizontal="left" vertical="center"/>
    </xf>
    <xf numFmtId="0" fontId="53" fillId="0" borderId="0" xfId="0" applyFont="1" applyAlignment="1">
      <alignment horizontal="left" vertical="center"/>
    </xf>
    <xf numFmtId="0" fontId="7" fillId="18" borderId="6" xfId="0" applyFont="1" applyFill="1" applyBorder="1" applyAlignment="1">
      <alignment horizontal="center" vertical="center"/>
    </xf>
    <xf numFmtId="0" fontId="19" fillId="18" borderId="2" xfId="0" applyFont="1" applyFill="1" applyBorder="1" applyAlignment="1">
      <alignment horizontal="left" vertical="center"/>
    </xf>
    <xf numFmtId="0" fontId="26" fillId="13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57" fillId="17" borderId="5" xfId="0" applyFont="1" applyFill="1" applyBorder="1" applyAlignment="1">
      <alignment horizontal="center" vertical="center"/>
    </xf>
    <xf numFmtId="0" fontId="30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53" fillId="17" borderId="7" xfId="0" applyFont="1" applyFill="1" applyBorder="1" applyAlignment="1">
      <alignment horizontal="left" vertical="center"/>
    </xf>
    <xf numFmtId="0" fontId="6" fillId="18" borderId="2" xfId="0" applyFont="1" applyFill="1" applyBorder="1" applyAlignment="1">
      <alignment horizontal="right" vertical="center"/>
    </xf>
    <xf numFmtId="0" fontId="19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37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56" fillId="17" borderId="6" xfId="0" applyFont="1" applyFill="1" applyBorder="1" applyAlignment="1"/>
    <xf numFmtId="0" fontId="30" fillId="18" borderId="2" xfId="0" applyFont="1" applyFill="1" applyBorder="1" applyAlignment="1">
      <alignment horizontal="right" vertical="center"/>
    </xf>
    <xf numFmtId="14" fontId="8" fillId="17" borderId="6" xfId="0" applyNumberFormat="1" applyFont="1" applyFill="1" applyBorder="1" applyAlignment="1"/>
    <xf numFmtId="0" fontId="44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58" fillId="15" borderId="2" xfId="0" applyFont="1" applyFill="1" applyBorder="1" applyAlignment="1">
      <alignment horizontal="right" vertical="center"/>
    </xf>
    <xf numFmtId="0" fontId="54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19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48" fillId="5" borderId="0" xfId="0" applyFont="1" applyFill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4" xfId="0" applyFont="1" applyFill="1" applyBorder="1" applyAlignment="1">
      <alignment horizontal="center" vertical="center"/>
    </xf>
    <xf numFmtId="0" fontId="63" fillId="46" borderId="0" xfId="0" applyFont="1" applyFill="1" applyAlignment="1">
      <alignment horizontal="center" vertical="center"/>
    </xf>
    <xf numFmtId="0" fontId="46" fillId="45" borderId="0" xfId="0" applyFont="1" applyFill="1" applyAlignment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66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188" t="s">
        <v>0</v>
      </c>
      <c r="B1" s="187"/>
      <c r="C1" s="187"/>
    </row>
    <row r="2" spans="1:3" ht="15" customHeight="1">
      <c r="A2" s="190" t="s">
        <v>1</v>
      </c>
      <c r="B2" s="187"/>
      <c r="C2" s="187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186" t="s">
        <v>14</v>
      </c>
      <c r="B11" s="187"/>
      <c r="C11" s="187"/>
    </row>
    <row r="12" spans="1:3" ht="15" customHeight="1">
      <c r="A12" s="5" t="s">
        <v>15</v>
      </c>
      <c r="B12" s="6">
        <f>IFERROR(SUMPRODUCT('TABLEAU DE BORD'!$F$4:$F$15,'TABLEAU DE BORD'!$H$4:$H$15),0)</f>
        <v>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1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11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0</v>
      </c>
      <c r="C15" s="7" t="s">
        <v>22</v>
      </c>
    </row>
    <row r="17" spans="1:3" ht="21.75" customHeight="1">
      <c r="A17" s="189" t="s">
        <v>23</v>
      </c>
      <c r="B17" s="187"/>
      <c r="C17" s="187"/>
    </row>
    <row r="18" spans="1:3" ht="18" customHeight="1">
      <c r="A18" s="15" t="s">
        <v>24</v>
      </c>
      <c r="B18" s="184" t="s">
        <v>25</v>
      </c>
      <c r="C18" s="185"/>
    </row>
    <row r="19" spans="1:3" ht="18" customHeight="1">
      <c r="A19" s="15" t="s">
        <v>26</v>
      </c>
      <c r="B19" s="184" t="s">
        <v>27</v>
      </c>
      <c r="C19" s="185"/>
    </row>
    <row r="20" spans="1:3" ht="18" customHeight="1">
      <c r="A20" s="15" t="s">
        <v>28</v>
      </c>
      <c r="B20" s="184" t="s">
        <v>29</v>
      </c>
      <c r="C20" s="185"/>
    </row>
    <row r="21" spans="1:3" ht="18" customHeight="1">
      <c r="A21" s="15" t="s">
        <v>30</v>
      </c>
      <c r="B21" s="184" t="s">
        <v>31</v>
      </c>
      <c r="C21" s="185"/>
    </row>
    <row r="22" spans="1:3" ht="18" customHeight="1">
      <c r="A22" s="16" t="s">
        <v>32</v>
      </c>
      <c r="B22" s="182" t="s">
        <v>33</v>
      </c>
      <c r="C22" s="183"/>
    </row>
    <row r="23" spans="1:3" ht="18" customHeight="1">
      <c r="A23" s="16" t="s">
        <v>34</v>
      </c>
      <c r="B23" s="182" t="s">
        <v>35</v>
      </c>
      <c r="C23" s="183"/>
    </row>
    <row r="24" spans="1:3" ht="18" customHeight="1">
      <c r="A24" s="16" t="s">
        <v>36</v>
      </c>
      <c r="B24" s="182" t="s">
        <v>37</v>
      </c>
      <c r="C24" s="183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sheetProtection algorithmName="SHA-512" hashValue="2Au77C8VWRCWCBzWGIbPFmN17BYy3CAxwLExOIOS8LtxGcORQ4VftUWN2C4Dgc6zNqlYDUpXJtNBBLkAVGYwYQ==" saltValue="r99ITe06KdAZT0DkVeImyw==" spinCount="100000" sheet="1" objects="1" scenarios="1" autoFilter="0"/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3"/>
  <sheetViews>
    <sheetView zoomScaleNormal="100" workbookViewId="0">
      <pane ySplit="1" topLeftCell="A2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191" t="s">
        <v>46</v>
      </c>
      <c r="B1" s="187"/>
      <c r="C1" s="187"/>
      <c r="D1" s="187"/>
      <c r="E1" s="187"/>
      <c r="F1" s="187"/>
      <c r="G1" s="192"/>
      <c r="H1" s="192"/>
      <c r="I1" s="187"/>
      <c r="J1" s="187"/>
      <c r="K1" s="187"/>
      <c r="L1" s="187"/>
      <c r="M1" s="187"/>
    </row>
    <row r="2" spans="1:13">
      <c r="A2" s="1" t="s">
        <v>52</v>
      </c>
      <c r="B2" s="1" t="s">
        <v>702</v>
      </c>
      <c r="C2" s="1">
        <v>500</v>
      </c>
      <c r="E2" s="1" t="s">
        <v>703</v>
      </c>
      <c r="F2" s="1" t="s">
        <v>53</v>
      </c>
      <c r="G2" s="1">
        <v>500</v>
      </c>
      <c r="H2" s="1">
        <v>4500</v>
      </c>
      <c r="I2" s="1" t="s">
        <v>81</v>
      </c>
      <c r="J2" s="1">
        <v>200</v>
      </c>
      <c r="K2" s="1" t="s">
        <v>704</v>
      </c>
    </row>
    <row r="3" spans="1:13">
      <c r="A3" s="1" t="s">
        <v>55</v>
      </c>
      <c r="B3" s="1" t="s">
        <v>705</v>
      </c>
      <c r="C3" s="1">
        <v>822</v>
      </c>
      <c r="E3" s="1" t="s">
        <v>119</v>
      </c>
      <c r="F3" s="1" t="s">
        <v>56</v>
      </c>
      <c r="G3" s="1">
        <v>822</v>
      </c>
      <c r="H3" s="1">
        <v>850</v>
      </c>
      <c r="I3" s="1" t="s">
        <v>82</v>
      </c>
      <c r="J3" s="1">
        <v>100</v>
      </c>
      <c r="K3" s="1" t="s">
        <v>706</v>
      </c>
    </row>
    <row r="4" spans="1:13">
      <c r="A4" s="1" t="s">
        <v>58</v>
      </c>
      <c r="B4" s="1" t="s">
        <v>707</v>
      </c>
      <c r="C4" s="1">
        <v>433</v>
      </c>
      <c r="E4" s="1" t="s">
        <v>119</v>
      </c>
      <c r="F4" s="1" t="s">
        <v>56</v>
      </c>
      <c r="G4" s="1">
        <v>433</v>
      </c>
      <c r="H4" s="1">
        <v>1200</v>
      </c>
      <c r="I4" s="1" t="s">
        <v>82</v>
      </c>
      <c r="J4" s="1">
        <v>80</v>
      </c>
      <c r="K4" s="1" t="s">
        <v>708</v>
      </c>
    </row>
    <row r="5" spans="1:13">
      <c r="A5" s="1" t="s">
        <v>59</v>
      </c>
      <c r="B5" s="1" t="s">
        <v>709</v>
      </c>
      <c r="C5" s="1">
        <v>333</v>
      </c>
      <c r="E5" s="1" t="s">
        <v>710</v>
      </c>
      <c r="F5" s="1" t="s">
        <v>56</v>
      </c>
      <c r="G5" s="1">
        <v>333</v>
      </c>
      <c r="H5" s="1">
        <v>350</v>
      </c>
      <c r="I5" s="1" t="s">
        <v>83</v>
      </c>
      <c r="J5" s="1">
        <v>50</v>
      </c>
      <c r="K5" s="1" t="s">
        <v>711</v>
      </c>
    </row>
    <row r="6" spans="1:13">
      <c r="A6" s="1" t="s">
        <v>61</v>
      </c>
      <c r="B6" s="1" t="s">
        <v>62</v>
      </c>
      <c r="C6" s="1">
        <v>170</v>
      </c>
      <c r="E6" s="1" t="s">
        <v>119</v>
      </c>
      <c r="F6" s="1" t="s">
        <v>712</v>
      </c>
      <c r="G6" s="1">
        <v>170</v>
      </c>
      <c r="H6" s="1">
        <v>280</v>
      </c>
      <c r="I6" s="1" t="s">
        <v>83</v>
      </c>
      <c r="J6" s="1">
        <v>30</v>
      </c>
      <c r="K6" s="1" t="s">
        <v>713</v>
      </c>
    </row>
    <row r="7" spans="1:13">
      <c r="A7" s="1" t="s">
        <v>63</v>
      </c>
      <c r="B7" s="1" t="s">
        <v>714</v>
      </c>
      <c r="C7" s="1">
        <v>498</v>
      </c>
      <c r="E7" s="1" t="s">
        <v>119</v>
      </c>
      <c r="F7" s="1" t="s">
        <v>56</v>
      </c>
      <c r="G7" s="1">
        <v>498</v>
      </c>
      <c r="H7" s="1">
        <v>420</v>
      </c>
      <c r="I7" s="1" t="s">
        <v>82</v>
      </c>
      <c r="J7" s="1">
        <v>60</v>
      </c>
      <c r="K7" s="1" t="s">
        <v>715</v>
      </c>
    </row>
    <row r="8" spans="1:13">
      <c r="A8" s="1" t="s">
        <v>64</v>
      </c>
      <c r="B8" s="1" t="s">
        <v>65</v>
      </c>
      <c r="C8" s="1">
        <v>176</v>
      </c>
      <c r="E8" s="1" t="s">
        <v>710</v>
      </c>
      <c r="F8" s="1" t="s">
        <v>712</v>
      </c>
      <c r="G8" s="1">
        <v>176</v>
      </c>
      <c r="H8" s="1">
        <v>680</v>
      </c>
      <c r="I8" s="1" t="s">
        <v>83</v>
      </c>
      <c r="J8" s="1">
        <v>40</v>
      </c>
      <c r="K8" s="1" t="s">
        <v>716</v>
      </c>
    </row>
    <row r="9" spans="1:13">
      <c r="A9" s="1" t="s">
        <v>66</v>
      </c>
      <c r="B9" s="1" t="s">
        <v>717</v>
      </c>
      <c r="C9" s="1">
        <v>68</v>
      </c>
      <c r="E9" s="1" t="s">
        <v>119</v>
      </c>
      <c r="F9" s="1" t="s">
        <v>712</v>
      </c>
      <c r="G9" s="1">
        <v>68</v>
      </c>
      <c r="H9" s="1">
        <v>180</v>
      </c>
      <c r="I9" s="1" t="s">
        <v>81</v>
      </c>
      <c r="J9" s="1">
        <v>20</v>
      </c>
      <c r="K9" s="1" t="s">
        <v>718</v>
      </c>
    </row>
    <row r="10" spans="1:13">
      <c r="A10" s="1" t="s">
        <v>67</v>
      </c>
      <c r="B10" s="1" t="s">
        <v>719</v>
      </c>
      <c r="C10" s="1">
        <v>543</v>
      </c>
      <c r="E10" s="1" t="s">
        <v>119</v>
      </c>
      <c r="F10" s="1" t="s">
        <v>712</v>
      </c>
      <c r="G10" s="1">
        <v>543</v>
      </c>
      <c r="H10" s="1">
        <v>95</v>
      </c>
      <c r="I10" s="1" t="s">
        <v>82</v>
      </c>
      <c r="J10" s="1">
        <v>70</v>
      </c>
      <c r="K10" s="1" t="s">
        <v>720</v>
      </c>
    </row>
    <row r="11" spans="1:13">
      <c r="A11" s="1" t="s">
        <v>68</v>
      </c>
      <c r="B11" s="1" t="s">
        <v>721</v>
      </c>
      <c r="C11" s="1">
        <v>400</v>
      </c>
      <c r="E11" s="1" t="s">
        <v>119</v>
      </c>
      <c r="F11" s="1" t="s">
        <v>712</v>
      </c>
      <c r="G11" s="1">
        <v>400</v>
      </c>
      <c r="H11" s="1">
        <v>120</v>
      </c>
      <c r="I11" s="1" t="s">
        <v>82</v>
      </c>
      <c r="J11" s="1">
        <v>50</v>
      </c>
      <c r="K11" s="1" t="s">
        <v>722</v>
      </c>
    </row>
    <row r="12" spans="1:13">
      <c r="A12" s="1" t="s">
        <v>69</v>
      </c>
      <c r="B12" s="1" t="s">
        <v>723</v>
      </c>
      <c r="C12" s="1">
        <v>25</v>
      </c>
      <c r="E12" s="1" t="s">
        <v>703</v>
      </c>
      <c r="F12" s="1" t="s">
        <v>712</v>
      </c>
      <c r="G12" s="1">
        <v>25</v>
      </c>
      <c r="H12" s="1">
        <v>550</v>
      </c>
      <c r="I12" s="1" t="s">
        <v>81</v>
      </c>
      <c r="J12" s="1">
        <v>15</v>
      </c>
      <c r="K12" s="1" t="s">
        <v>724</v>
      </c>
    </row>
    <row r="13" spans="1:13">
      <c r="A13" s="1" t="s">
        <v>70</v>
      </c>
      <c r="B13" s="1" t="s">
        <v>725</v>
      </c>
      <c r="C13" s="1">
        <v>265</v>
      </c>
      <c r="E13" s="1" t="s">
        <v>119</v>
      </c>
      <c r="F13" s="1" t="s">
        <v>712</v>
      </c>
      <c r="G13" s="1">
        <v>265</v>
      </c>
      <c r="H13" s="1">
        <v>230</v>
      </c>
      <c r="I13" s="1" t="s">
        <v>83</v>
      </c>
      <c r="J13" s="1">
        <v>40</v>
      </c>
      <c r="K13" s="1" t="s">
        <v>726</v>
      </c>
    </row>
  </sheetData>
  <sheetProtection algorithmName="SHA-512" hashValue="kIXBh4esKnPe7fujdZ86cMyhbNw71sWbAqRguP0dkE8PyxsvTKW6VwSgoQnNG0xkN/7P5pSUse1OBKL6I4w23w==" saltValue="x/99jtXIs/MUqNzde/F0iA==" spinCount="100000" sheet="1" objects="1" scenarios="1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H2:H985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50</v>
      </c>
    </row>
    <row r="2" spans="1:1">
      <c r="A2" s="23">
        <v>400</v>
      </c>
    </row>
    <row r="3" spans="1:1">
      <c r="A3" s="24">
        <v>3000</v>
      </c>
    </row>
    <row r="4" spans="1:1">
      <c r="A4" s="24">
        <v>600</v>
      </c>
    </row>
    <row r="5" spans="1:1">
      <c r="A5" s="25">
        <v>150</v>
      </c>
    </row>
    <row r="6" spans="1:1">
      <c r="A6" s="25">
        <v>800</v>
      </c>
    </row>
    <row r="7" spans="1:1">
      <c r="A7" s="25">
        <v>30</v>
      </c>
    </row>
    <row r="8" spans="1:1">
      <c r="A8" s="25">
        <v>300</v>
      </c>
    </row>
    <row r="9" spans="1:1">
      <c r="A9" s="25">
        <v>200</v>
      </c>
    </row>
    <row r="10" spans="1:1">
      <c r="A10" s="25">
        <v>50</v>
      </c>
    </row>
    <row r="11" spans="1:1">
      <c r="A11" s="25">
        <v>80</v>
      </c>
    </row>
  </sheetData>
  <sheetProtection algorithmName="SHA-512" hashValue="hBLSzQ2gWJcysXyDYEvuOXX1ieZbOFVSP0qL0UJO+jPCJ8kw40lR2YltUQbeiBAT9+orVqrmnjK02oFAVQ6D1Q==" saltValue="PR3oBEW2TUznxENiI+EcCw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193" t="s">
        <v>71</v>
      </c>
      <c r="B1" s="187"/>
      <c r="C1" s="187"/>
      <c r="D1" s="187"/>
      <c r="E1" s="187"/>
      <c r="F1" s="187"/>
      <c r="G1" s="187"/>
      <c r="H1" s="187"/>
      <c r="I1" s="187"/>
    </row>
    <row r="2" spans="1:9" ht="19.5" customHeight="1">
      <c r="A2" s="26" t="s">
        <v>72</v>
      </c>
      <c r="B2" s="26" t="s">
        <v>73</v>
      </c>
      <c r="C2" s="26" t="s">
        <v>74</v>
      </c>
      <c r="D2" s="26" t="s">
        <v>75</v>
      </c>
      <c r="E2" s="26" t="s">
        <v>76</v>
      </c>
      <c r="F2" s="26" t="s">
        <v>77</v>
      </c>
      <c r="G2" s="26" t="s">
        <v>78</v>
      </c>
      <c r="H2" s="26" t="s">
        <v>79</v>
      </c>
      <c r="I2" s="26" t="s">
        <v>80</v>
      </c>
    </row>
    <row r="3" spans="1:9">
      <c r="A3" s="1" t="s">
        <v>81</v>
      </c>
      <c r="B3" s="1" t="s">
        <v>54</v>
      </c>
      <c r="C3" s="1" t="s">
        <v>727</v>
      </c>
      <c r="D3" s="1" t="s">
        <v>728</v>
      </c>
      <c r="E3" s="1">
        <v>123456789012</v>
      </c>
      <c r="F3" s="1">
        <v>12345678901</v>
      </c>
      <c r="G3" s="1" t="s">
        <v>729</v>
      </c>
      <c r="H3" s="1" t="s">
        <v>730</v>
      </c>
    </row>
    <row r="4" spans="1:9">
      <c r="A4" s="1" t="s">
        <v>82</v>
      </c>
      <c r="B4" s="1" t="s">
        <v>57</v>
      </c>
      <c r="C4" s="1" t="s">
        <v>731</v>
      </c>
      <c r="D4" s="1" t="s">
        <v>732</v>
      </c>
      <c r="E4" s="1">
        <v>987654321098</v>
      </c>
      <c r="F4" s="1">
        <v>98765432109</v>
      </c>
      <c r="G4" s="1" t="s">
        <v>733</v>
      </c>
      <c r="H4" s="1" t="s">
        <v>734</v>
      </c>
    </row>
    <row r="5" spans="1:9">
      <c r="A5" s="1" t="s">
        <v>83</v>
      </c>
      <c r="B5" s="1" t="s">
        <v>60</v>
      </c>
      <c r="C5" s="1" t="s">
        <v>735</v>
      </c>
      <c r="D5" s="1" t="s">
        <v>736</v>
      </c>
      <c r="E5" s="1">
        <v>456789123456</v>
      </c>
      <c r="F5" s="1">
        <v>45678912345</v>
      </c>
      <c r="G5" s="1" t="s">
        <v>737</v>
      </c>
      <c r="H5" s="1" t="s">
        <v>738</v>
      </c>
    </row>
  </sheetData>
  <sheetProtection algorithmName="SHA-512" hashValue="GjZiJGKoBdHFA6G3YEk8YwZJRIq8ZYo6LBA57N6x89hgcJjMURkeZ+wfEtYFGhqH61oG+7F8Q8xSbriIR0mu8g==" saltValue="fnKvJspbo+7Qju6q0CsIWw==" spinCount="100000" sheet="1" objects="1" scenarios="1" autoFilter="0"/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197" t="s">
        <v>84</v>
      </c>
      <c r="B1" s="198"/>
      <c r="C1" s="198"/>
      <c r="D1" s="198"/>
      <c r="E1" s="199"/>
    </row>
    <row r="2" spans="1:5" ht="27.75" customHeight="1">
      <c r="A2" s="205" t="s">
        <v>85</v>
      </c>
      <c r="B2" s="195"/>
      <c r="C2" s="195"/>
      <c r="D2" s="195"/>
      <c r="E2" s="183"/>
    </row>
    <row r="3" spans="1:5" ht="24" customHeight="1">
      <c r="A3" s="200" t="s">
        <v>86</v>
      </c>
      <c r="B3" s="201"/>
      <c r="C3" s="201"/>
      <c r="D3" s="201"/>
      <c r="E3" s="202"/>
    </row>
    <row r="4" spans="1:5" ht="19.5" customHeight="1">
      <c r="A4" s="207" t="s">
        <v>87</v>
      </c>
      <c r="B4" s="208"/>
      <c r="C4" s="208"/>
      <c r="D4" s="208"/>
      <c r="E4" s="208"/>
    </row>
    <row r="5" spans="1:5" ht="25.5" customHeight="1">
      <c r="A5" s="29" t="s">
        <v>88</v>
      </c>
      <c r="B5" s="30" t="s">
        <v>89</v>
      </c>
      <c r="C5" s="31" t="s">
        <v>90</v>
      </c>
      <c r="D5" s="32" t="s">
        <v>91</v>
      </c>
      <c r="E5" s="33" t="s">
        <v>92</v>
      </c>
    </row>
    <row r="6" spans="1:5" ht="25.5" customHeight="1">
      <c r="A6" s="34" t="s">
        <v>93</v>
      </c>
      <c r="B6" s="35" t="s">
        <v>94</v>
      </c>
      <c r="C6" s="36" t="s">
        <v>95</v>
      </c>
      <c r="D6" s="32" t="s">
        <v>91</v>
      </c>
      <c r="E6" s="37" t="s">
        <v>96</v>
      </c>
    </row>
    <row r="7" spans="1:5" ht="25.5" customHeight="1">
      <c r="A7" s="29" t="s">
        <v>97</v>
      </c>
      <c r="B7" s="30" t="s">
        <v>98</v>
      </c>
      <c r="C7" s="31" t="s">
        <v>99</v>
      </c>
      <c r="D7" s="32" t="s">
        <v>91</v>
      </c>
      <c r="E7" s="33" t="s">
        <v>100</v>
      </c>
    </row>
    <row r="8" spans="1:5" ht="25.5" customHeight="1">
      <c r="A8" s="34" t="s">
        <v>101</v>
      </c>
      <c r="B8" s="35" t="s">
        <v>102</v>
      </c>
      <c r="C8" s="36" t="s">
        <v>103</v>
      </c>
      <c r="D8" s="32" t="s">
        <v>91</v>
      </c>
      <c r="E8" s="37" t="s">
        <v>104</v>
      </c>
    </row>
    <row r="9" spans="1:5" ht="25.5" customHeight="1">
      <c r="A9" s="29" t="s">
        <v>105</v>
      </c>
      <c r="B9" s="30" t="s">
        <v>106</v>
      </c>
      <c r="C9" s="31" t="s">
        <v>107</v>
      </c>
      <c r="D9" s="32" t="s">
        <v>91</v>
      </c>
      <c r="E9" s="33" t="s">
        <v>108</v>
      </c>
    </row>
    <row r="11" spans="1:5" ht="24" customHeight="1">
      <c r="A11" s="200" t="s">
        <v>109</v>
      </c>
      <c r="B11" s="201"/>
      <c r="C11" s="201"/>
      <c r="D11" s="201"/>
      <c r="E11" s="202"/>
    </row>
    <row r="12" spans="1:5" ht="25.5" customHeight="1">
      <c r="A12" s="34" t="s">
        <v>110</v>
      </c>
      <c r="B12" s="35" t="s">
        <v>111</v>
      </c>
      <c r="C12" s="36" t="s">
        <v>52</v>
      </c>
      <c r="D12" s="32" t="s">
        <v>91</v>
      </c>
      <c r="E12" s="37" t="s">
        <v>112</v>
      </c>
    </row>
    <row r="13" spans="1:5" ht="25.5" customHeight="1">
      <c r="A13" s="29" t="s">
        <v>113</v>
      </c>
      <c r="B13" s="30" t="s">
        <v>114</v>
      </c>
      <c r="C13" s="31" t="s">
        <v>114</v>
      </c>
      <c r="D13" s="32" t="s">
        <v>91</v>
      </c>
      <c r="E13" s="33" t="s">
        <v>115</v>
      </c>
    </row>
    <row r="15" spans="1:5" ht="24" customHeight="1">
      <c r="A15" s="200" t="s">
        <v>116</v>
      </c>
      <c r="B15" s="201"/>
      <c r="C15" s="201"/>
      <c r="D15" s="201"/>
      <c r="E15" s="202"/>
    </row>
    <row r="16" spans="1:5" ht="21.75" customHeight="1">
      <c r="A16" s="38" t="s">
        <v>117</v>
      </c>
      <c r="B16" s="39" t="s">
        <v>118</v>
      </c>
      <c r="C16" s="40" t="s">
        <v>119</v>
      </c>
      <c r="D16" s="41" t="s">
        <v>120</v>
      </c>
      <c r="E16" s="33" t="s">
        <v>121</v>
      </c>
    </row>
    <row r="17" spans="1:8" ht="21.75" customHeight="1">
      <c r="A17" s="42" t="s">
        <v>122</v>
      </c>
      <c r="B17" s="43" t="s">
        <v>123</v>
      </c>
      <c r="C17" s="44" t="s">
        <v>124</v>
      </c>
      <c r="D17" s="45" t="s">
        <v>125</v>
      </c>
      <c r="E17" s="37" t="s">
        <v>126</v>
      </c>
    </row>
    <row r="18" spans="1:8" ht="21.75" customHeight="1">
      <c r="A18" s="38" t="s">
        <v>127</v>
      </c>
      <c r="B18" s="39" t="s">
        <v>128</v>
      </c>
      <c r="C18" s="40" t="s">
        <v>129</v>
      </c>
      <c r="D18" s="41" t="s">
        <v>130</v>
      </c>
      <c r="E18" s="33" t="s">
        <v>131</v>
      </c>
    </row>
    <row r="19" spans="1:8" ht="21.75" customHeight="1">
      <c r="A19" s="42" t="s">
        <v>132</v>
      </c>
      <c r="B19" s="43" t="s">
        <v>133</v>
      </c>
      <c r="C19" s="44" t="s">
        <v>134</v>
      </c>
      <c r="D19" s="45" t="s">
        <v>135</v>
      </c>
      <c r="E19" s="37" t="s">
        <v>136</v>
      </c>
    </row>
    <row r="20" spans="1:8" ht="21.75" customHeight="1">
      <c r="A20" s="38" t="s">
        <v>137</v>
      </c>
      <c r="B20" s="39" t="s">
        <v>138</v>
      </c>
      <c r="C20" s="40" t="s">
        <v>139</v>
      </c>
      <c r="D20" s="41" t="s">
        <v>140</v>
      </c>
      <c r="E20" s="33" t="s">
        <v>141</v>
      </c>
    </row>
    <row r="21" spans="1:8" ht="21.75" customHeight="1">
      <c r="A21" s="42" t="s">
        <v>142</v>
      </c>
      <c r="B21" s="43" t="s">
        <v>143</v>
      </c>
      <c r="C21" s="44" t="s">
        <v>144</v>
      </c>
      <c r="D21" s="45" t="s">
        <v>145</v>
      </c>
      <c r="E21" s="37" t="s">
        <v>146</v>
      </c>
    </row>
    <row r="23" spans="1:8" ht="24" customHeight="1">
      <c r="A23" s="200" t="s">
        <v>147</v>
      </c>
      <c r="B23" s="201"/>
      <c r="C23" s="201"/>
      <c r="D23" s="201"/>
      <c r="E23" s="202"/>
    </row>
    <row r="24" spans="1:8" ht="27.75" customHeight="1">
      <c r="A24" s="29" t="s">
        <v>148</v>
      </c>
      <c r="B24" s="203" t="s">
        <v>149</v>
      </c>
      <c r="C24" s="183"/>
      <c r="D24" s="196" t="s">
        <v>150</v>
      </c>
      <c r="E24" s="183"/>
    </row>
    <row r="25" spans="1:8" ht="27.75" customHeight="1">
      <c r="A25" s="34" t="s">
        <v>148</v>
      </c>
      <c r="B25" s="204" t="s">
        <v>151</v>
      </c>
      <c r="C25" s="183"/>
      <c r="D25" s="206" t="s">
        <v>152</v>
      </c>
      <c r="E25" s="183"/>
    </row>
    <row r="26" spans="1:8" ht="27.75" customHeight="1">
      <c r="A26" s="29" t="s">
        <v>148</v>
      </c>
      <c r="B26" s="203" t="s">
        <v>153</v>
      </c>
      <c r="C26" s="183"/>
      <c r="D26" s="196" t="s">
        <v>154</v>
      </c>
      <c r="E26" s="183"/>
    </row>
    <row r="27" spans="1:8" ht="27.75" customHeight="1">
      <c r="A27" s="34" t="s">
        <v>148</v>
      </c>
      <c r="B27" s="204" t="s">
        <v>155</v>
      </c>
      <c r="C27" s="183"/>
      <c r="D27" s="206" t="s">
        <v>156</v>
      </c>
      <c r="E27" s="183"/>
    </row>
    <row r="30" spans="1:8" ht="13.5" customHeight="1">
      <c r="A30" s="194" t="s">
        <v>157</v>
      </c>
      <c r="B30" s="195"/>
      <c r="C30" s="195"/>
      <c r="D30" s="195"/>
      <c r="E30" s="195"/>
      <c r="F30" s="195"/>
      <c r="G30" s="195"/>
      <c r="H30" s="183"/>
    </row>
    <row r="32" spans="1:8" ht="15" customHeight="1">
      <c r="A32" s="46" t="s">
        <v>158</v>
      </c>
    </row>
  </sheetData>
  <sheetProtection algorithmName="SHA-512" hashValue="jISvpG3WrYPE9diR0lpRCDsTXIQZmN9tlKp1qAHo1ukrum1nA3v3G2o8rZGtcJNZcMDUVimPBvVxNS+OKQUQMQ==" saltValue="xSptAgxwmVJzEsrqi9ogwA==" spinCount="100000" sheet="1" objects="1" scenarios="1" autoFilter="0"/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63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209" t="s">
        <v>576</v>
      </c>
      <c r="B1" s="210"/>
      <c r="C1" s="210"/>
      <c r="D1" s="210"/>
      <c r="E1" s="210"/>
      <c r="F1" s="210"/>
      <c r="G1" s="210"/>
      <c r="H1" s="210"/>
      <c r="I1" s="210"/>
      <c r="J1" s="210"/>
      <c r="K1" s="187"/>
      <c r="L1" s="187"/>
      <c r="M1" s="187"/>
    </row>
    <row r="2" spans="1:13" ht="48" customHeight="1">
      <c r="A2" s="47" t="s">
        <v>159</v>
      </c>
      <c r="B2" s="48" t="s">
        <v>47</v>
      </c>
      <c r="C2" s="49" t="s">
        <v>160</v>
      </c>
      <c r="D2" s="50" t="s">
        <v>161</v>
      </c>
      <c r="E2" s="51" t="s">
        <v>162</v>
      </c>
      <c r="F2" s="47" t="s">
        <v>163</v>
      </c>
      <c r="G2" s="47" t="s">
        <v>164</v>
      </c>
      <c r="H2" s="52" t="s">
        <v>165</v>
      </c>
      <c r="I2" s="53" t="s">
        <v>166</v>
      </c>
      <c r="J2" s="54" t="s">
        <v>167</v>
      </c>
      <c r="K2" s="55" t="s">
        <v>168</v>
      </c>
      <c r="L2" s="48" t="s">
        <v>169</v>
      </c>
      <c r="M2" s="56" t="s">
        <v>170</v>
      </c>
    </row>
    <row r="3" spans="1:13">
      <c r="A3" s="160">
        <v>46083</v>
      </c>
      <c r="B3" s="1" t="s">
        <v>55</v>
      </c>
      <c r="D3" s="1" t="s">
        <v>172</v>
      </c>
      <c r="E3" s="1">
        <v>30</v>
      </c>
      <c r="F3" s="1">
        <v>25500</v>
      </c>
      <c r="G3" s="1" t="s">
        <v>750</v>
      </c>
      <c r="H3" s="1">
        <v>850</v>
      </c>
      <c r="I3" s="1" t="s">
        <v>751</v>
      </c>
    </row>
    <row r="4" spans="1:13">
      <c r="A4" s="160">
        <v>46084</v>
      </c>
      <c r="B4" s="1" t="s">
        <v>52</v>
      </c>
      <c r="D4" s="1" t="s">
        <v>172</v>
      </c>
      <c r="E4" s="1">
        <v>15</v>
      </c>
      <c r="F4" s="1">
        <v>67500</v>
      </c>
      <c r="G4" s="1" t="s">
        <v>739</v>
      </c>
      <c r="H4" s="1">
        <v>4500</v>
      </c>
      <c r="I4" s="1" t="s">
        <v>740</v>
      </c>
    </row>
    <row r="5" spans="1:13">
      <c r="A5" s="160">
        <v>46084</v>
      </c>
      <c r="B5" s="1" t="s">
        <v>63</v>
      </c>
      <c r="D5" s="1" t="s">
        <v>172</v>
      </c>
      <c r="E5" s="1">
        <v>15</v>
      </c>
      <c r="F5" s="1">
        <v>6300</v>
      </c>
      <c r="G5" s="1" t="s">
        <v>777</v>
      </c>
      <c r="H5" s="1">
        <v>420</v>
      </c>
      <c r="I5" s="1" t="s">
        <v>743</v>
      </c>
    </row>
    <row r="6" spans="1:13">
      <c r="A6" s="160">
        <v>46085</v>
      </c>
      <c r="B6" s="1" t="s">
        <v>58</v>
      </c>
      <c r="D6" s="1" t="s">
        <v>172</v>
      </c>
      <c r="E6" s="1">
        <v>12</v>
      </c>
      <c r="F6" s="1">
        <v>14400</v>
      </c>
      <c r="G6" s="1" t="s">
        <v>765</v>
      </c>
      <c r="H6" s="1">
        <v>1200</v>
      </c>
      <c r="I6" s="1" t="s">
        <v>754</v>
      </c>
    </row>
    <row r="7" spans="1:13">
      <c r="A7" s="160">
        <v>46086</v>
      </c>
      <c r="B7" s="1" t="s">
        <v>55</v>
      </c>
      <c r="D7" s="1" t="s">
        <v>172</v>
      </c>
      <c r="E7" s="1">
        <v>25</v>
      </c>
      <c r="F7" s="1">
        <v>21250</v>
      </c>
      <c r="G7" s="1" t="s">
        <v>752</v>
      </c>
      <c r="H7" s="1">
        <v>850</v>
      </c>
      <c r="I7" s="1" t="s">
        <v>743</v>
      </c>
    </row>
    <row r="8" spans="1:13">
      <c r="A8" s="160">
        <v>46086</v>
      </c>
      <c r="B8" s="1" t="s">
        <v>67</v>
      </c>
      <c r="D8" s="1" t="s">
        <v>172</v>
      </c>
      <c r="E8" s="1">
        <v>25</v>
      </c>
      <c r="F8" s="1">
        <v>2375</v>
      </c>
      <c r="G8" s="1" t="s">
        <v>788</v>
      </c>
      <c r="H8" s="1">
        <v>95</v>
      </c>
      <c r="I8" s="1" t="s">
        <v>754</v>
      </c>
    </row>
    <row r="9" spans="1:13">
      <c r="A9" s="160">
        <v>46087</v>
      </c>
      <c r="B9" s="1" t="s">
        <v>59</v>
      </c>
      <c r="D9" s="1" t="s">
        <v>172</v>
      </c>
      <c r="E9" s="1">
        <v>20</v>
      </c>
      <c r="F9" s="1">
        <v>7000</v>
      </c>
      <c r="G9" s="1" t="s">
        <v>771</v>
      </c>
      <c r="H9" s="1">
        <v>350</v>
      </c>
      <c r="I9" s="1" t="s">
        <v>743</v>
      </c>
    </row>
    <row r="10" spans="1:13">
      <c r="A10" s="160">
        <v>46088</v>
      </c>
      <c r="B10" s="1" t="s">
        <v>52</v>
      </c>
      <c r="D10" s="1" t="s">
        <v>172</v>
      </c>
      <c r="E10" s="1">
        <v>20</v>
      </c>
      <c r="F10" s="1">
        <v>90000</v>
      </c>
      <c r="G10" s="1" t="s">
        <v>741</v>
      </c>
      <c r="H10" s="1">
        <v>4500</v>
      </c>
      <c r="I10" s="1" t="s">
        <v>740</v>
      </c>
    </row>
    <row r="11" spans="1:13">
      <c r="A11" s="160">
        <v>46088</v>
      </c>
      <c r="B11" s="1" t="s">
        <v>68</v>
      </c>
      <c r="D11" s="1" t="s">
        <v>172</v>
      </c>
      <c r="E11" s="1">
        <v>18</v>
      </c>
      <c r="F11" s="1">
        <v>2160</v>
      </c>
      <c r="G11" s="1" t="s">
        <v>794</v>
      </c>
      <c r="H11" s="1">
        <v>120</v>
      </c>
      <c r="I11" s="1" t="s">
        <v>740</v>
      </c>
    </row>
    <row r="12" spans="1:13">
      <c r="A12" s="160">
        <v>46089</v>
      </c>
      <c r="B12" s="1" t="s">
        <v>55</v>
      </c>
      <c r="D12" s="1" t="s">
        <v>172</v>
      </c>
      <c r="E12" s="1">
        <v>35</v>
      </c>
      <c r="F12" s="1">
        <v>29750</v>
      </c>
      <c r="G12" s="1" t="s">
        <v>753</v>
      </c>
      <c r="H12" s="1">
        <v>850</v>
      </c>
      <c r="I12" s="1" t="s">
        <v>754</v>
      </c>
    </row>
    <row r="13" spans="1:13">
      <c r="A13" s="160">
        <v>46089</v>
      </c>
      <c r="B13" s="1" t="s">
        <v>55</v>
      </c>
      <c r="D13" s="1" t="s">
        <v>171</v>
      </c>
      <c r="E13" s="1">
        <v>150</v>
      </c>
      <c r="F13" s="1">
        <v>127500</v>
      </c>
      <c r="G13" s="1" t="s">
        <v>763</v>
      </c>
      <c r="H13" s="1">
        <v>850</v>
      </c>
      <c r="I13" s="1" t="s">
        <v>82</v>
      </c>
    </row>
    <row r="14" spans="1:13">
      <c r="A14" s="160">
        <v>46089</v>
      </c>
      <c r="B14" s="1" t="s">
        <v>64</v>
      </c>
      <c r="D14" s="1" t="s">
        <v>172</v>
      </c>
      <c r="E14" s="1">
        <v>10</v>
      </c>
      <c r="F14" s="1">
        <v>6800</v>
      </c>
      <c r="G14" s="1" t="s">
        <v>784</v>
      </c>
      <c r="H14" s="1">
        <v>680</v>
      </c>
      <c r="I14" s="1" t="s">
        <v>751</v>
      </c>
    </row>
    <row r="15" spans="1:13">
      <c r="A15" s="160">
        <v>46090</v>
      </c>
      <c r="B15" s="1" t="s">
        <v>63</v>
      </c>
      <c r="D15" s="1" t="s">
        <v>172</v>
      </c>
      <c r="E15" s="1">
        <v>18</v>
      </c>
      <c r="F15" s="1">
        <v>7560</v>
      </c>
      <c r="G15" s="1" t="s">
        <v>778</v>
      </c>
      <c r="H15" s="1">
        <v>420</v>
      </c>
      <c r="I15" s="1" t="s">
        <v>754</v>
      </c>
    </row>
    <row r="16" spans="1:13">
      <c r="A16" s="160">
        <v>46090</v>
      </c>
      <c r="B16" s="1" t="s">
        <v>70</v>
      </c>
      <c r="D16" s="1" t="s">
        <v>172</v>
      </c>
      <c r="E16" s="1">
        <v>8</v>
      </c>
      <c r="F16" s="1">
        <v>1840</v>
      </c>
      <c r="G16" s="1" t="s">
        <v>802</v>
      </c>
      <c r="H16" s="1">
        <v>230</v>
      </c>
      <c r="I16" s="1" t="s">
        <v>745</v>
      </c>
    </row>
    <row r="17" spans="1:9">
      <c r="A17" s="160">
        <v>46091</v>
      </c>
      <c r="B17" s="1" t="s">
        <v>52</v>
      </c>
      <c r="D17" s="1" t="s">
        <v>171</v>
      </c>
      <c r="E17" s="1">
        <v>80</v>
      </c>
      <c r="F17" s="1">
        <v>360000</v>
      </c>
      <c r="G17" s="1" t="s">
        <v>748</v>
      </c>
      <c r="H17" s="1">
        <v>4500</v>
      </c>
      <c r="I17" s="1" t="s">
        <v>81</v>
      </c>
    </row>
    <row r="18" spans="1:9">
      <c r="A18" s="160">
        <v>46091</v>
      </c>
      <c r="B18" s="1" t="s">
        <v>58</v>
      </c>
      <c r="D18" s="1" t="s">
        <v>172</v>
      </c>
      <c r="E18" s="1">
        <v>15</v>
      </c>
      <c r="F18" s="1">
        <v>18000</v>
      </c>
      <c r="G18" s="1" t="s">
        <v>766</v>
      </c>
      <c r="H18" s="1">
        <v>1200</v>
      </c>
      <c r="I18" s="1" t="s">
        <v>740</v>
      </c>
    </row>
    <row r="19" spans="1:9">
      <c r="A19" s="160">
        <v>46091</v>
      </c>
      <c r="B19" s="1" t="s">
        <v>69</v>
      </c>
      <c r="D19" s="1" t="s">
        <v>172</v>
      </c>
      <c r="E19" s="1">
        <v>2</v>
      </c>
      <c r="F19" s="1">
        <v>1100</v>
      </c>
      <c r="G19" s="1" t="s">
        <v>800</v>
      </c>
      <c r="H19" s="1">
        <v>550</v>
      </c>
      <c r="I19" s="1" t="s">
        <v>754</v>
      </c>
    </row>
    <row r="20" spans="1:9">
      <c r="A20" s="160">
        <v>46092</v>
      </c>
      <c r="B20" s="1" t="s">
        <v>61</v>
      </c>
      <c r="D20" s="1" t="s">
        <v>172</v>
      </c>
      <c r="E20" s="1">
        <v>5</v>
      </c>
      <c r="F20" s="1">
        <v>1400</v>
      </c>
      <c r="G20" s="1" t="s">
        <v>775</v>
      </c>
      <c r="H20" s="1">
        <v>280</v>
      </c>
      <c r="I20" s="1" t="s">
        <v>740</v>
      </c>
    </row>
    <row r="21" spans="1:9">
      <c r="A21" s="160">
        <v>46093</v>
      </c>
      <c r="B21" s="1" t="s">
        <v>52</v>
      </c>
      <c r="D21" s="1" t="s">
        <v>172</v>
      </c>
      <c r="E21" s="1">
        <v>18</v>
      </c>
      <c r="F21" s="1">
        <v>81000</v>
      </c>
      <c r="G21" s="1" t="s">
        <v>742</v>
      </c>
      <c r="H21" s="1">
        <v>4500</v>
      </c>
      <c r="I21" s="1" t="s">
        <v>743</v>
      </c>
    </row>
    <row r="22" spans="1:9">
      <c r="A22" s="160">
        <v>46093</v>
      </c>
      <c r="B22" s="1" t="s">
        <v>55</v>
      </c>
      <c r="D22" s="1" t="s">
        <v>172</v>
      </c>
      <c r="E22" s="1">
        <v>28</v>
      </c>
      <c r="F22" s="1">
        <v>23800</v>
      </c>
      <c r="G22" s="1" t="s">
        <v>755</v>
      </c>
      <c r="H22" s="1">
        <v>850</v>
      </c>
      <c r="I22" s="1" t="s">
        <v>754</v>
      </c>
    </row>
    <row r="23" spans="1:9">
      <c r="A23" s="160">
        <v>46093</v>
      </c>
      <c r="B23" s="1" t="s">
        <v>67</v>
      </c>
      <c r="D23" s="1" t="s">
        <v>172</v>
      </c>
      <c r="E23" s="1">
        <v>30</v>
      </c>
      <c r="F23" s="1">
        <v>2850</v>
      </c>
      <c r="G23" s="1" t="s">
        <v>789</v>
      </c>
      <c r="H23" s="1">
        <v>95</v>
      </c>
      <c r="I23" s="1" t="s">
        <v>754</v>
      </c>
    </row>
    <row r="24" spans="1:9">
      <c r="A24" s="160">
        <v>46095</v>
      </c>
      <c r="B24" s="1" t="s">
        <v>58</v>
      </c>
      <c r="D24" s="1" t="s">
        <v>171</v>
      </c>
      <c r="E24" s="1">
        <v>80</v>
      </c>
      <c r="F24" s="1">
        <v>96000</v>
      </c>
      <c r="G24" s="1" t="s">
        <v>770</v>
      </c>
      <c r="H24" s="1">
        <v>1200</v>
      </c>
      <c r="I24" s="1" t="s">
        <v>82</v>
      </c>
    </row>
    <row r="25" spans="1:9">
      <c r="A25" s="160">
        <v>46095</v>
      </c>
      <c r="B25" s="1" t="s">
        <v>63</v>
      </c>
      <c r="D25" s="1" t="s">
        <v>172</v>
      </c>
      <c r="E25" s="1">
        <v>20</v>
      </c>
      <c r="F25" s="1">
        <v>8400</v>
      </c>
      <c r="G25" s="1" t="s">
        <v>779</v>
      </c>
      <c r="H25" s="1">
        <v>420</v>
      </c>
      <c r="I25" s="1" t="s">
        <v>754</v>
      </c>
    </row>
    <row r="26" spans="1:9">
      <c r="A26" s="160">
        <v>46095</v>
      </c>
      <c r="B26" s="1" t="s">
        <v>68</v>
      </c>
      <c r="D26" s="1" t="s">
        <v>172</v>
      </c>
      <c r="E26" s="1">
        <v>22</v>
      </c>
      <c r="F26" s="1">
        <v>2640</v>
      </c>
      <c r="G26" s="1" t="s">
        <v>795</v>
      </c>
      <c r="H26" s="1">
        <v>120</v>
      </c>
      <c r="I26" s="1" t="s">
        <v>754</v>
      </c>
    </row>
    <row r="27" spans="1:9">
      <c r="A27" s="160">
        <v>46096</v>
      </c>
      <c r="B27" s="1" t="s">
        <v>55</v>
      </c>
      <c r="D27" s="1" t="s">
        <v>172</v>
      </c>
      <c r="E27" s="1">
        <v>30</v>
      </c>
      <c r="F27" s="1">
        <v>25500</v>
      </c>
      <c r="G27" s="1" t="s">
        <v>756</v>
      </c>
      <c r="H27" s="1">
        <v>850</v>
      </c>
      <c r="I27" s="1" t="s">
        <v>745</v>
      </c>
    </row>
    <row r="28" spans="1:9">
      <c r="A28" s="160">
        <v>46096</v>
      </c>
      <c r="B28" s="1" t="s">
        <v>63</v>
      </c>
      <c r="D28" s="1" t="s">
        <v>171</v>
      </c>
      <c r="E28" s="1">
        <v>80</v>
      </c>
      <c r="F28" s="1">
        <v>33600</v>
      </c>
      <c r="G28" s="1" t="s">
        <v>783</v>
      </c>
      <c r="H28" s="1">
        <v>420</v>
      </c>
      <c r="I28" s="1" t="s">
        <v>82</v>
      </c>
    </row>
    <row r="29" spans="1:9">
      <c r="A29" s="160">
        <v>46096</v>
      </c>
      <c r="B29" s="1" t="s">
        <v>66</v>
      </c>
      <c r="D29" s="1" t="s">
        <v>172</v>
      </c>
      <c r="E29" s="1">
        <v>3</v>
      </c>
      <c r="F29" s="1">
        <v>540</v>
      </c>
      <c r="G29" s="1" t="s">
        <v>786</v>
      </c>
      <c r="H29" s="1">
        <v>180</v>
      </c>
      <c r="I29" s="1" t="s">
        <v>745</v>
      </c>
    </row>
    <row r="30" spans="1:9">
      <c r="A30" s="160">
        <v>46097</v>
      </c>
      <c r="B30" s="1" t="s">
        <v>59</v>
      </c>
      <c r="D30" s="1" t="s">
        <v>172</v>
      </c>
      <c r="E30" s="1">
        <v>15</v>
      </c>
      <c r="F30" s="1">
        <v>5250</v>
      </c>
      <c r="G30" s="1" t="s">
        <v>772</v>
      </c>
      <c r="H30" s="1">
        <v>350</v>
      </c>
      <c r="I30" s="1" t="s">
        <v>743</v>
      </c>
    </row>
    <row r="31" spans="1:9">
      <c r="A31" s="160">
        <v>46098</v>
      </c>
      <c r="B31" s="1" t="s">
        <v>58</v>
      </c>
      <c r="D31" s="1" t="s">
        <v>172</v>
      </c>
      <c r="E31" s="1">
        <v>10</v>
      </c>
      <c r="F31" s="1">
        <v>12000</v>
      </c>
      <c r="G31" s="1" t="s">
        <v>767</v>
      </c>
      <c r="H31" s="1">
        <v>1200</v>
      </c>
      <c r="I31" s="1" t="s">
        <v>745</v>
      </c>
    </row>
    <row r="32" spans="1:9">
      <c r="A32" s="160">
        <v>46099</v>
      </c>
      <c r="B32" s="1" t="s">
        <v>52</v>
      </c>
      <c r="D32" s="1" t="s">
        <v>172</v>
      </c>
      <c r="E32" s="1">
        <v>22</v>
      </c>
      <c r="F32" s="1">
        <v>99000</v>
      </c>
      <c r="G32" s="1" t="s">
        <v>744</v>
      </c>
      <c r="H32" s="1">
        <v>4500</v>
      </c>
      <c r="I32" s="1" t="s">
        <v>745</v>
      </c>
    </row>
    <row r="33" spans="1:9">
      <c r="A33" s="160">
        <v>46099</v>
      </c>
      <c r="B33" s="1" t="s">
        <v>55</v>
      </c>
      <c r="D33" s="1" t="s">
        <v>172</v>
      </c>
      <c r="E33" s="1">
        <v>32</v>
      </c>
      <c r="F33" s="1">
        <v>27200</v>
      </c>
      <c r="G33" s="1" t="s">
        <v>757</v>
      </c>
      <c r="H33" s="1">
        <v>850</v>
      </c>
      <c r="I33" s="1" t="s">
        <v>743</v>
      </c>
    </row>
    <row r="34" spans="1:9">
      <c r="A34" s="160">
        <v>46099</v>
      </c>
      <c r="B34" s="1" t="s">
        <v>67</v>
      </c>
      <c r="D34" s="1" t="s">
        <v>171</v>
      </c>
      <c r="E34" s="1">
        <v>100</v>
      </c>
      <c r="F34" s="1">
        <v>9500</v>
      </c>
      <c r="G34" s="1" t="s">
        <v>793</v>
      </c>
      <c r="H34" s="1">
        <v>95</v>
      </c>
      <c r="I34" s="1" t="s">
        <v>82</v>
      </c>
    </row>
    <row r="35" spans="1:9">
      <c r="A35" s="160">
        <v>46099</v>
      </c>
      <c r="B35" s="1" t="s">
        <v>70</v>
      </c>
      <c r="D35" s="1" t="s">
        <v>172</v>
      </c>
      <c r="E35" s="1">
        <v>12</v>
      </c>
      <c r="F35" s="1">
        <v>2760</v>
      </c>
      <c r="G35" s="1" t="s">
        <v>803</v>
      </c>
      <c r="H35" s="1">
        <v>230</v>
      </c>
      <c r="I35" s="1" t="s">
        <v>754</v>
      </c>
    </row>
    <row r="36" spans="1:9">
      <c r="A36" s="160">
        <v>46100</v>
      </c>
      <c r="B36" s="1" t="s">
        <v>67</v>
      </c>
      <c r="D36" s="1" t="s">
        <v>172</v>
      </c>
      <c r="E36" s="1">
        <v>20</v>
      </c>
      <c r="F36" s="1">
        <v>1900</v>
      </c>
      <c r="G36" s="1" t="s">
        <v>790</v>
      </c>
      <c r="H36" s="1">
        <v>95</v>
      </c>
      <c r="I36" s="1" t="s">
        <v>740</v>
      </c>
    </row>
    <row r="37" spans="1:9">
      <c r="A37" s="160">
        <v>46101</v>
      </c>
      <c r="B37" s="1" t="s">
        <v>59</v>
      </c>
      <c r="D37" s="1" t="s">
        <v>171</v>
      </c>
      <c r="E37" s="1">
        <v>60</v>
      </c>
      <c r="F37" s="1">
        <v>21000</v>
      </c>
      <c r="G37" s="1" t="s">
        <v>774</v>
      </c>
      <c r="H37" s="1">
        <v>350</v>
      </c>
      <c r="I37" s="1" t="s">
        <v>83</v>
      </c>
    </row>
    <row r="38" spans="1:9">
      <c r="A38" s="160">
        <v>46101</v>
      </c>
      <c r="B38" s="1" t="s">
        <v>63</v>
      </c>
      <c r="D38" s="1" t="s">
        <v>172</v>
      </c>
      <c r="E38" s="1">
        <v>12</v>
      </c>
      <c r="F38" s="1">
        <v>5040</v>
      </c>
      <c r="G38" s="1" t="s">
        <v>780</v>
      </c>
      <c r="H38" s="1">
        <v>420</v>
      </c>
      <c r="I38" s="1" t="s">
        <v>754</v>
      </c>
    </row>
    <row r="39" spans="1:9">
      <c r="A39" s="160">
        <v>46101</v>
      </c>
      <c r="B39" s="1" t="s">
        <v>68</v>
      </c>
      <c r="D39" s="1" t="s">
        <v>171</v>
      </c>
      <c r="E39" s="1">
        <v>100</v>
      </c>
      <c r="F39" s="1">
        <v>12000</v>
      </c>
      <c r="G39" s="1" t="s">
        <v>799</v>
      </c>
      <c r="H39" s="1">
        <v>120</v>
      </c>
      <c r="I39" s="1" t="s">
        <v>82</v>
      </c>
    </row>
    <row r="40" spans="1:9">
      <c r="A40" s="160">
        <v>46102</v>
      </c>
      <c r="B40" s="1" t="s">
        <v>68</v>
      </c>
      <c r="D40" s="1" t="s">
        <v>172</v>
      </c>
      <c r="E40" s="1">
        <v>15</v>
      </c>
      <c r="F40" s="1">
        <v>1800</v>
      </c>
      <c r="G40" s="1" t="s">
        <v>796</v>
      </c>
      <c r="H40" s="1">
        <v>120</v>
      </c>
      <c r="I40" s="1" t="s">
        <v>745</v>
      </c>
    </row>
    <row r="41" spans="1:9">
      <c r="A41" s="160">
        <v>46103</v>
      </c>
      <c r="B41" s="1" t="s">
        <v>55</v>
      </c>
      <c r="D41" s="1" t="s">
        <v>172</v>
      </c>
      <c r="E41" s="1">
        <v>28</v>
      </c>
      <c r="F41" s="1">
        <v>23800</v>
      </c>
      <c r="G41" s="1" t="s">
        <v>758</v>
      </c>
      <c r="H41" s="1">
        <v>850</v>
      </c>
      <c r="I41" s="1" t="s">
        <v>754</v>
      </c>
    </row>
    <row r="42" spans="1:9">
      <c r="A42" s="160">
        <v>46103</v>
      </c>
      <c r="B42" s="1" t="s">
        <v>64</v>
      </c>
      <c r="D42" s="1" t="s">
        <v>172</v>
      </c>
      <c r="E42" s="1">
        <v>12</v>
      </c>
      <c r="F42" s="1">
        <v>8160</v>
      </c>
      <c r="G42" s="1" t="s">
        <v>785</v>
      </c>
      <c r="H42" s="1">
        <v>680</v>
      </c>
      <c r="I42" s="1" t="s">
        <v>740</v>
      </c>
    </row>
    <row r="43" spans="1:9">
      <c r="A43" s="160">
        <v>46105</v>
      </c>
      <c r="B43" s="1" t="s">
        <v>55</v>
      </c>
      <c r="D43" s="1" t="s">
        <v>171</v>
      </c>
      <c r="E43" s="1">
        <v>200</v>
      </c>
      <c r="F43" s="1">
        <v>170000</v>
      </c>
      <c r="G43" s="1" t="s">
        <v>764</v>
      </c>
      <c r="H43" s="1">
        <v>850</v>
      </c>
      <c r="I43" s="1" t="s">
        <v>82</v>
      </c>
    </row>
    <row r="44" spans="1:9">
      <c r="A44" s="160">
        <v>46105</v>
      </c>
      <c r="B44" s="1" t="s">
        <v>58</v>
      </c>
      <c r="D44" s="1" t="s">
        <v>172</v>
      </c>
      <c r="E44" s="1">
        <v>18</v>
      </c>
      <c r="F44" s="1">
        <v>21600</v>
      </c>
      <c r="G44" s="1" t="s">
        <v>768</v>
      </c>
      <c r="H44" s="1">
        <v>1200</v>
      </c>
      <c r="I44" s="1" t="s">
        <v>745</v>
      </c>
    </row>
    <row r="45" spans="1:9">
      <c r="A45" s="160">
        <v>46106</v>
      </c>
      <c r="B45" s="1" t="s">
        <v>52</v>
      </c>
      <c r="D45" s="1" t="s">
        <v>172</v>
      </c>
      <c r="E45" s="1">
        <v>25</v>
      </c>
      <c r="F45" s="1">
        <v>112500</v>
      </c>
      <c r="G45" s="1" t="s">
        <v>746</v>
      </c>
      <c r="H45" s="1">
        <v>4500</v>
      </c>
      <c r="I45" s="1" t="s">
        <v>740</v>
      </c>
    </row>
    <row r="46" spans="1:9">
      <c r="A46" s="160">
        <v>46106</v>
      </c>
      <c r="B46" s="1" t="s">
        <v>55</v>
      </c>
      <c r="D46" s="1" t="s">
        <v>172</v>
      </c>
      <c r="E46" s="1">
        <v>30</v>
      </c>
      <c r="F46" s="1">
        <v>25500</v>
      </c>
      <c r="G46" s="1" t="s">
        <v>759</v>
      </c>
      <c r="H46" s="1">
        <v>850</v>
      </c>
      <c r="I46" s="1" t="s">
        <v>743</v>
      </c>
    </row>
    <row r="47" spans="1:9">
      <c r="A47" s="160">
        <v>46106</v>
      </c>
      <c r="B47" s="1" t="s">
        <v>69</v>
      </c>
      <c r="D47" s="1" t="s">
        <v>172</v>
      </c>
      <c r="E47" s="1">
        <v>3</v>
      </c>
      <c r="F47" s="1">
        <v>1650</v>
      </c>
      <c r="G47" s="1" t="s">
        <v>801</v>
      </c>
      <c r="H47" s="1">
        <v>550</v>
      </c>
      <c r="I47" s="1" t="s">
        <v>754</v>
      </c>
    </row>
    <row r="48" spans="1:9">
      <c r="A48" s="160">
        <v>46107</v>
      </c>
      <c r="B48" s="1" t="s">
        <v>59</v>
      </c>
      <c r="D48" s="1" t="s">
        <v>172</v>
      </c>
      <c r="E48" s="1">
        <v>25</v>
      </c>
      <c r="F48" s="1">
        <v>8750</v>
      </c>
      <c r="G48" s="1" t="s">
        <v>773</v>
      </c>
      <c r="H48" s="1">
        <v>350</v>
      </c>
      <c r="I48" s="1" t="s">
        <v>740</v>
      </c>
    </row>
    <row r="49" spans="1:9">
      <c r="A49" s="160">
        <v>46107</v>
      </c>
      <c r="B49" s="1" t="s">
        <v>67</v>
      </c>
      <c r="D49" s="1" t="s">
        <v>172</v>
      </c>
      <c r="E49" s="1">
        <v>28</v>
      </c>
      <c r="F49" s="1">
        <v>2660</v>
      </c>
      <c r="G49" s="1" t="s">
        <v>791</v>
      </c>
      <c r="H49" s="1">
        <v>95</v>
      </c>
      <c r="I49" s="1" t="s">
        <v>745</v>
      </c>
    </row>
    <row r="50" spans="1:9">
      <c r="A50" s="160">
        <v>46108</v>
      </c>
      <c r="B50" s="1" t="s">
        <v>61</v>
      </c>
      <c r="D50" s="1" t="s">
        <v>172</v>
      </c>
      <c r="E50" s="1">
        <v>8</v>
      </c>
      <c r="F50" s="1">
        <v>2240</v>
      </c>
      <c r="G50" s="1" t="s">
        <v>776</v>
      </c>
      <c r="H50" s="1">
        <v>280</v>
      </c>
      <c r="I50" s="1" t="s">
        <v>754</v>
      </c>
    </row>
    <row r="51" spans="1:9">
      <c r="A51" s="160">
        <v>46108</v>
      </c>
      <c r="B51" s="1" t="s">
        <v>63</v>
      </c>
      <c r="D51" s="1" t="s">
        <v>172</v>
      </c>
      <c r="E51" s="1">
        <v>22</v>
      </c>
      <c r="F51" s="1">
        <v>9240</v>
      </c>
      <c r="G51" s="1" t="s">
        <v>781</v>
      </c>
      <c r="H51" s="1">
        <v>420</v>
      </c>
      <c r="I51" s="1" t="s">
        <v>751</v>
      </c>
    </row>
    <row r="52" spans="1:9">
      <c r="A52" s="160">
        <v>46109</v>
      </c>
      <c r="B52" s="1" t="s">
        <v>52</v>
      </c>
      <c r="D52" s="1" t="s">
        <v>171</v>
      </c>
      <c r="E52" s="1">
        <v>100</v>
      </c>
      <c r="F52" s="1">
        <v>450000</v>
      </c>
      <c r="G52" s="1" t="s">
        <v>749</v>
      </c>
      <c r="H52" s="1">
        <v>4500</v>
      </c>
      <c r="I52" s="1" t="s">
        <v>81</v>
      </c>
    </row>
    <row r="53" spans="1:9">
      <c r="A53" s="160">
        <v>46109</v>
      </c>
      <c r="B53" s="1" t="s">
        <v>55</v>
      </c>
      <c r="D53" s="1" t="s">
        <v>172</v>
      </c>
      <c r="E53" s="1">
        <v>35</v>
      </c>
      <c r="F53" s="1">
        <v>29750</v>
      </c>
      <c r="G53" s="1" t="s">
        <v>760</v>
      </c>
      <c r="H53" s="1">
        <v>850</v>
      </c>
      <c r="I53" s="1" t="s">
        <v>740</v>
      </c>
    </row>
    <row r="54" spans="1:9">
      <c r="A54" s="160">
        <v>46109</v>
      </c>
      <c r="B54" s="1" t="s">
        <v>68</v>
      </c>
      <c r="D54" s="1" t="s">
        <v>172</v>
      </c>
      <c r="E54" s="1">
        <v>20</v>
      </c>
      <c r="F54" s="1">
        <v>2400</v>
      </c>
      <c r="G54" s="1" t="s">
        <v>797</v>
      </c>
      <c r="H54" s="1">
        <v>120</v>
      </c>
      <c r="I54" s="1" t="s">
        <v>740</v>
      </c>
    </row>
    <row r="55" spans="1:9">
      <c r="A55" s="160">
        <v>46109</v>
      </c>
      <c r="B55" s="1" t="s">
        <v>70</v>
      </c>
      <c r="D55" s="1" t="s">
        <v>172</v>
      </c>
      <c r="E55" s="1">
        <v>10</v>
      </c>
      <c r="F55" s="1">
        <v>2300</v>
      </c>
      <c r="G55" s="1" t="s">
        <v>804</v>
      </c>
      <c r="H55" s="1">
        <v>230</v>
      </c>
      <c r="I55" s="1" t="s">
        <v>745</v>
      </c>
    </row>
    <row r="56" spans="1:9">
      <c r="A56" s="160">
        <v>46111</v>
      </c>
      <c r="B56" s="1" t="s">
        <v>66</v>
      </c>
      <c r="D56" s="1" t="s">
        <v>172</v>
      </c>
      <c r="E56" s="1">
        <v>5</v>
      </c>
      <c r="F56" s="1">
        <v>900</v>
      </c>
      <c r="G56" s="1" t="s">
        <v>787</v>
      </c>
      <c r="H56" s="1">
        <v>180</v>
      </c>
      <c r="I56" s="1" t="s">
        <v>754</v>
      </c>
    </row>
    <row r="57" spans="1:9">
      <c r="A57" s="160">
        <v>46112</v>
      </c>
      <c r="B57" s="1" t="s">
        <v>58</v>
      </c>
      <c r="D57" s="1" t="s">
        <v>172</v>
      </c>
      <c r="E57" s="1">
        <v>14</v>
      </c>
      <c r="F57" s="1">
        <v>16800</v>
      </c>
      <c r="G57" s="1" t="s">
        <v>769</v>
      </c>
      <c r="H57" s="1">
        <v>1200</v>
      </c>
      <c r="I57" s="1" t="s">
        <v>743</v>
      </c>
    </row>
    <row r="58" spans="1:9">
      <c r="A58" s="160">
        <v>46113</v>
      </c>
      <c r="B58" s="1" t="s">
        <v>52</v>
      </c>
      <c r="D58" s="1" t="s">
        <v>172</v>
      </c>
      <c r="E58" s="1">
        <v>20</v>
      </c>
      <c r="F58" s="1">
        <v>90000</v>
      </c>
      <c r="G58" s="1" t="s">
        <v>747</v>
      </c>
      <c r="H58" s="1">
        <v>4500</v>
      </c>
      <c r="I58" s="1" t="s">
        <v>743</v>
      </c>
    </row>
    <row r="59" spans="1:9">
      <c r="A59" s="160">
        <v>46113</v>
      </c>
      <c r="B59" s="1" t="s">
        <v>55</v>
      </c>
      <c r="D59" s="1" t="s">
        <v>172</v>
      </c>
      <c r="E59" s="1">
        <v>25</v>
      </c>
      <c r="F59" s="1">
        <v>21250</v>
      </c>
      <c r="G59" s="1" t="s">
        <v>761</v>
      </c>
      <c r="H59" s="1">
        <v>850</v>
      </c>
      <c r="I59" s="1" t="s">
        <v>754</v>
      </c>
    </row>
    <row r="60" spans="1:9">
      <c r="A60" s="160">
        <v>46114</v>
      </c>
      <c r="B60" s="1" t="s">
        <v>63</v>
      </c>
      <c r="D60" s="1" t="s">
        <v>172</v>
      </c>
      <c r="E60" s="1">
        <v>15</v>
      </c>
      <c r="F60" s="1">
        <v>6300</v>
      </c>
      <c r="G60" s="1" t="s">
        <v>782</v>
      </c>
      <c r="H60" s="1">
        <v>420</v>
      </c>
      <c r="I60" s="1" t="s">
        <v>751</v>
      </c>
    </row>
    <row r="61" spans="1:9">
      <c r="A61" s="160">
        <v>46115</v>
      </c>
      <c r="B61" s="1" t="s">
        <v>67</v>
      </c>
      <c r="D61" s="1" t="s">
        <v>172</v>
      </c>
      <c r="E61" s="1">
        <v>22</v>
      </c>
      <c r="F61" s="1">
        <v>2090</v>
      </c>
      <c r="G61" s="1" t="s">
        <v>792</v>
      </c>
      <c r="H61" s="1">
        <v>95</v>
      </c>
      <c r="I61" s="1" t="s">
        <v>751</v>
      </c>
    </row>
    <row r="62" spans="1:9">
      <c r="A62" s="160">
        <v>46116</v>
      </c>
      <c r="B62" s="1" t="s">
        <v>55</v>
      </c>
      <c r="D62" s="1" t="s">
        <v>172</v>
      </c>
      <c r="E62" s="1">
        <v>30</v>
      </c>
      <c r="F62" s="1">
        <v>25500</v>
      </c>
      <c r="G62" s="1" t="s">
        <v>762</v>
      </c>
      <c r="H62" s="1">
        <v>850</v>
      </c>
      <c r="I62" s="1" t="s">
        <v>740</v>
      </c>
    </row>
    <row r="63" spans="1:9">
      <c r="A63" s="160">
        <v>46116</v>
      </c>
      <c r="B63" s="1" t="s">
        <v>68</v>
      </c>
      <c r="D63" s="1" t="s">
        <v>172</v>
      </c>
      <c r="E63" s="1">
        <v>18</v>
      </c>
      <c r="F63" s="1">
        <v>2160</v>
      </c>
      <c r="G63" s="1" t="s">
        <v>798</v>
      </c>
      <c r="H63" s="1">
        <v>120</v>
      </c>
      <c r="I63" s="1" t="s">
        <v>751</v>
      </c>
    </row>
  </sheetData>
  <sortState ref="A3:L63">
    <sortCondition ref="A3"/>
  </sortState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193" t="s">
        <v>173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</row>
    <row r="2" spans="1:14" ht="15" customHeight="1">
      <c r="A2" s="212" t="s">
        <v>174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</row>
    <row r="3" spans="1:14" ht="27.75" customHeight="1">
      <c r="A3" s="61" t="s">
        <v>72</v>
      </c>
      <c r="B3" s="61" t="s">
        <v>175</v>
      </c>
      <c r="C3" s="61" t="s">
        <v>176</v>
      </c>
      <c r="D3" s="62" t="s">
        <v>177</v>
      </c>
      <c r="E3" s="63" t="s">
        <v>178</v>
      </c>
      <c r="F3" s="64" t="s">
        <v>179</v>
      </c>
      <c r="G3" s="65" t="s">
        <v>49</v>
      </c>
      <c r="H3" s="65" t="s">
        <v>180</v>
      </c>
      <c r="I3" s="65" t="s">
        <v>181</v>
      </c>
      <c r="J3" s="66" t="s">
        <v>182</v>
      </c>
      <c r="K3" s="67" t="s">
        <v>183</v>
      </c>
      <c r="L3" s="26"/>
      <c r="M3" s="68" t="s">
        <v>184</v>
      </c>
      <c r="N3" s="68" t="s">
        <v>185</v>
      </c>
    </row>
    <row r="4" spans="1:14" ht="15" customHeight="1">
      <c r="A4" s="69" t="s">
        <v>52</v>
      </c>
      <c r="B4" s="70" t="str">
        <f>IFERROR(VLOOKUP(A4,ARTICLES!$A$2:$G$485,2,0),"")</f>
        <v>Toner imprimante G030 (noir)</v>
      </c>
      <c r="C4" s="71" t="str">
        <f>IFERROR(VLOOKUP(A4,ARTICLES!$A$2:$E$485,5,0),"")</f>
        <v>Informatique</v>
      </c>
      <c r="D4" s="72">
        <f>SUMIFS(MOUVEMENTS!$E$3:$E$461,MOUVEMENTS!$B$3:$B$461,A4,MOUVEMENTS!$D$3:$D$461,"IN")</f>
        <v>180</v>
      </c>
      <c r="E4" s="73">
        <f>SUMIFS(MOUVEMENTS!$E$3:$E$461,MOUVEMENTS!$B$3:$B$461,A4,MOUVEMENTS!$D$3:$D$461,"OUT")</f>
        <v>120</v>
      </c>
      <c r="F4" s="74">
        <f t="shared" ref="F4:F15" si="0">D4-E4</f>
        <v>60</v>
      </c>
      <c r="G4" s="75" t="str">
        <f>IFERROR(VLOOKUP(A4,ARTICLES!$A$2:$F$485,6,0),0)</f>
        <v>A</v>
      </c>
      <c r="H4" s="59">
        <f>IFERROR(LOOKUP(2,1/(MOUVEMENTS!$B$3:$B$461=A4),MOUVEMENTS!$L$3:$L$461),IFERROR(VLOOKUP(A4,ARTICLES!$A$2:$H$485,8,0),0))</f>
        <v>0</v>
      </c>
      <c r="I4" s="76">
        <f t="shared" ref="I4:I15" si="1">F4*H4</f>
        <v>0</v>
      </c>
      <c r="J4" s="77" t="str">
        <f>IFERROR(G4+(SUMIFS(MOUVEMENTS!$E$3:$E$461,MOUVEMENTS!$B$3:$B$461,A4,MOUVEMENTS!$D$3:$D$461,"OUT")/MAX(1,$N$4))*$N$6,G4)</f>
        <v>A</v>
      </c>
      <c r="K4" s="78" t="str">
        <f t="shared" ref="K4:K15" si="2">IF(F4=0,"!! RUPTURE",IF(F4&lt;=J4,"&gt;&gt; COMMANDER",IF(F4&lt;=J4*1.25,"~ ALERTE","OK")))</f>
        <v>&gt;&gt; COMMANDER</v>
      </c>
      <c r="L4" s="79"/>
      <c r="M4" s="80" t="s">
        <v>186</v>
      </c>
      <c r="N4" s="81">
        <v>38</v>
      </c>
    </row>
    <row r="5" spans="1:14" ht="15" customHeight="1">
      <c r="A5" s="69" t="s">
        <v>55</v>
      </c>
      <c r="B5" s="70" t="str">
        <f>IFERROR(VLOOKUP(A5,ARTICLES!$A$2:$G$485,2,0),"")</f>
        <v>Rame papier A4 80g/m2</v>
      </c>
      <c r="C5" s="71" t="str">
        <f>IFERROR(VLOOKUP(A5,ARTICLES!$A$2:$E$485,5,0),"")</f>
        <v>Fournitures Bureau</v>
      </c>
      <c r="D5" s="72">
        <f>SUMIFS(MOUVEMENTS!$E$3:$E$461,MOUVEMENTS!$B$3:$B$461,A5,MOUVEMENTS!$D$3:$D$461,"IN")</f>
        <v>350</v>
      </c>
      <c r="E5" s="73">
        <f>SUMIFS(MOUVEMENTS!$E$3:$E$461,MOUVEMENTS!$B$3:$B$461,A5,MOUVEMENTS!$D$3:$D$461,"OUT")</f>
        <v>328</v>
      </c>
      <c r="F5" s="74">
        <f t="shared" si="0"/>
        <v>22</v>
      </c>
      <c r="G5" s="75" t="str">
        <f>IFERROR(VLOOKUP(A5,ARTICLES!$A$2:$F$485,6,0),0)</f>
        <v>B</v>
      </c>
      <c r="H5" s="59">
        <f>IFERROR(LOOKUP(2,1/(MOUVEMENTS!$B$3:$B$461=A5),MOUVEMENTS!$L$3:$L$461),IFERROR(VLOOKUP(A5,ARTICLES!$A$2:$H$485,8,0),0))</f>
        <v>0</v>
      </c>
      <c r="I5" s="76">
        <f t="shared" si="1"/>
        <v>0</v>
      </c>
      <c r="J5" s="77" t="str">
        <f>IFERROR(G5+(SUMIFS(MOUVEMENTS!$E$3:$E$461,MOUVEMENTS!$B$3:$B$461,A5,MOUVEMENTS!$D$3:$D$461,"OUT")/MAX(1,$N$4))*$N$6,G5)</f>
        <v>B</v>
      </c>
      <c r="K5" s="78" t="str">
        <f t="shared" si="2"/>
        <v>&gt;&gt; COMMANDER</v>
      </c>
      <c r="L5" s="79"/>
      <c r="M5" s="80" t="s">
        <v>187</v>
      </c>
      <c r="N5" s="81">
        <f>$N$4</f>
        <v>38</v>
      </c>
    </row>
    <row r="6" spans="1:14" ht="15" customHeight="1">
      <c r="A6" s="69" t="s">
        <v>58</v>
      </c>
      <c r="B6" s="70" t="str">
        <f>IFERROR(VLOOKUP(A6,ARTICLES!$A$2:$G$485,2,0),"")</f>
        <v>Rame papier A3 80g/m2</v>
      </c>
      <c r="C6" s="71" t="str">
        <f>IFERROR(VLOOKUP(A6,ARTICLES!$A$2:$E$485,5,0),"")</f>
        <v>Fournitures Bureau</v>
      </c>
      <c r="D6" s="72">
        <f>SUMIFS(MOUVEMENTS!$E$3:$E$461,MOUVEMENTS!$B$3:$B$461,A6,MOUVEMENTS!$D$3:$D$461,"IN")</f>
        <v>80</v>
      </c>
      <c r="E6" s="73">
        <f>SUMIFS(MOUVEMENTS!$E$3:$E$461,MOUVEMENTS!$B$3:$B$461,A6,MOUVEMENTS!$D$3:$D$461,"OUT")</f>
        <v>69</v>
      </c>
      <c r="F6" s="74">
        <f t="shared" si="0"/>
        <v>11</v>
      </c>
      <c r="G6" s="75" t="str">
        <f>IFERROR(VLOOKUP(A6,ARTICLES!$A$2:$F$485,6,0),0)</f>
        <v>B</v>
      </c>
      <c r="H6" s="59">
        <f>IFERROR(LOOKUP(2,1/(MOUVEMENTS!$B$3:$B$461=A6),MOUVEMENTS!$L$3:$L$461),IFERROR(VLOOKUP(A6,ARTICLES!$A$2:$H$485,8,0),0))</f>
        <v>0</v>
      </c>
      <c r="I6" s="76">
        <f t="shared" si="1"/>
        <v>0</v>
      </c>
      <c r="J6" s="77" t="str">
        <f>IFERROR(G6+(SUMIFS(MOUVEMENTS!$E$3:$E$461,MOUVEMENTS!$B$3:$B$461,A6,MOUVEMENTS!$D$3:$D$461,"OUT")/MAX(1,$N$4))*$N$6,G6)</f>
        <v>B</v>
      </c>
      <c r="K6" s="78" t="str">
        <f t="shared" si="2"/>
        <v>&gt;&gt; COMMANDER</v>
      </c>
      <c r="L6" s="79"/>
      <c r="M6" s="80" t="s">
        <v>188</v>
      </c>
      <c r="N6" s="81">
        <v>2</v>
      </c>
    </row>
    <row r="7" spans="1:14" ht="15" customHeight="1">
      <c r="A7" s="69" t="s">
        <v>59</v>
      </c>
      <c r="B7" s="70" t="str">
        <f>IFERROR(VLOOKUP(A7,ARTICLES!$A$2:$G$485,2,0),"")</f>
        <v>Boite archives carton</v>
      </c>
      <c r="C7" s="71" t="str">
        <f>IFERROR(VLOOKUP(A7,ARTICLES!$A$2:$E$485,5,0),"")</f>
        <v>Admin</v>
      </c>
      <c r="D7" s="72">
        <f>SUMIFS(MOUVEMENTS!$E$3:$E$461,MOUVEMENTS!$B$3:$B$461,A7,MOUVEMENTS!$D$3:$D$461,"IN")</f>
        <v>60</v>
      </c>
      <c r="E7" s="73">
        <f>SUMIFS(MOUVEMENTS!$E$3:$E$461,MOUVEMENTS!$B$3:$B$461,A7,MOUVEMENTS!$D$3:$D$461,"OUT")</f>
        <v>60</v>
      </c>
      <c r="F7" s="74">
        <f t="shared" si="0"/>
        <v>0</v>
      </c>
      <c r="G7" s="75" t="str">
        <f>IFERROR(VLOOKUP(A7,ARTICLES!$A$2:$F$485,6,0),0)</f>
        <v>B</v>
      </c>
      <c r="H7" s="59">
        <f>IFERROR(LOOKUP(2,1/(MOUVEMENTS!$B$3:$B$461=A7),MOUVEMENTS!$L$3:$L$461),IFERROR(VLOOKUP(A7,ARTICLES!$A$2:$H$485,8,0),0))</f>
        <v>0</v>
      </c>
      <c r="I7" s="76">
        <f t="shared" si="1"/>
        <v>0</v>
      </c>
      <c r="J7" s="77" t="str">
        <f>IFERROR(G7+(SUMIFS(MOUVEMENTS!$E$3:$E$461,MOUVEMENTS!$B$3:$B$461,A7,MOUVEMENTS!$D$3:$D$461,"OUT")/MAX(1,$N$4))*$N$6,G7)</f>
        <v>B</v>
      </c>
      <c r="K7" s="78" t="str">
        <f t="shared" si="2"/>
        <v>!! RUPTURE</v>
      </c>
      <c r="L7" s="79"/>
      <c r="M7" s="79"/>
      <c r="N7" s="79"/>
    </row>
    <row r="8" spans="1:14" ht="15" customHeight="1">
      <c r="A8" s="69" t="s">
        <v>61</v>
      </c>
      <c r="B8" s="70" t="str">
        <f>IFERROR(VLOOKUP(A8,ARTICLES!$A$2:$G$485,2,0),"")</f>
        <v>Agrafeuse de bureau</v>
      </c>
      <c r="C8" s="71" t="str">
        <f>IFERROR(VLOOKUP(A8,ARTICLES!$A$2:$E$485,5,0),"")</f>
        <v>Fournitures Bureau</v>
      </c>
      <c r="D8" s="72">
        <f>SUMIFS(MOUVEMENTS!$E$3:$E$461,MOUVEMENTS!$B$3:$B$461,A8,MOUVEMENTS!$D$3:$D$461,"IN")</f>
        <v>0</v>
      </c>
      <c r="E8" s="73">
        <f>SUMIFS(MOUVEMENTS!$E$3:$E$461,MOUVEMENTS!$B$3:$B$461,A8,MOUVEMENTS!$D$3:$D$461,"OUT")</f>
        <v>13</v>
      </c>
      <c r="F8" s="74">
        <f t="shared" si="0"/>
        <v>-13</v>
      </c>
      <c r="G8" s="75" t="str">
        <f>IFERROR(VLOOKUP(A8,ARTICLES!$A$2:$F$485,6,0),0)</f>
        <v>C</v>
      </c>
      <c r="H8" s="59">
        <f>IFERROR(LOOKUP(2,1/(MOUVEMENTS!$B$3:$B$461=A8),MOUVEMENTS!$L$3:$L$461),IFERROR(VLOOKUP(A8,ARTICLES!$A$2:$H$485,8,0),0))</f>
        <v>0</v>
      </c>
      <c r="I8" s="76">
        <f t="shared" si="1"/>
        <v>0</v>
      </c>
      <c r="J8" s="77" t="str">
        <f>IFERROR(G8+(SUMIFS(MOUVEMENTS!$E$3:$E$461,MOUVEMENTS!$B$3:$B$461,A8,MOUVEMENTS!$D$3:$D$461,"OUT")/MAX(1,$N$4))*$N$6,G8)</f>
        <v>C</v>
      </c>
      <c r="K8" s="78" t="str">
        <f t="shared" si="2"/>
        <v>&gt;&gt; COMMANDER</v>
      </c>
      <c r="L8" s="79"/>
      <c r="M8" s="79"/>
      <c r="N8" s="79"/>
    </row>
    <row r="9" spans="1:14" ht="15" customHeight="1">
      <c r="A9" s="69" t="s">
        <v>63</v>
      </c>
      <c r="B9" s="70" t="str">
        <f>IFERROR(VLOOKUP(A9,ARTICLES!$A$2:$G$485,2,0),"")</f>
        <v>Stylos bille boite/50</v>
      </c>
      <c r="C9" s="71" t="str">
        <f>IFERROR(VLOOKUP(A9,ARTICLES!$A$2:$E$485,5,0),"")</f>
        <v>Fournitures Bureau</v>
      </c>
      <c r="D9" s="72">
        <f>SUMIFS(MOUVEMENTS!$E$3:$E$461,MOUVEMENTS!$B$3:$B$461,A9,MOUVEMENTS!$D$3:$D$461,"IN")</f>
        <v>80</v>
      </c>
      <c r="E9" s="73">
        <f>SUMIFS(MOUVEMENTS!$E$3:$E$461,MOUVEMENTS!$B$3:$B$461,A9,MOUVEMENTS!$D$3:$D$461,"OUT")</f>
        <v>102</v>
      </c>
      <c r="F9" s="74">
        <f t="shared" si="0"/>
        <v>-22</v>
      </c>
      <c r="G9" s="75" t="str">
        <f>IFERROR(VLOOKUP(A9,ARTICLES!$A$2:$F$485,6,0),0)</f>
        <v>B</v>
      </c>
      <c r="H9" s="59">
        <f>IFERROR(LOOKUP(2,1/(MOUVEMENTS!$B$3:$B$461=A9),MOUVEMENTS!$L$3:$L$461),IFERROR(VLOOKUP(A9,ARTICLES!$A$2:$H$485,8,0),0))</f>
        <v>0</v>
      </c>
      <c r="I9" s="76">
        <f t="shared" si="1"/>
        <v>0</v>
      </c>
      <c r="J9" s="77" t="str">
        <f>IFERROR(G9+(SUMIFS(MOUVEMENTS!$E$3:$E$461,MOUVEMENTS!$B$3:$B$461,A9,MOUVEMENTS!$D$3:$D$461,"OUT")/MAX(1,$N$4))*$N$6,G9)</f>
        <v>B</v>
      </c>
      <c r="K9" s="78" t="str">
        <f t="shared" si="2"/>
        <v>&gt;&gt; COMMANDER</v>
      </c>
      <c r="L9" s="79"/>
      <c r="M9" s="79"/>
      <c r="N9" s="79"/>
    </row>
    <row r="10" spans="1:14" ht="15" customHeight="1">
      <c r="A10" s="69" t="s">
        <v>64</v>
      </c>
      <c r="B10" s="70" t="str">
        <f>IFERROR(VLOOKUP(A10,ARTICLES!$A$2:$G$485,2,0),"")</f>
        <v>Registre grand format 5m</v>
      </c>
      <c r="C10" s="71" t="str">
        <f>IFERROR(VLOOKUP(A10,ARTICLES!$A$2:$E$485,5,0),"")</f>
        <v>Admin</v>
      </c>
      <c r="D10" s="72">
        <f>SUMIFS(MOUVEMENTS!$E$3:$E$461,MOUVEMENTS!$B$3:$B$461,A10,MOUVEMENTS!$D$3:$D$461,"IN")</f>
        <v>0</v>
      </c>
      <c r="E10" s="73">
        <f>SUMIFS(MOUVEMENTS!$E$3:$E$461,MOUVEMENTS!$B$3:$B$461,A10,MOUVEMENTS!$D$3:$D$461,"OUT")</f>
        <v>22</v>
      </c>
      <c r="F10" s="74">
        <f t="shared" si="0"/>
        <v>-22</v>
      </c>
      <c r="G10" s="75" t="str">
        <f>IFERROR(VLOOKUP(A10,ARTICLES!$A$2:$F$485,6,0),0)</f>
        <v>C</v>
      </c>
      <c r="H10" s="59">
        <f>IFERROR(LOOKUP(2,1/(MOUVEMENTS!$B$3:$B$461=A10),MOUVEMENTS!$L$3:$L$461),IFERROR(VLOOKUP(A10,ARTICLES!$A$2:$H$485,8,0),0))</f>
        <v>0</v>
      </c>
      <c r="I10" s="76">
        <f t="shared" si="1"/>
        <v>0</v>
      </c>
      <c r="J10" s="77" t="str">
        <f>IFERROR(G10+(SUMIFS(MOUVEMENTS!$E$3:$E$461,MOUVEMENTS!$B$3:$B$461,A10,MOUVEMENTS!$D$3:$D$461,"OUT")/MAX(1,$N$4))*$N$6,G10)</f>
        <v>C</v>
      </c>
      <c r="K10" s="78" t="str">
        <f t="shared" si="2"/>
        <v>&gt;&gt; COMMANDER</v>
      </c>
      <c r="L10" s="79"/>
      <c r="M10" s="79"/>
      <c r="N10" s="79"/>
    </row>
    <row r="11" spans="1:14" ht="15" customHeight="1">
      <c r="A11" s="69" t="s">
        <v>66</v>
      </c>
      <c r="B11" s="70" t="str">
        <f>IFERROR(VLOOKUP(A11,ARTICLES!$A$2:$G$485,2,0),"")</f>
        <v>Encre tampon</v>
      </c>
      <c r="C11" s="71" t="str">
        <f>IFERROR(VLOOKUP(A11,ARTICLES!$A$2:$E$485,5,0),"")</f>
        <v>Fournitures Bureau</v>
      </c>
      <c r="D11" s="72">
        <f>SUMIFS(MOUVEMENTS!$E$3:$E$461,MOUVEMENTS!$B$3:$B$461,A11,MOUVEMENTS!$D$3:$D$461,"IN")</f>
        <v>0</v>
      </c>
      <c r="E11" s="73">
        <f>SUMIFS(MOUVEMENTS!$E$3:$E$461,MOUVEMENTS!$B$3:$B$461,A11,MOUVEMENTS!$D$3:$D$461,"OUT")</f>
        <v>8</v>
      </c>
      <c r="F11" s="74">
        <f t="shared" si="0"/>
        <v>-8</v>
      </c>
      <c r="G11" s="75" t="str">
        <f>IFERROR(VLOOKUP(A11,ARTICLES!$A$2:$F$485,6,0),0)</f>
        <v>C</v>
      </c>
      <c r="H11" s="59">
        <f>IFERROR(LOOKUP(2,1/(MOUVEMENTS!$B$3:$B$461=A11),MOUVEMENTS!$L$3:$L$461),IFERROR(VLOOKUP(A11,ARTICLES!$A$2:$H$485,8,0),0))</f>
        <v>0</v>
      </c>
      <c r="I11" s="76">
        <f t="shared" si="1"/>
        <v>0</v>
      </c>
      <c r="J11" s="77" t="str">
        <f>IFERROR(G11+(SUMIFS(MOUVEMENTS!$E$3:$E$461,MOUVEMENTS!$B$3:$B$461,A11,MOUVEMENTS!$D$3:$D$461,"OUT")/MAX(1,$N$4))*$N$6,G11)</f>
        <v>C</v>
      </c>
      <c r="K11" s="78" t="str">
        <f t="shared" si="2"/>
        <v>&gt;&gt; COMMANDER</v>
      </c>
      <c r="L11" s="79"/>
      <c r="M11" s="79"/>
      <c r="N11" s="79"/>
    </row>
    <row r="12" spans="1:14" ht="15" customHeight="1">
      <c r="A12" s="69" t="s">
        <v>67</v>
      </c>
      <c r="B12" s="70" t="str">
        <f>IFERROR(VLOOKUP(A12,ARTICLES!$A$2:$G$485,2,0),"")</f>
        <v>Sous-chemise carton</v>
      </c>
      <c r="C12" s="71" t="str">
        <f>IFERROR(VLOOKUP(A12,ARTICLES!$A$2:$E$485,5,0),"")</f>
        <v>Fournitures Bureau</v>
      </c>
      <c r="D12" s="72">
        <f>SUMIFS(MOUVEMENTS!$E$3:$E$461,MOUVEMENTS!$B$3:$B$461,A12,MOUVEMENTS!$D$3:$D$461,"IN")</f>
        <v>100</v>
      </c>
      <c r="E12" s="73">
        <f>SUMIFS(MOUVEMENTS!$E$3:$E$461,MOUVEMENTS!$B$3:$B$461,A12,MOUVEMENTS!$D$3:$D$461,"OUT")</f>
        <v>125</v>
      </c>
      <c r="F12" s="74">
        <f t="shared" si="0"/>
        <v>-25</v>
      </c>
      <c r="G12" s="75" t="str">
        <f>IFERROR(VLOOKUP(A12,ARTICLES!$A$2:$F$485,6,0),0)</f>
        <v>C</v>
      </c>
      <c r="H12" s="59">
        <f>IFERROR(LOOKUP(2,1/(MOUVEMENTS!$B$3:$B$461=A12),MOUVEMENTS!$L$3:$L$461),IFERROR(VLOOKUP(A12,ARTICLES!$A$2:$H$485,8,0),0))</f>
        <v>0</v>
      </c>
      <c r="I12" s="76">
        <f t="shared" si="1"/>
        <v>0</v>
      </c>
      <c r="J12" s="77" t="str">
        <f>IFERROR(G12+(SUMIFS(MOUVEMENTS!$E$3:$E$461,MOUVEMENTS!$B$3:$B$461,A12,MOUVEMENTS!$D$3:$D$461,"OUT")/MAX(1,$N$4))*$N$6,G12)</f>
        <v>C</v>
      </c>
      <c r="K12" s="78" t="str">
        <f t="shared" si="2"/>
        <v>&gt;&gt; COMMANDER</v>
      </c>
      <c r="L12" s="79"/>
      <c r="M12" s="79"/>
      <c r="N12" s="79"/>
    </row>
    <row r="13" spans="1:14" ht="15" customHeight="1">
      <c r="A13" s="69" t="s">
        <v>68</v>
      </c>
      <c r="B13" s="70" t="str">
        <f>IFERROR(VLOOKUP(A13,ARTICLES!$A$2:$G$485,2,0),"")</f>
        <v>Chemise cartonnee</v>
      </c>
      <c r="C13" s="71" t="str">
        <f>IFERROR(VLOOKUP(A13,ARTICLES!$A$2:$E$485,5,0),"")</f>
        <v>Fournitures Bureau</v>
      </c>
      <c r="D13" s="72">
        <f>SUMIFS(MOUVEMENTS!$E$3:$E$461,MOUVEMENTS!$B$3:$B$461,A13,MOUVEMENTS!$D$3:$D$461,"IN")</f>
        <v>100</v>
      </c>
      <c r="E13" s="73">
        <f>SUMIFS(MOUVEMENTS!$E$3:$E$461,MOUVEMENTS!$B$3:$B$461,A13,MOUVEMENTS!$D$3:$D$461,"OUT")</f>
        <v>93</v>
      </c>
      <c r="F13" s="74">
        <f t="shared" si="0"/>
        <v>7</v>
      </c>
      <c r="G13" s="75" t="str">
        <f>IFERROR(VLOOKUP(A13,ARTICLES!$A$2:$F$485,6,0),0)</f>
        <v>C</v>
      </c>
      <c r="H13" s="59">
        <f>IFERROR(LOOKUP(2,1/(MOUVEMENTS!$B$3:$B$461=A13),MOUVEMENTS!$L$3:$L$461),IFERROR(VLOOKUP(A13,ARTICLES!$A$2:$H$485,8,0),0))</f>
        <v>0</v>
      </c>
      <c r="I13" s="76">
        <f t="shared" si="1"/>
        <v>0</v>
      </c>
      <c r="J13" s="77" t="str">
        <f>IFERROR(G13+(SUMIFS(MOUVEMENTS!$E$3:$E$461,MOUVEMENTS!$B$3:$B$461,A13,MOUVEMENTS!$D$3:$D$461,"OUT")/MAX(1,$N$4))*$N$6,G13)</f>
        <v>C</v>
      </c>
      <c r="K13" s="78" t="str">
        <f t="shared" si="2"/>
        <v>&gt;&gt; COMMANDER</v>
      </c>
      <c r="L13" s="79"/>
      <c r="M13" s="79"/>
      <c r="N13" s="79"/>
    </row>
    <row r="14" spans="1:14" ht="15" customHeight="1">
      <c r="A14" s="69" t="s">
        <v>69</v>
      </c>
      <c r="B14" s="70" t="str">
        <f>IFERROR(VLOOKUP(A14,ARTICLES!$A$2:$G$485,2,0),"")</f>
        <v>Rouleau papier fax</v>
      </c>
      <c r="C14" s="71" t="str">
        <f>IFERROR(VLOOKUP(A14,ARTICLES!$A$2:$E$485,5,0),"")</f>
        <v>Informatique</v>
      </c>
      <c r="D14" s="72">
        <f>SUMIFS(MOUVEMENTS!$E$3:$E$461,MOUVEMENTS!$B$3:$B$461,A14,MOUVEMENTS!$D$3:$D$461,"IN")</f>
        <v>0</v>
      </c>
      <c r="E14" s="73">
        <f>SUMIFS(MOUVEMENTS!$E$3:$E$461,MOUVEMENTS!$B$3:$B$461,A14,MOUVEMENTS!$D$3:$D$461,"OUT")</f>
        <v>5</v>
      </c>
      <c r="F14" s="74">
        <f t="shared" si="0"/>
        <v>-5</v>
      </c>
      <c r="G14" s="75" t="str">
        <f>IFERROR(VLOOKUP(A14,ARTICLES!$A$2:$F$485,6,0),0)</f>
        <v>C</v>
      </c>
      <c r="H14" s="59">
        <f>IFERROR(LOOKUP(2,1/(MOUVEMENTS!$B$3:$B$461=A14),MOUVEMENTS!$L$3:$L$461),IFERROR(VLOOKUP(A14,ARTICLES!$A$2:$H$485,8,0),0))</f>
        <v>0</v>
      </c>
      <c r="I14" s="76">
        <f t="shared" si="1"/>
        <v>0</v>
      </c>
      <c r="J14" s="77" t="str">
        <f>IFERROR(G14+(SUMIFS(MOUVEMENTS!$E$3:$E$461,MOUVEMENTS!$B$3:$B$461,A14,MOUVEMENTS!$D$3:$D$461,"OUT")/MAX(1,$N$4))*$N$6,G14)</f>
        <v>C</v>
      </c>
      <c r="K14" s="78" t="str">
        <f t="shared" si="2"/>
        <v>&gt;&gt; COMMANDER</v>
      </c>
      <c r="L14" s="79"/>
      <c r="M14" s="79"/>
      <c r="N14" s="79"/>
    </row>
    <row r="15" spans="1:14" ht="15" customHeight="1">
      <c r="A15" s="69" t="s">
        <v>70</v>
      </c>
      <c r="B15" s="70" t="str">
        <f>IFERROR(VLOOKUP(A15,ARTICLES!$A$2:$G$485,2,0),"")</f>
        <v>Marqueur permanent noir</v>
      </c>
      <c r="C15" s="71" t="str">
        <f>IFERROR(VLOOKUP(A15,ARTICLES!$A$2:$E$485,5,0),"")</f>
        <v>Fournitures Bureau</v>
      </c>
      <c r="D15" s="72">
        <f>SUMIFS(MOUVEMENTS!$E$3:$E$461,MOUVEMENTS!$B$3:$B$461,A15,MOUVEMENTS!$D$3:$D$461,"IN")</f>
        <v>0</v>
      </c>
      <c r="E15" s="73">
        <f>SUMIFS(MOUVEMENTS!$E$3:$E$461,MOUVEMENTS!$B$3:$B$461,A15,MOUVEMENTS!$D$3:$D$461,"OUT")</f>
        <v>30</v>
      </c>
      <c r="F15" s="74">
        <f t="shared" si="0"/>
        <v>-30</v>
      </c>
      <c r="G15" s="75" t="str">
        <f>IFERROR(VLOOKUP(A15,ARTICLES!$A$2:$F$485,6,0),0)</f>
        <v>C</v>
      </c>
      <c r="H15" s="59">
        <f>IFERROR(LOOKUP(2,1/(MOUVEMENTS!$B$3:$B$461=A15),MOUVEMENTS!$L$3:$L$461),IFERROR(VLOOKUP(A15,ARTICLES!$A$2:$H$485,8,0),0))</f>
        <v>0</v>
      </c>
      <c r="I15" s="76">
        <f t="shared" si="1"/>
        <v>0</v>
      </c>
      <c r="J15" s="77" t="str">
        <f>IFERROR(G15+(SUMIFS(MOUVEMENTS!$E$3:$E$461,MOUVEMENTS!$B$3:$B$461,A15,MOUVEMENTS!$D$3:$D$461,"OUT")/MAX(1,$N$4))*$N$6,G15)</f>
        <v>C</v>
      </c>
      <c r="K15" s="78" t="str">
        <f t="shared" si="2"/>
        <v>&gt;&gt; COMMANDER</v>
      </c>
      <c r="L15" s="79"/>
      <c r="M15" s="79"/>
      <c r="N15" s="79"/>
    </row>
    <row r="17" spans="1:14" ht="15" customHeight="1">
      <c r="A17" s="213" t="s">
        <v>189</v>
      </c>
      <c r="B17" s="214"/>
      <c r="D17" s="82"/>
      <c r="E17" s="82"/>
      <c r="F17" s="77">
        <f>SUM(F4:F16)</f>
        <v>-25</v>
      </c>
      <c r="G17" s="82"/>
      <c r="H17" s="82"/>
      <c r="I17" s="83">
        <f>SUM(I4:I16)</f>
        <v>0</v>
      </c>
      <c r="J17" s="82"/>
      <c r="K17" s="82"/>
      <c r="L17" s="82"/>
      <c r="M17" s="82"/>
      <c r="N17" s="82"/>
    </row>
    <row r="19" spans="1:14" ht="15" customHeight="1">
      <c r="A19" s="211" t="s">
        <v>190</v>
      </c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</row>
  </sheetData>
  <sheetProtection algorithmName="SHA-512" hashValue="2SximZZYcsZdOqnHoB4KV/lL4P7U5alTmrHDPcmCsGdZ2mVlO8gmEXw+0SYbmS4/jWhQ/ZSruc7U91F8nHTZlw==" saltValue="z0F1FFQMnPj1PsnO3iLJ4Q==" spinCount="100000" sheet="1" objects="1" scenarios="1" autoFilter="0"/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27" t="s">
        <v>191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1" ht="15" customHeight="1">
      <c r="A2" s="230" t="s">
        <v>192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</row>
    <row r="3" spans="1:11" ht="15.75" customHeight="1">
      <c r="A3" s="223" t="s">
        <v>193</v>
      </c>
      <c r="B3" s="187"/>
      <c r="C3" s="187"/>
      <c r="D3" s="187"/>
      <c r="E3" s="187"/>
      <c r="F3" s="187"/>
      <c r="G3" s="187"/>
      <c r="H3" s="187"/>
      <c r="I3" s="187"/>
      <c r="J3" s="187"/>
      <c r="K3" s="187"/>
    </row>
    <row r="4" spans="1:11" ht="13.5" customHeight="1"/>
    <row r="5" spans="1:11" ht="24" customHeight="1">
      <c r="A5" s="220" t="s">
        <v>194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</row>
    <row r="6" spans="1:11" ht="15" customHeight="1">
      <c r="A6" s="216" t="s">
        <v>195</v>
      </c>
      <c r="B6" s="217"/>
      <c r="C6" s="218"/>
      <c r="D6" s="221" t="s">
        <v>196</v>
      </c>
      <c r="E6" s="217"/>
      <c r="F6" s="218"/>
      <c r="G6" s="224" t="s">
        <v>197</v>
      </c>
      <c r="H6" s="217"/>
      <c r="I6" s="218"/>
      <c r="J6" s="225" t="s">
        <v>198</v>
      </c>
      <c r="K6" s="218"/>
    </row>
    <row r="7" spans="1:11" ht="43.5" customHeight="1">
      <c r="A7" s="222">
        <f>COUNTIF('TABLEAU DE BORD'!$K$4:$K$15,"!! RUPTURE")</f>
        <v>1</v>
      </c>
      <c r="B7" s="217"/>
      <c r="C7" s="218"/>
      <c r="D7" s="228">
        <f>COUNTIF('TABLEAU DE BORD'!$K$4:$K$15,"&gt;&gt; COMMANDER")</f>
        <v>11</v>
      </c>
      <c r="E7" s="217"/>
      <c r="F7" s="218"/>
      <c r="G7" s="229">
        <f>COUNTIF('TABLEAU DE BORD'!$K$4:$K$15,"~ ALERTE")</f>
        <v>0</v>
      </c>
      <c r="H7" s="217"/>
      <c r="I7" s="218"/>
      <c r="J7" s="219">
        <f>COUNTIF('TABLEAU DE BORD'!$K$4:$K$15,"OK")</f>
        <v>0</v>
      </c>
      <c r="K7" s="218"/>
    </row>
    <row r="8" spans="1:11" ht="18" customHeight="1">
      <c r="A8" s="226" t="str">
        <f>COUNTIF('TABLEAU DE BORD'!$K$4:$K$15,"!! RUPTURE")&amp;" / 12 articles"</f>
        <v>1 / 12 articles</v>
      </c>
      <c r="B8" s="214"/>
      <c r="C8" s="185"/>
      <c r="D8" s="226" t="str">
        <f>COUNTIF('TABLEAU DE BORD'!$K$4:$K$15,"&gt;&gt; COMMANDER")&amp;" / 12 articles"</f>
        <v>11 / 12 articles</v>
      </c>
      <c r="E8" s="214"/>
      <c r="F8" s="185"/>
      <c r="G8" s="226" t="str">
        <f>COUNTIF('TABLEAU DE BORD'!$K$4:$K$15,"~ ALERTE")&amp;" / 12 articles"</f>
        <v>0 / 12 articles</v>
      </c>
      <c r="H8" s="214"/>
      <c r="I8" s="185"/>
      <c r="J8" s="226" t="str">
        <f>COUNTIF('TABLEAU DE BORD'!$K$4:$K$15,"OK")&amp;" / 12 articles"</f>
        <v>0 / 12 articles</v>
      </c>
      <c r="K8" s="185"/>
    </row>
    <row r="9" spans="1:11" ht="9.75" customHeight="1"/>
    <row r="10" spans="1:11" ht="24" customHeight="1">
      <c r="A10" s="220" t="s">
        <v>199</v>
      </c>
      <c r="B10" s="187"/>
      <c r="C10" s="187"/>
      <c r="D10" s="187"/>
      <c r="E10" s="187"/>
      <c r="F10" s="187"/>
      <c r="G10" s="187"/>
      <c r="H10" s="187"/>
      <c r="I10" s="187"/>
      <c r="J10" s="187"/>
      <c r="K10" s="187"/>
    </row>
    <row r="11" spans="1:11" ht="27.75" customHeight="1">
      <c r="A11" s="84" t="s">
        <v>72</v>
      </c>
      <c r="B11" s="84" t="s">
        <v>175</v>
      </c>
      <c r="C11" s="84" t="s">
        <v>176</v>
      </c>
      <c r="D11" s="84" t="s">
        <v>200</v>
      </c>
      <c r="E11" s="84" t="s">
        <v>49</v>
      </c>
      <c r="F11" s="84" t="s">
        <v>201</v>
      </c>
      <c r="G11" s="84" t="s">
        <v>183</v>
      </c>
      <c r="H11" s="84" t="s">
        <v>180</v>
      </c>
      <c r="I11" s="84" t="s">
        <v>164</v>
      </c>
      <c r="J11" s="84" t="s">
        <v>202</v>
      </c>
      <c r="K11" s="84" t="s">
        <v>203</v>
      </c>
    </row>
    <row r="12" spans="1:11" ht="21.75" customHeight="1">
      <c r="A12" s="69" t="str">
        <f>'TABLEAU DE BORD'!A4</f>
        <v>ART-001</v>
      </c>
      <c r="B12" s="28" t="str">
        <f>'TABLEAU DE BORD'!B4</f>
        <v>Toner imprimante G030 (noir)</v>
      </c>
      <c r="C12" s="27" t="str">
        <f>'TABLEAU DE BORD'!C4</f>
        <v>Informatique</v>
      </c>
      <c r="D12" s="85">
        <f>'TABLEAU DE BORD'!F4</f>
        <v>60</v>
      </c>
      <c r="E12" s="86" t="str">
        <f>'TABLEAU DE BORD'!G4</f>
        <v>A</v>
      </c>
      <c r="F12" s="86" t="str">
        <f>'TABLEAU DE BORD'!J4</f>
        <v>A</v>
      </c>
      <c r="G12" s="69" t="str">
        <f>'TABLEAU DE BORD'!K4</f>
        <v>&gt;&gt; COMMANDER</v>
      </c>
      <c r="H12" s="87">
        <f>'TABLEAU DE BORD'!H4</f>
        <v>0</v>
      </c>
      <c r="I12" s="88">
        <f>'TABLEAU DE BORD'!I4</f>
        <v>0</v>
      </c>
      <c r="J12" s="89" t="str">
        <f>IF('TABLEAU DE BORD'!K4="!! RUPTURE","1 — CRITIQUE",IF('TABLEAU DE BORD'!K4="&gt;&gt; COMMANDER","2 — URGENT",IF('TABLEAU DE BORD'!K4="~ ALERTE","3 — ATTENTION","4 — Normal")))</f>
        <v>2 — URGENT</v>
      </c>
      <c r="K12" s="90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📋 Émettre BC maintenant (stock ≤ ROP)</v>
      </c>
    </row>
    <row r="13" spans="1:11" ht="21.75" customHeight="1">
      <c r="A13" s="69" t="str">
        <f>'TABLEAU DE BORD'!A5</f>
        <v>ART-002</v>
      </c>
      <c r="B13" s="91" t="str">
        <f>'TABLEAU DE BORD'!B5</f>
        <v>Rame papier A4 80g/m2</v>
      </c>
      <c r="C13" s="92" t="str">
        <f>'TABLEAU DE BORD'!C5</f>
        <v>Fournitures Bureau</v>
      </c>
      <c r="D13" s="85">
        <f>'TABLEAU DE BORD'!F5</f>
        <v>22</v>
      </c>
      <c r="E13" s="58" t="str">
        <f>'TABLEAU DE BORD'!G5</f>
        <v>B</v>
      </c>
      <c r="F13" s="58" t="str">
        <f>'TABLEAU DE BORD'!J5</f>
        <v>B</v>
      </c>
      <c r="G13" s="69" t="str">
        <f>'TABLEAU DE BORD'!K5</f>
        <v>&gt;&gt; COMMANDER</v>
      </c>
      <c r="H13" s="93">
        <f>'TABLEAU DE BORD'!H5</f>
        <v>0</v>
      </c>
      <c r="I13" s="94">
        <f>'TABLEAU DE BORD'!I5</f>
        <v>0</v>
      </c>
      <c r="J13" s="89" t="str">
        <f>IF('TABLEAU DE BORD'!K5="!! RUPTURE","1 — CRITIQUE",IF('TABLEAU DE BORD'!K5="&gt;&gt; COMMANDER","2 — URGENT",IF('TABLEAU DE BORD'!K5="~ ALERTE","3 — ATTENTION","4 — Normal")))</f>
        <v>2 — URGENT</v>
      </c>
      <c r="K13" s="90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📋 Émettre BC maintenant (stock ≤ ROP)</v>
      </c>
    </row>
    <row r="14" spans="1:11" ht="21.75" customHeight="1">
      <c r="A14" s="69" t="str">
        <f>'TABLEAU DE BORD'!A6</f>
        <v>ART-003</v>
      </c>
      <c r="B14" s="28" t="str">
        <f>'TABLEAU DE BORD'!B6</f>
        <v>Rame papier A3 80g/m2</v>
      </c>
      <c r="C14" s="27" t="str">
        <f>'TABLEAU DE BORD'!C6</f>
        <v>Fournitures Bureau</v>
      </c>
      <c r="D14" s="85">
        <f>'TABLEAU DE BORD'!F6</f>
        <v>11</v>
      </c>
      <c r="E14" s="86" t="str">
        <f>'TABLEAU DE BORD'!G6</f>
        <v>B</v>
      </c>
      <c r="F14" s="86" t="str">
        <f>'TABLEAU DE BORD'!J6</f>
        <v>B</v>
      </c>
      <c r="G14" s="69" t="str">
        <f>'TABLEAU DE BORD'!K6</f>
        <v>&gt;&gt; COMMANDER</v>
      </c>
      <c r="H14" s="87">
        <f>'TABLEAU DE BORD'!H6</f>
        <v>0</v>
      </c>
      <c r="I14" s="88">
        <f>'TABLEAU DE BORD'!I6</f>
        <v>0</v>
      </c>
      <c r="J14" s="89" t="str">
        <f>IF('TABLEAU DE BORD'!K6="!! RUPTURE","1 — CRITIQUE",IF('TABLEAU DE BORD'!K6="&gt;&gt; COMMANDER","2 — URGENT",IF('TABLEAU DE BORD'!K6="~ ALERTE","3 — ATTENTION","4 — Normal")))</f>
        <v>2 — URGENT</v>
      </c>
      <c r="K14" s="90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69" t="str">
        <f>'TABLEAU DE BORD'!A7</f>
        <v>ART-004</v>
      </c>
      <c r="B15" s="91" t="str">
        <f>'TABLEAU DE BORD'!B7</f>
        <v>Boite archives carton</v>
      </c>
      <c r="C15" s="92" t="str">
        <f>'TABLEAU DE BORD'!C7</f>
        <v>Admin</v>
      </c>
      <c r="D15" s="85">
        <f>'TABLEAU DE BORD'!F7</f>
        <v>0</v>
      </c>
      <c r="E15" s="58" t="str">
        <f>'TABLEAU DE BORD'!G7</f>
        <v>B</v>
      </c>
      <c r="F15" s="58" t="str">
        <f>'TABLEAU DE BORD'!J7</f>
        <v>B</v>
      </c>
      <c r="G15" s="69" t="str">
        <f>'TABLEAU DE BORD'!K7</f>
        <v>!! RUPTURE</v>
      </c>
      <c r="H15" s="93">
        <f>'TABLEAU DE BORD'!H7</f>
        <v>0</v>
      </c>
      <c r="I15" s="94">
        <f>'TABLEAU DE BORD'!I7</f>
        <v>0</v>
      </c>
      <c r="J15" s="89" t="str">
        <f>IF('TABLEAU DE BORD'!K7="!! RUPTURE","1 — CRITIQUE",IF('TABLEAU DE BORD'!K7="&gt;&gt; COMMANDER","2 — URGENT",IF('TABLEAU DE BORD'!K7="~ ALERTE","3 — ATTENTION","4 — Normal")))</f>
        <v>1 — CRITIQUE</v>
      </c>
      <c r="K15" s="90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⛔ BLOQUER sorties — Lancer BC immédiatement</v>
      </c>
    </row>
    <row r="16" spans="1:11" ht="21.75" customHeight="1">
      <c r="A16" s="69" t="str">
        <f>'TABLEAU DE BORD'!A8</f>
        <v>ART-005</v>
      </c>
      <c r="B16" s="28" t="str">
        <f>'TABLEAU DE BORD'!B8</f>
        <v>Agrafeuse de bureau</v>
      </c>
      <c r="C16" s="27" t="str">
        <f>'TABLEAU DE BORD'!C8</f>
        <v>Fournitures Bureau</v>
      </c>
      <c r="D16" s="85">
        <f>'TABLEAU DE BORD'!F8</f>
        <v>-13</v>
      </c>
      <c r="E16" s="86" t="str">
        <f>'TABLEAU DE BORD'!G8</f>
        <v>C</v>
      </c>
      <c r="F16" s="86" t="str">
        <f>'TABLEAU DE BORD'!J8</f>
        <v>C</v>
      </c>
      <c r="G16" s="69" t="str">
        <f>'TABLEAU DE BORD'!K8</f>
        <v>&gt;&gt; COMMANDER</v>
      </c>
      <c r="H16" s="87">
        <f>'TABLEAU DE BORD'!H8</f>
        <v>0</v>
      </c>
      <c r="I16" s="88">
        <f>'TABLEAU DE BORD'!I8</f>
        <v>0</v>
      </c>
      <c r="J16" s="89" t="str">
        <f>IF('TABLEAU DE BORD'!K8="!! RUPTURE","1 — CRITIQUE",IF('TABLEAU DE BORD'!K8="&gt;&gt; COMMANDER","2 — URGENT",IF('TABLEAU DE BORD'!K8="~ ALERTE","3 — ATTENTION","4 — Normal")))</f>
        <v>2 — URGENT</v>
      </c>
      <c r="K16" s="90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📋 Émettre BC maintenant (stock ≤ ROP)</v>
      </c>
    </row>
    <row r="17" spans="1:11" ht="21.75" customHeight="1">
      <c r="A17" s="69" t="str">
        <f>'TABLEAU DE BORD'!A9</f>
        <v>ART-006</v>
      </c>
      <c r="B17" s="91" t="str">
        <f>'TABLEAU DE BORD'!B9</f>
        <v>Stylos bille boite/50</v>
      </c>
      <c r="C17" s="92" t="str">
        <f>'TABLEAU DE BORD'!C9</f>
        <v>Fournitures Bureau</v>
      </c>
      <c r="D17" s="85">
        <f>'TABLEAU DE BORD'!F9</f>
        <v>-22</v>
      </c>
      <c r="E17" s="58" t="str">
        <f>'TABLEAU DE BORD'!G9</f>
        <v>B</v>
      </c>
      <c r="F17" s="58" t="str">
        <f>'TABLEAU DE BORD'!J9</f>
        <v>B</v>
      </c>
      <c r="G17" s="69" t="str">
        <f>'TABLEAU DE BORD'!K9</f>
        <v>&gt;&gt; COMMANDER</v>
      </c>
      <c r="H17" s="93">
        <f>'TABLEAU DE BORD'!H9</f>
        <v>0</v>
      </c>
      <c r="I17" s="94">
        <f>'TABLEAU DE BORD'!I9</f>
        <v>0</v>
      </c>
      <c r="J17" s="89" t="str">
        <f>IF('TABLEAU DE BORD'!K9="!! RUPTURE","1 — CRITIQUE",IF('TABLEAU DE BORD'!K9="&gt;&gt; COMMANDER","2 — URGENT",IF('TABLEAU DE BORD'!K9="~ ALERTE","3 — ATTENTION","4 — Normal")))</f>
        <v>2 — URGENT</v>
      </c>
      <c r="K17" s="90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📋 Émettre BC maintenant (stock ≤ ROP)</v>
      </c>
    </row>
    <row r="18" spans="1:11" ht="21.75" customHeight="1">
      <c r="A18" s="69" t="str">
        <f>'TABLEAU DE BORD'!A10</f>
        <v>ART-007</v>
      </c>
      <c r="B18" s="28" t="str">
        <f>'TABLEAU DE BORD'!B10</f>
        <v>Registre grand format 5m</v>
      </c>
      <c r="C18" s="27" t="str">
        <f>'TABLEAU DE BORD'!C10</f>
        <v>Admin</v>
      </c>
      <c r="D18" s="85">
        <f>'TABLEAU DE BORD'!F10</f>
        <v>-22</v>
      </c>
      <c r="E18" s="86" t="str">
        <f>'TABLEAU DE BORD'!G10</f>
        <v>C</v>
      </c>
      <c r="F18" s="86" t="str">
        <f>'TABLEAU DE BORD'!J10</f>
        <v>C</v>
      </c>
      <c r="G18" s="69" t="str">
        <f>'TABLEAU DE BORD'!K10</f>
        <v>&gt;&gt; COMMANDER</v>
      </c>
      <c r="H18" s="87">
        <f>'TABLEAU DE BORD'!H10</f>
        <v>0</v>
      </c>
      <c r="I18" s="88">
        <f>'TABLEAU DE BORD'!I10</f>
        <v>0</v>
      </c>
      <c r="J18" s="89" t="str">
        <f>IF('TABLEAU DE BORD'!K10="!! RUPTURE","1 — CRITIQUE",IF('TABLEAU DE BORD'!K10="&gt;&gt; COMMANDER","2 — URGENT",IF('TABLEAU DE BORD'!K10="~ ALERTE","3 — ATTENTION","4 — Normal")))</f>
        <v>2 — URGENT</v>
      </c>
      <c r="K18" s="90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📋 Émettre BC maintenant (stock ≤ ROP)</v>
      </c>
    </row>
    <row r="19" spans="1:11" ht="21.75" customHeight="1">
      <c r="A19" s="69" t="str">
        <f>'TABLEAU DE BORD'!A11</f>
        <v>ART-008</v>
      </c>
      <c r="B19" s="91" t="str">
        <f>'TABLEAU DE BORD'!B11</f>
        <v>Encre tampon</v>
      </c>
      <c r="C19" s="92" t="str">
        <f>'TABLEAU DE BORD'!C11</f>
        <v>Fournitures Bureau</v>
      </c>
      <c r="D19" s="85">
        <f>'TABLEAU DE BORD'!F11</f>
        <v>-8</v>
      </c>
      <c r="E19" s="58" t="str">
        <f>'TABLEAU DE BORD'!G11</f>
        <v>C</v>
      </c>
      <c r="F19" s="58" t="str">
        <f>'TABLEAU DE BORD'!J11</f>
        <v>C</v>
      </c>
      <c r="G19" s="69" t="str">
        <f>'TABLEAU DE BORD'!K11</f>
        <v>&gt;&gt; COMMANDER</v>
      </c>
      <c r="H19" s="93">
        <f>'TABLEAU DE BORD'!H11</f>
        <v>0</v>
      </c>
      <c r="I19" s="94">
        <f>'TABLEAU DE BORD'!I11</f>
        <v>0</v>
      </c>
      <c r="J19" s="89" t="str">
        <f>IF('TABLEAU DE BORD'!K11="!! RUPTURE","1 — CRITIQUE",IF('TABLEAU DE BORD'!K11="&gt;&gt; COMMANDER","2 — URGENT",IF('TABLEAU DE BORD'!K11="~ ALERTE","3 — ATTENTION","4 — Normal")))</f>
        <v>2 — URGENT</v>
      </c>
      <c r="K19" s="90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📋 Émettre BC maintenant (stock ≤ ROP)</v>
      </c>
    </row>
    <row r="20" spans="1:11" ht="21.75" customHeight="1">
      <c r="A20" s="69" t="str">
        <f>'TABLEAU DE BORD'!A12</f>
        <v>ART-009</v>
      </c>
      <c r="B20" s="28" t="str">
        <f>'TABLEAU DE BORD'!B12</f>
        <v>Sous-chemise carton</v>
      </c>
      <c r="C20" s="27" t="str">
        <f>'TABLEAU DE BORD'!C12</f>
        <v>Fournitures Bureau</v>
      </c>
      <c r="D20" s="85">
        <f>'TABLEAU DE BORD'!F12</f>
        <v>-25</v>
      </c>
      <c r="E20" s="86" t="str">
        <f>'TABLEAU DE BORD'!G12</f>
        <v>C</v>
      </c>
      <c r="F20" s="86" t="str">
        <f>'TABLEAU DE BORD'!J12</f>
        <v>C</v>
      </c>
      <c r="G20" s="69" t="str">
        <f>'TABLEAU DE BORD'!K12</f>
        <v>&gt;&gt; COMMANDER</v>
      </c>
      <c r="H20" s="87">
        <f>'TABLEAU DE BORD'!H12</f>
        <v>0</v>
      </c>
      <c r="I20" s="88">
        <f>'TABLEAU DE BORD'!I12</f>
        <v>0</v>
      </c>
      <c r="J20" s="89" t="str">
        <f>IF('TABLEAU DE BORD'!K12="!! RUPTURE","1 — CRITIQUE",IF('TABLEAU DE BORD'!K12="&gt;&gt; COMMANDER","2 — URGENT",IF('TABLEAU DE BORD'!K12="~ ALERTE","3 — ATTENTION","4 — Normal")))</f>
        <v>2 — URGENT</v>
      </c>
      <c r="K20" s="90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69" t="str">
        <f>'TABLEAU DE BORD'!A13</f>
        <v>ART-010</v>
      </c>
      <c r="B21" s="91" t="str">
        <f>'TABLEAU DE BORD'!B13</f>
        <v>Chemise cartonnee</v>
      </c>
      <c r="C21" s="92" t="str">
        <f>'TABLEAU DE BORD'!C13</f>
        <v>Fournitures Bureau</v>
      </c>
      <c r="D21" s="85">
        <f>'TABLEAU DE BORD'!F13</f>
        <v>7</v>
      </c>
      <c r="E21" s="58" t="str">
        <f>'TABLEAU DE BORD'!G13</f>
        <v>C</v>
      </c>
      <c r="F21" s="58" t="str">
        <f>'TABLEAU DE BORD'!J13</f>
        <v>C</v>
      </c>
      <c r="G21" s="69" t="str">
        <f>'TABLEAU DE BORD'!K13</f>
        <v>&gt;&gt; COMMANDER</v>
      </c>
      <c r="H21" s="93">
        <f>'TABLEAU DE BORD'!H13</f>
        <v>0</v>
      </c>
      <c r="I21" s="94">
        <f>'TABLEAU DE BORD'!I13</f>
        <v>0</v>
      </c>
      <c r="J21" s="89" t="str">
        <f>IF('TABLEAU DE BORD'!K13="!! RUPTURE","1 — CRITIQUE",IF('TABLEAU DE BORD'!K13="&gt;&gt; COMMANDER","2 — URGENT",IF('TABLEAU DE BORD'!K13="~ ALERTE","3 — ATTENTION","4 — Normal")))</f>
        <v>2 — URGENT</v>
      </c>
      <c r="K21" s="90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📋 Émettre BC maintenant (stock ≤ ROP)</v>
      </c>
    </row>
    <row r="22" spans="1:11" ht="21.75" customHeight="1">
      <c r="A22" s="69" t="str">
        <f>'TABLEAU DE BORD'!A14</f>
        <v>ART-011</v>
      </c>
      <c r="B22" s="28" t="str">
        <f>'TABLEAU DE BORD'!B14</f>
        <v>Rouleau papier fax</v>
      </c>
      <c r="C22" s="27" t="str">
        <f>'TABLEAU DE BORD'!C14</f>
        <v>Informatique</v>
      </c>
      <c r="D22" s="85">
        <f>'TABLEAU DE BORD'!F14</f>
        <v>-5</v>
      </c>
      <c r="E22" s="86" t="str">
        <f>'TABLEAU DE BORD'!G14</f>
        <v>C</v>
      </c>
      <c r="F22" s="86" t="str">
        <f>'TABLEAU DE BORD'!J14</f>
        <v>C</v>
      </c>
      <c r="G22" s="69" t="str">
        <f>'TABLEAU DE BORD'!K14</f>
        <v>&gt;&gt; COMMANDER</v>
      </c>
      <c r="H22" s="87">
        <f>'TABLEAU DE BORD'!H14</f>
        <v>0</v>
      </c>
      <c r="I22" s="88">
        <f>'TABLEAU DE BORD'!I14</f>
        <v>0</v>
      </c>
      <c r="J22" s="89" t="str">
        <f>IF('TABLEAU DE BORD'!K14="!! RUPTURE","1 — CRITIQUE",IF('TABLEAU DE BORD'!K14="&gt;&gt; COMMANDER","2 — URGENT",IF('TABLEAU DE BORD'!K14="~ ALERTE","3 — ATTENTION","4 — Normal")))</f>
        <v>2 — URGENT</v>
      </c>
      <c r="K22" s="90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📋 Émettre BC maintenant (stock ≤ ROP)</v>
      </c>
    </row>
    <row r="23" spans="1:11" ht="21.75" customHeight="1">
      <c r="A23" s="69" t="str">
        <f>'TABLEAU DE BORD'!A15</f>
        <v>ART-012</v>
      </c>
      <c r="B23" s="91" t="str">
        <f>'TABLEAU DE BORD'!B15</f>
        <v>Marqueur permanent noir</v>
      </c>
      <c r="C23" s="92" t="str">
        <f>'TABLEAU DE BORD'!C15</f>
        <v>Fournitures Bureau</v>
      </c>
      <c r="D23" s="85">
        <f>'TABLEAU DE BORD'!F15</f>
        <v>-30</v>
      </c>
      <c r="E23" s="58" t="str">
        <f>'TABLEAU DE BORD'!G15</f>
        <v>C</v>
      </c>
      <c r="F23" s="58" t="str">
        <f>'TABLEAU DE BORD'!J15</f>
        <v>C</v>
      </c>
      <c r="G23" s="69" t="str">
        <f>'TABLEAU DE BORD'!K15</f>
        <v>&gt;&gt; COMMANDER</v>
      </c>
      <c r="H23" s="93">
        <f>'TABLEAU DE BORD'!H15</f>
        <v>0</v>
      </c>
      <c r="I23" s="94">
        <f>'TABLEAU DE BORD'!I15</f>
        <v>0</v>
      </c>
      <c r="J23" s="89" t="str">
        <f>IF('TABLEAU DE BORD'!K15="!! RUPTURE","1 — CRITIQUE",IF('TABLEAU DE BORD'!K15="&gt;&gt; COMMANDER","2 — URGENT",IF('TABLEAU DE BORD'!K15="~ ALERTE","3 — ATTENTION","4 — Normal")))</f>
        <v>2 — URGENT</v>
      </c>
      <c r="K23" s="90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📋 Émettre BC maintenant (stock ≤ ROP)</v>
      </c>
    </row>
    <row r="25" spans="1:11" ht="15" customHeight="1">
      <c r="A25" s="215" t="s">
        <v>204</v>
      </c>
      <c r="B25" s="187"/>
      <c r="C25" s="187"/>
      <c r="D25" s="187"/>
      <c r="E25" s="187"/>
      <c r="F25" s="187"/>
      <c r="G25" s="187"/>
      <c r="H25" s="187"/>
      <c r="I25" s="187"/>
      <c r="J25" s="187"/>
      <c r="K25" s="187"/>
    </row>
  </sheetData>
  <sheetProtection algorithmName="SHA-512" hashValue="5gaAJ3UISN2YiLh5/k7G0BRFsqD5LptUnHaMwv74lWEZqVjyenI86IN7VyNy7PENFnq4U2LW0zqyKFWpmk/1ug==" saltValue="EVWQKhT8PYzgkqudop/OLw==" spinCount="100000" sheet="1" objects="1" scenarios="1" autoFilter="0"/>
  <mergeCells count="18"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  <mergeCell ref="A25:K25"/>
    <mergeCell ref="A6:C6"/>
    <mergeCell ref="J7:K7"/>
    <mergeCell ref="A10:K10"/>
    <mergeCell ref="D6:F6"/>
    <mergeCell ref="A7:C7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31" t="s">
        <v>205</v>
      </c>
      <c r="B1" s="187"/>
      <c r="C1" s="187"/>
      <c r="D1" s="187"/>
      <c r="E1" s="187"/>
      <c r="F1" s="187"/>
      <c r="G1" s="187"/>
    </row>
    <row r="2" spans="1:7" ht="39.75" customHeight="1">
      <c r="A2" s="95" t="s">
        <v>72</v>
      </c>
      <c r="B2" s="95" t="s">
        <v>175</v>
      </c>
      <c r="C2" s="95" t="s">
        <v>206</v>
      </c>
      <c r="D2" s="95" t="s">
        <v>207</v>
      </c>
      <c r="E2" s="95" t="s">
        <v>208</v>
      </c>
      <c r="F2" s="95" t="s">
        <v>209</v>
      </c>
      <c r="G2" s="95" t="s">
        <v>183</v>
      </c>
    </row>
    <row r="3" spans="1:7" ht="15" customHeight="1">
      <c r="A3" s="96" t="s">
        <v>52</v>
      </c>
      <c r="B3" s="28" t="str">
        <f>IFERROR(VLOOKUP(A3,ARTICLES!$A$2:$B$485,2,0),"")</f>
        <v>Toner imprimante G030 (noir)</v>
      </c>
      <c r="C3" s="86">
        <f>SUMIFS(MOUVEMENTS!$E$3:$E$461,MOUVEMENTS!$B$3:$B$461,A3,MOUVEMENTS!$D$3:$D$461,"IN")-SUMIFS(MOUVEMENTS!$E$3:$E$461,MOUVEMENTS!$B$3:$B$461,A3,MOUVEMENTS!$D$3:$D$461,"OUT")</f>
        <v>60</v>
      </c>
      <c r="D3" s="86"/>
      <c r="E3" s="86">
        <f t="shared" ref="E3:E14" si="0">IFERROR(D3-C3,"—")</f>
        <v>-60</v>
      </c>
      <c r="F3" s="97">
        <f t="shared" ref="F3:F14" si="1">IFERROR(E3/C3,"—")</f>
        <v>-1</v>
      </c>
      <c r="G3" s="96" t="str">
        <f t="shared" ref="G3:G14" si="2">IF(D3="","⏳ À compter",IF(E3=0,"✔ Conforme",IF(ABS(E3)&gt;0,"⚠ Écart","—")))</f>
        <v>⏳ À compter</v>
      </c>
    </row>
    <row r="4" spans="1:7" ht="15" customHeight="1">
      <c r="A4" s="98" t="s">
        <v>55</v>
      </c>
      <c r="B4" s="91" t="str">
        <f>IFERROR(VLOOKUP(A4,ARTICLES!$A$2:$B$485,2,0),"")</f>
        <v>Rame papier A4 80g/m2</v>
      </c>
      <c r="C4" s="58">
        <f>SUMIFS(MOUVEMENTS!$E$3:$E$461,MOUVEMENTS!$B$3:$B$461,A4,MOUVEMENTS!$D$3:$D$461,"IN")-SUMIFS(MOUVEMENTS!$E$3:$E$461,MOUVEMENTS!$B$3:$B$461,A4,MOUVEMENTS!$D$3:$D$461,"OUT")</f>
        <v>22</v>
      </c>
      <c r="D4" s="58"/>
      <c r="E4" s="58">
        <f t="shared" si="0"/>
        <v>-22</v>
      </c>
      <c r="F4" s="99">
        <f t="shared" si="1"/>
        <v>-1</v>
      </c>
      <c r="G4" s="98" t="str">
        <f t="shared" si="2"/>
        <v>⏳ À compter</v>
      </c>
    </row>
    <row r="5" spans="1:7" ht="15" customHeight="1">
      <c r="A5" s="96" t="s">
        <v>58</v>
      </c>
      <c r="B5" s="28" t="str">
        <f>IFERROR(VLOOKUP(A5,ARTICLES!$A$2:$B$485,2,0),"")</f>
        <v>Rame papier A3 80g/m2</v>
      </c>
      <c r="C5" s="86">
        <f>SUMIFS(MOUVEMENTS!$E$3:$E$461,MOUVEMENTS!$B$3:$B$461,A5,MOUVEMENTS!$D$3:$D$461,"IN")-SUMIFS(MOUVEMENTS!$E$3:$E$461,MOUVEMENTS!$B$3:$B$461,A5,MOUVEMENTS!$D$3:$D$461,"OUT")</f>
        <v>11</v>
      </c>
      <c r="D5" s="86"/>
      <c r="E5" s="86">
        <f t="shared" si="0"/>
        <v>-11</v>
      </c>
      <c r="F5" s="97">
        <f t="shared" si="1"/>
        <v>-1</v>
      </c>
      <c r="G5" s="96" t="str">
        <f t="shared" si="2"/>
        <v>⏳ À compter</v>
      </c>
    </row>
    <row r="6" spans="1:7" ht="15" customHeight="1">
      <c r="A6" s="98" t="s">
        <v>59</v>
      </c>
      <c r="B6" s="91" t="str">
        <f>IFERROR(VLOOKUP(A6,ARTICLES!$A$2:$B$485,2,0),"")</f>
        <v>Boite archives carton</v>
      </c>
      <c r="C6" s="58">
        <f>SUMIFS(MOUVEMENTS!$E$3:$E$461,MOUVEMENTS!$B$3:$B$461,A6,MOUVEMENTS!$D$3:$D$461,"IN")-SUMIFS(MOUVEMENTS!$E$3:$E$461,MOUVEMENTS!$B$3:$B$461,A6,MOUVEMENTS!$D$3:$D$461,"OUT")</f>
        <v>0</v>
      </c>
      <c r="D6" s="58"/>
      <c r="E6" s="58">
        <f t="shared" si="0"/>
        <v>0</v>
      </c>
      <c r="F6" s="99" t="str">
        <f t="shared" si="1"/>
        <v>—</v>
      </c>
      <c r="G6" s="98" t="str">
        <f t="shared" si="2"/>
        <v>⏳ À compter</v>
      </c>
    </row>
    <row r="7" spans="1:7" ht="15" customHeight="1">
      <c r="A7" s="96" t="s">
        <v>61</v>
      </c>
      <c r="B7" s="28" t="str">
        <f>IFERROR(VLOOKUP(A7,ARTICLES!$A$2:$B$485,2,0),"")</f>
        <v>Agrafeuse de bureau</v>
      </c>
      <c r="C7" s="86">
        <f>SUMIFS(MOUVEMENTS!$E$3:$E$461,MOUVEMENTS!$B$3:$B$461,A7,MOUVEMENTS!$D$3:$D$461,"IN")-SUMIFS(MOUVEMENTS!$E$3:$E$461,MOUVEMENTS!$B$3:$B$461,A7,MOUVEMENTS!$D$3:$D$461,"OUT")</f>
        <v>-13</v>
      </c>
      <c r="D7" s="86"/>
      <c r="E7" s="86">
        <f t="shared" si="0"/>
        <v>13</v>
      </c>
      <c r="F7" s="97">
        <f t="shared" si="1"/>
        <v>-1</v>
      </c>
      <c r="G7" s="96" t="str">
        <f t="shared" si="2"/>
        <v>⏳ À compter</v>
      </c>
    </row>
    <row r="8" spans="1:7" ht="15" customHeight="1">
      <c r="A8" s="98" t="s">
        <v>63</v>
      </c>
      <c r="B8" s="91" t="str">
        <f>IFERROR(VLOOKUP(A8,ARTICLES!$A$2:$B$485,2,0),"")</f>
        <v>Stylos bille boite/50</v>
      </c>
      <c r="C8" s="58">
        <f>SUMIFS(MOUVEMENTS!$E$3:$E$461,MOUVEMENTS!$B$3:$B$461,A8,MOUVEMENTS!$D$3:$D$461,"IN")-SUMIFS(MOUVEMENTS!$E$3:$E$461,MOUVEMENTS!$B$3:$B$461,A8,MOUVEMENTS!$D$3:$D$461,"OUT")</f>
        <v>-22</v>
      </c>
      <c r="D8" s="58"/>
      <c r="E8" s="58">
        <f t="shared" si="0"/>
        <v>22</v>
      </c>
      <c r="F8" s="99">
        <f t="shared" si="1"/>
        <v>-1</v>
      </c>
      <c r="G8" s="98" t="str">
        <f t="shared" si="2"/>
        <v>⏳ À compter</v>
      </c>
    </row>
    <row r="9" spans="1:7" ht="15" customHeight="1">
      <c r="A9" s="96" t="s">
        <v>64</v>
      </c>
      <c r="B9" s="28" t="str">
        <f>IFERROR(VLOOKUP(A9,ARTICLES!$A$2:$B$485,2,0),"")</f>
        <v>Registre grand format 5m</v>
      </c>
      <c r="C9" s="86">
        <f>SUMIFS(MOUVEMENTS!$E$3:$E$461,MOUVEMENTS!$B$3:$B$461,A9,MOUVEMENTS!$D$3:$D$461,"IN")-SUMIFS(MOUVEMENTS!$E$3:$E$461,MOUVEMENTS!$B$3:$B$461,A9,MOUVEMENTS!$D$3:$D$461,"OUT")</f>
        <v>-22</v>
      </c>
      <c r="D9" s="86"/>
      <c r="E9" s="86">
        <f t="shared" si="0"/>
        <v>22</v>
      </c>
      <c r="F9" s="97">
        <f t="shared" si="1"/>
        <v>-1</v>
      </c>
      <c r="G9" s="96" t="str">
        <f t="shared" si="2"/>
        <v>⏳ À compter</v>
      </c>
    </row>
    <row r="10" spans="1:7" ht="15" customHeight="1">
      <c r="A10" s="98" t="s">
        <v>66</v>
      </c>
      <c r="B10" s="91" t="str">
        <f>IFERROR(VLOOKUP(A10,ARTICLES!$A$2:$B$485,2,0),"")</f>
        <v>Encre tampon</v>
      </c>
      <c r="C10" s="58">
        <f>SUMIFS(MOUVEMENTS!$E$3:$E$461,MOUVEMENTS!$B$3:$B$461,A10,MOUVEMENTS!$D$3:$D$461,"IN")-SUMIFS(MOUVEMENTS!$E$3:$E$461,MOUVEMENTS!$B$3:$B$461,A10,MOUVEMENTS!$D$3:$D$461,"OUT")</f>
        <v>-8</v>
      </c>
      <c r="D10" s="58"/>
      <c r="E10" s="58">
        <f t="shared" si="0"/>
        <v>8</v>
      </c>
      <c r="F10" s="99">
        <f t="shared" si="1"/>
        <v>-1</v>
      </c>
      <c r="G10" s="98" t="str">
        <f t="shared" si="2"/>
        <v>⏳ À compter</v>
      </c>
    </row>
    <row r="11" spans="1:7" ht="15" customHeight="1">
      <c r="A11" s="96" t="s">
        <v>67</v>
      </c>
      <c r="B11" s="28" t="str">
        <f>IFERROR(VLOOKUP(A11,ARTICLES!$A$2:$B$485,2,0),"")</f>
        <v>Sous-chemise carton</v>
      </c>
      <c r="C11" s="86">
        <f>SUMIFS(MOUVEMENTS!$E$3:$E$461,MOUVEMENTS!$B$3:$B$461,A11,MOUVEMENTS!$D$3:$D$461,"IN")-SUMIFS(MOUVEMENTS!$E$3:$E$461,MOUVEMENTS!$B$3:$B$461,A11,MOUVEMENTS!$D$3:$D$461,"OUT")</f>
        <v>-25</v>
      </c>
      <c r="D11" s="86"/>
      <c r="E11" s="86">
        <f t="shared" si="0"/>
        <v>25</v>
      </c>
      <c r="F11" s="97">
        <f t="shared" si="1"/>
        <v>-1</v>
      </c>
      <c r="G11" s="96" t="str">
        <f t="shared" si="2"/>
        <v>⏳ À compter</v>
      </c>
    </row>
    <row r="12" spans="1:7" ht="15" customHeight="1">
      <c r="A12" s="98" t="s">
        <v>68</v>
      </c>
      <c r="B12" s="91" t="str">
        <f>IFERROR(VLOOKUP(A12,ARTICLES!$A$2:$B$485,2,0),"")</f>
        <v>Chemise cartonnee</v>
      </c>
      <c r="C12" s="58">
        <f>SUMIFS(MOUVEMENTS!$E$3:$E$461,MOUVEMENTS!$B$3:$B$461,A12,MOUVEMENTS!$D$3:$D$461,"IN")-SUMIFS(MOUVEMENTS!$E$3:$E$461,MOUVEMENTS!$B$3:$B$461,A12,MOUVEMENTS!$D$3:$D$461,"OUT")</f>
        <v>7</v>
      </c>
      <c r="D12" s="58"/>
      <c r="E12" s="58">
        <f t="shared" si="0"/>
        <v>-7</v>
      </c>
      <c r="F12" s="99">
        <f t="shared" si="1"/>
        <v>-1</v>
      </c>
      <c r="G12" s="98" t="str">
        <f t="shared" si="2"/>
        <v>⏳ À compter</v>
      </c>
    </row>
    <row r="13" spans="1:7" ht="15" customHeight="1">
      <c r="A13" s="96" t="s">
        <v>69</v>
      </c>
      <c r="B13" s="28" t="str">
        <f>IFERROR(VLOOKUP(A13,ARTICLES!$A$2:$B$485,2,0),"")</f>
        <v>Rouleau papier fax</v>
      </c>
      <c r="C13" s="86">
        <f>SUMIFS(MOUVEMENTS!$E$3:$E$461,MOUVEMENTS!$B$3:$B$461,A13,MOUVEMENTS!$D$3:$D$461,"IN")-SUMIFS(MOUVEMENTS!$E$3:$E$461,MOUVEMENTS!$B$3:$B$461,A13,MOUVEMENTS!$D$3:$D$461,"OUT")</f>
        <v>-5</v>
      </c>
      <c r="D13" s="86"/>
      <c r="E13" s="86">
        <f t="shared" si="0"/>
        <v>5</v>
      </c>
      <c r="F13" s="97">
        <f t="shared" si="1"/>
        <v>-1</v>
      </c>
      <c r="G13" s="96" t="str">
        <f t="shared" si="2"/>
        <v>⏳ À compter</v>
      </c>
    </row>
    <row r="14" spans="1:7" ht="15" customHeight="1">
      <c r="A14" s="98" t="s">
        <v>70</v>
      </c>
      <c r="B14" s="91" t="str">
        <f>IFERROR(VLOOKUP(A14,ARTICLES!$A$2:$B$485,2,0),"")</f>
        <v>Marqueur permanent noir</v>
      </c>
      <c r="C14" s="58">
        <f>SUMIFS(MOUVEMENTS!$E$3:$E$461,MOUVEMENTS!$B$3:$B$461,A14,MOUVEMENTS!$D$3:$D$461,"IN")-SUMIFS(MOUVEMENTS!$E$3:$E$461,MOUVEMENTS!$B$3:$B$461,A14,MOUVEMENTS!$D$3:$D$461,"OUT")</f>
        <v>-30</v>
      </c>
      <c r="D14" s="58"/>
      <c r="E14" s="58">
        <f t="shared" si="0"/>
        <v>30</v>
      </c>
      <c r="F14" s="99">
        <f t="shared" si="1"/>
        <v>-1</v>
      </c>
      <c r="G14" s="98" t="str">
        <f t="shared" si="2"/>
        <v>⏳ À compter</v>
      </c>
    </row>
    <row r="16" spans="1:7" ht="15" customHeight="1">
      <c r="A16" s="215" t="s">
        <v>210</v>
      </c>
      <c r="B16" s="187"/>
      <c r="C16" s="187"/>
      <c r="D16" s="187"/>
      <c r="E16" s="187"/>
      <c r="F16" s="187"/>
      <c r="G16" s="187"/>
    </row>
  </sheetData>
  <sheetProtection algorithmName="SHA-512" hashValue="mU68YU7VcnvpmNlCWNmxNP1BkJtbYj+jeF/NPmo1loKeUEMXHkJVyQjUgaDI6Otl8/QTxYK/nHzQ99oqvliaKw==" saltValue="i6Lp+/HanSBLyfvxBQC8tQ==" spinCount="100000" sheet="1" objects="1" scenarios="1" autoFilter="0"/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197" t="s">
        <v>211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36" t="s">
        <v>212</v>
      </c>
      <c r="B2" s="195"/>
      <c r="C2" s="195"/>
      <c r="D2" s="195"/>
      <c r="E2" s="195"/>
      <c r="F2" s="195"/>
      <c r="G2" s="195"/>
      <c r="H2" s="183"/>
    </row>
    <row r="4" spans="1:8" ht="24" customHeight="1">
      <c r="A4" s="233" t="s">
        <v>213</v>
      </c>
      <c r="B4" s="201"/>
      <c r="C4" s="201"/>
      <c r="D4" s="201"/>
      <c r="E4" s="201"/>
      <c r="F4" s="201"/>
      <c r="G4" s="201"/>
      <c r="H4" s="202"/>
    </row>
    <row r="5" spans="1:8" ht="21.75" customHeight="1">
      <c r="A5" s="100" t="s">
        <v>214</v>
      </c>
      <c r="B5" s="101">
        <f ca="1">TODAY()-7</f>
        <v>46152</v>
      </c>
      <c r="C5" s="102" t="s">
        <v>215</v>
      </c>
      <c r="D5" s="101">
        <f ca="1">TODAY()</f>
        <v>46159</v>
      </c>
      <c r="E5" s="234" t="s">
        <v>216</v>
      </c>
      <c r="F5" s="187"/>
      <c r="G5" s="187"/>
      <c r="H5" s="187"/>
    </row>
    <row r="6" spans="1:8" ht="31.5" customHeight="1">
      <c r="A6" s="103" t="s">
        <v>217</v>
      </c>
      <c r="B6" s="103" t="s">
        <v>218</v>
      </c>
      <c r="C6" s="103" t="s">
        <v>219</v>
      </c>
      <c r="D6" s="103" t="s">
        <v>220</v>
      </c>
      <c r="E6" s="103" t="s">
        <v>221</v>
      </c>
      <c r="F6" s="103" t="s">
        <v>222</v>
      </c>
      <c r="G6" s="103" t="s">
        <v>223</v>
      </c>
      <c r="H6" s="103" t="s">
        <v>224</v>
      </c>
    </row>
    <row r="7" spans="1:8" ht="18" customHeight="1">
      <c r="A7" s="104" t="s">
        <v>52</v>
      </c>
      <c r="B7" s="40" t="str">
        <f>IFERROR(VLOOKUP(A7,ARTICLES!$A$2:$B$485,2,0),"")</f>
        <v>Toner imprimante G030 (noir)</v>
      </c>
      <c r="C7" s="105" t="str">
        <f>IFERROR(VLOOKUP(A7,ARTICLES!$A$2:$E$485,5,0),"")</f>
        <v>Informatique</v>
      </c>
      <c r="D7" s="106">
        <f ca="1">IFERROR(SUMPRODUCT((MOUVEMENTS!$B$3:$B$461=A7)*(MOUVEMENTS!$D$3:$D$461="IN")*(MOUVEMENTS!$A$3:$A$461&gt;=B5)*(MOUVEMENTS!$A$3:$A$461&lt;=D5)*MOUVEMENTS!$E$3:$E$461),0)</f>
        <v>0</v>
      </c>
      <c r="E7" s="106">
        <f ca="1">IFERROR(SUMPRODUCT((MOUVEMENTS!$B$3:$B$461=A7)*(MOUVEMENTS!$D$3:$D$461="OUT")*(MOUVEMENTS!$A$3:$A$461&gt;=B5)*(MOUVEMENTS!$A$3:$A$461&lt;=D5)*MOUVEMENTS!$E$3:$E$461),0)</f>
        <v>0</v>
      </c>
      <c r="F7" s="107">
        <f t="shared" ref="F7:F18" ca="1" si="0">D7-E7</f>
        <v>0</v>
      </c>
      <c r="G7" s="106">
        <f ca="1">IFERROR(F7*VLOOKUP(A7,ARTICLES!$A$2:$G$485,7,0),0)</f>
        <v>0</v>
      </c>
      <c r="H7" s="104" t="str">
        <f t="shared" ref="H7:H18" ca="1" si="1">IF(F7&lt;0,"!! NÉGATIF",IF(F7=0,"!! RUPTURE","OK"))</f>
        <v>!! RUPTURE</v>
      </c>
    </row>
    <row r="8" spans="1:8" ht="18" customHeight="1">
      <c r="A8" s="108" t="s">
        <v>55</v>
      </c>
      <c r="B8" s="109" t="str">
        <f>IFERROR(VLOOKUP(A8,ARTICLES!$A$2:$B$485,2,0),"")</f>
        <v>Rame papier A4 80g/m2</v>
      </c>
      <c r="C8" s="110" t="str">
        <f>IFERROR(VLOOKUP(A8,ARTICLES!$A$2:$E$485,5,0),"")</f>
        <v>Fournitures Bureau</v>
      </c>
      <c r="D8" s="111">
        <f ca="1">IFERROR(SUMPRODUCT((MOUVEMENTS!$B$3:$B$461=A8)*(MOUVEMENTS!$D$3:$D$461="IN")*(MOUVEMENTS!$A$3:$A$461&gt;=B5)*(MOUVEMENTS!$A$3:$A$461&lt;=D5)*MOUVEMENTS!$E$3:$E$461),0)</f>
        <v>0</v>
      </c>
      <c r="E8" s="111">
        <f ca="1">IFERROR(SUMPRODUCT((MOUVEMENTS!$B$3:$B$461=A8)*(MOUVEMENTS!$D$3:$D$461="OUT")*(MOUVEMENTS!$A$3:$A$461&gt;=B5)*(MOUVEMENTS!$A$3:$A$461&lt;=D5)*MOUVEMENTS!$E$3:$E$461),0)</f>
        <v>0</v>
      </c>
      <c r="F8" s="112">
        <f t="shared" ca="1" si="0"/>
        <v>0</v>
      </c>
      <c r="G8" s="111">
        <f ca="1">IFERROR(F8*VLOOKUP(A8,ARTICLES!$A$2:$G$485,7,0),0)</f>
        <v>0</v>
      </c>
      <c r="H8" s="108" t="str">
        <f t="shared" ca="1" si="1"/>
        <v>!! RUPTURE</v>
      </c>
    </row>
    <row r="9" spans="1:8" ht="18" customHeight="1">
      <c r="A9" s="104" t="s">
        <v>58</v>
      </c>
      <c r="B9" s="40" t="str">
        <f>IFERROR(VLOOKUP(A9,ARTICLES!$A$2:$B$485,2,0),"")</f>
        <v>Rame papier A3 80g/m2</v>
      </c>
      <c r="C9" s="105" t="str">
        <f>IFERROR(VLOOKUP(A9,ARTICLES!$A$2:$E$485,5,0),"")</f>
        <v>Fournitures Bureau</v>
      </c>
      <c r="D9" s="106">
        <f ca="1">IFERROR(SUMPRODUCT((MOUVEMENTS!$B$3:$B$461=A9)*(MOUVEMENTS!$D$3:$D$461="IN")*(MOUVEMENTS!$A$3:$A$461&gt;=B5)*(MOUVEMENTS!$A$3:$A$461&lt;=D5)*MOUVEMENTS!$E$3:$E$461),0)</f>
        <v>0</v>
      </c>
      <c r="E9" s="106">
        <f ca="1">IFERROR(SUMPRODUCT((MOUVEMENTS!$B$3:$B$461=A9)*(MOUVEMENTS!$D$3:$D$461="OUT")*(MOUVEMENTS!$A$3:$A$461&gt;=B5)*(MOUVEMENTS!$A$3:$A$461&lt;=D5)*MOUVEMENTS!$E$3:$E$461),0)</f>
        <v>0</v>
      </c>
      <c r="F9" s="107">
        <f t="shared" ca="1" si="0"/>
        <v>0</v>
      </c>
      <c r="G9" s="106">
        <f ca="1">IFERROR(F9*VLOOKUP(A9,ARTICLES!$A$2:$G$485,7,0),0)</f>
        <v>0</v>
      </c>
      <c r="H9" s="104" t="str">
        <f t="shared" ca="1" si="1"/>
        <v>!! RUPTURE</v>
      </c>
    </row>
    <row r="10" spans="1:8" ht="18" customHeight="1">
      <c r="A10" s="108" t="s">
        <v>59</v>
      </c>
      <c r="B10" s="109" t="str">
        <f>IFERROR(VLOOKUP(A10,ARTICLES!$A$2:$B$485,2,0),"")</f>
        <v>Boite archives carton</v>
      </c>
      <c r="C10" s="110" t="str">
        <f>IFERROR(VLOOKUP(A10,ARTICLES!$A$2:$E$485,5,0),"")</f>
        <v>Admin</v>
      </c>
      <c r="D10" s="111">
        <f ca="1">IFERROR(SUMPRODUCT((MOUVEMENTS!$B$3:$B$461=A10)*(MOUVEMENTS!$D$3:$D$461="IN")*(MOUVEMENTS!$A$3:$A$461&gt;=B5)*(MOUVEMENTS!$A$3:$A$461&lt;=D5)*MOUVEMENTS!$E$3:$E$461),0)</f>
        <v>0</v>
      </c>
      <c r="E10" s="111">
        <f ca="1">IFERROR(SUMPRODUCT((MOUVEMENTS!$B$3:$B$461=A10)*(MOUVEMENTS!$D$3:$D$461="OUT")*(MOUVEMENTS!$A$3:$A$461&gt;=B5)*(MOUVEMENTS!$A$3:$A$461&lt;=D5)*MOUVEMENTS!$E$3:$E$461),0)</f>
        <v>0</v>
      </c>
      <c r="F10" s="112">
        <f t="shared" ca="1" si="0"/>
        <v>0</v>
      </c>
      <c r="G10" s="111">
        <f ca="1">IFERROR(F10*VLOOKUP(A10,ARTICLES!$A$2:$G$485,7,0),0)</f>
        <v>0</v>
      </c>
      <c r="H10" s="108" t="str">
        <f t="shared" ca="1" si="1"/>
        <v>!! RUPTURE</v>
      </c>
    </row>
    <row r="11" spans="1:8" ht="18" customHeight="1">
      <c r="A11" s="104" t="s">
        <v>61</v>
      </c>
      <c r="B11" s="40" t="str">
        <f>IFERROR(VLOOKUP(A11,ARTICLES!$A$2:$B$485,2,0),"")</f>
        <v>Agrafeuse de bureau</v>
      </c>
      <c r="C11" s="105" t="str">
        <f>IFERROR(VLOOKUP(A11,ARTICLES!$A$2:$E$485,5,0),"")</f>
        <v>Fournitures Bureau</v>
      </c>
      <c r="D11" s="106">
        <f ca="1">IFERROR(SUMPRODUCT((MOUVEMENTS!$B$3:$B$461=A11)*(MOUVEMENTS!$D$3:$D$461="IN")*(MOUVEMENTS!$A$3:$A$461&gt;=B5)*(MOUVEMENTS!$A$3:$A$461&lt;=D5)*MOUVEMENTS!$E$3:$E$461),0)</f>
        <v>0</v>
      </c>
      <c r="E11" s="106">
        <f ca="1">IFERROR(SUMPRODUCT((MOUVEMENTS!$B$3:$B$461=A11)*(MOUVEMENTS!$D$3:$D$461="OUT")*(MOUVEMENTS!$A$3:$A$461&gt;=B5)*(MOUVEMENTS!$A$3:$A$461&lt;=D5)*MOUVEMENTS!$E$3:$E$461),0)</f>
        <v>0</v>
      </c>
      <c r="F11" s="107">
        <f t="shared" ca="1" si="0"/>
        <v>0</v>
      </c>
      <c r="G11" s="106">
        <f ca="1">IFERROR(F11*VLOOKUP(A11,ARTICLES!$A$2:$G$485,7,0),0)</f>
        <v>0</v>
      </c>
      <c r="H11" s="104" t="str">
        <f t="shared" ca="1" si="1"/>
        <v>!! RUPTURE</v>
      </c>
    </row>
    <row r="12" spans="1:8" ht="18" customHeight="1">
      <c r="A12" s="108" t="s">
        <v>63</v>
      </c>
      <c r="B12" s="109" t="str">
        <f>IFERROR(VLOOKUP(A12,ARTICLES!$A$2:$B$485,2,0),"")</f>
        <v>Stylos bille boite/50</v>
      </c>
      <c r="C12" s="110" t="str">
        <f>IFERROR(VLOOKUP(A12,ARTICLES!$A$2:$E$485,5,0),"")</f>
        <v>Fournitures Bureau</v>
      </c>
      <c r="D12" s="111">
        <f ca="1">IFERROR(SUMPRODUCT((MOUVEMENTS!$B$3:$B$461=A12)*(MOUVEMENTS!$D$3:$D$461="IN")*(MOUVEMENTS!$A$3:$A$461&gt;=B5)*(MOUVEMENTS!$A$3:$A$461&lt;=D5)*MOUVEMENTS!$E$3:$E$461),0)</f>
        <v>0</v>
      </c>
      <c r="E12" s="111">
        <f ca="1">IFERROR(SUMPRODUCT((MOUVEMENTS!$B$3:$B$461=A12)*(MOUVEMENTS!$D$3:$D$461="OUT")*(MOUVEMENTS!$A$3:$A$461&gt;=B5)*(MOUVEMENTS!$A$3:$A$461&lt;=D5)*MOUVEMENTS!$E$3:$E$461),0)</f>
        <v>0</v>
      </c>
      <c r="F12" s="112">
        <f t="shared" ca="1" si="0"/>
        <v>0</v>
      </c>
      <c r="G12" s="111">
        <f ca="1">IFERROR(F12*VLOOKUP(A12,ARTICLES!$A$2:$G$485,7,0),0)</f>
        <v>0</v>
      </c>
      <c r="H12" s="108" t="str">
        <f t="shared" ca="1" si="1"/>
        <v>!! RUPTURE</v>
      </c>
    </row>
    <row r="13" spans="1:8" ht="18" customHeight="1">
      <c r="A13" s="104" t="s">
        <v>64</v>
      </c>
      <c r="B13" s="40" t="str">
        <f>IFERROR(VLOOKUP(A13,ARTICLES!$A$2:$B$485,2,0),"")</f>
        <v>Registre grand format 5m</v>
      </c>
      <c r="C13" s="105" t="str">
        <f>IFERROR(VLOOKUP(A13,ARTICLES!$A$2:$E$485,5,0),"")</f>
        <v>Admin</v>
      </c>
      <c r="D13" s="106">
        <f ca="1">IFERROR(SUMPRODUCT((MOUVEMENTS!$B$3:$B$461=A13)*(MOUVEMENTS!$D$3:$D$461="IN")*(MOUVEMENTS!$A$3:$A$461&gt;=B5)*(MOUVEMENTS!$A$3:$A$461&lt;=D5)*MOUVEMENTS!$E$3:$E$461),0)</f>
        <v>0</v>
      </c>
      <c r="E13" s="106">
        <f ca="1">IFERROR(SUMPRODUCT((MOUVEMENTS!$B$3:$B$461=A13)*(MOUVEMENTS!$D$3:$D$461="OUT")*(MOUVEMENTS!$A$3:$A$461&gt;=B5)*(MOUVEMENTS!$A$3:$A$461&lt;=D5)*MOUVEMENTS!$E$3:$E$461),0)</f>
        <v>0</v>
      </c>
      <c r="F13" s="107">
        <f t="shared" ca="1" si="0"/>
        <v>0</v>
      </c>
      <c r="G13" s="106">
        <f ca="1">IFERROR(F13*VLOOKUP(A13,ARTICLES!$A$2:$G$485,7,0),0)</f>
        <v>0</v>
      </c>
      <c r="H13" s="104" t="str">
        <f t="shared" ca="1" si="1"/>
        <v>!! RUPTURE</v>
      </c>
    </row>
    <row r="14" spans="1:8" ht="18" customHeight="1">
      <c r="A14" s="108" t="s">
        <v>66</v>
      </c>
      <c r="B14" s="109" t="str">
        <f>IFERROR(VLOOKUP(A14,ARTICLES!$A$2:$B$485,2,0),"")</f>
        <v>Encre tampon</v>
      </c>
      <c r="C14" s="110" t="str">
        <f>IFERROR(VLOOKUP(A14,ARTICLES!$A$2:$E$485,5,0),"")</f>
        <v>Fournitures Bureau</v>
      </c>
      <c r="D14" s="111">
        <f ca="1">IFERROR(SUMPRODUCT((MOUVEMENTS!$B$3:$B$461=A14)*(MOUVEMENTS!$D$3:$D$461="IN")*(MOUVEMENTS!$A$3:$A$461&gt;=B5)*(MOUVEMENTS!$A$3:$A$461&lt;=D5)*MOUVEMENTS!$E$3:$E$461),0)</f>
        <v>0</v>
      </c>
      <c r="E14" s="111">
        <f ca="1">IFERROR(SUMPRODUCT((MOUVEMENTS!$B$3:$B$461=A14)*(MOUVEMENTS!$D$3:$D$461="OUT")*(MOUVEMENTS!$A$3:$A$461&gt;=B5)*(MOUVEMENTS!$A$3:$A$461&lt;=D5)*MOUVEMENTS!$E$3:$E$461),0)</f>
        <v>0</v>
      </c>
      <c r="F14" s="112">
        <f t="shared" ca="1" si="0"/>
        <v>0</v>
      </c>
      <c r="G14" s="111">
        <f ca="1">IFERROR(F14*VLOOKUP(A14,ARTICLES!$A$2:$G$485,7,0),0)</f>
        <v>0</v>
      </c>
      <c r="H14" s="108" t="str">
        <f t="shared" ca="1" si="1"/>
        <v>!! RUPTURE</v>
      </c>
    </row>
    <row r="15" spans="1:8" ht="18" customHeight="1">
      <c r="A15" s="104" t="s">
        <v>67</v>
      </c>
      <c r="B15" s="40" t="str">
        <f>IFERROR(VLOOKUP(A15,ARTICLES!$A$2:$B$485,2,0),"")</f>
        <v>Sous-chemise carton</v>
      </c>
      <c r="C15" s="105" t="str">
        <f>IFERROR(VLOOKUP(A15,ARTICLES!$A$2:$E$485,5,0),"")</f>
        <v>Fournitures Bureau</v>
      </c>
      <c r="D15" s="106">
        <f ca="1">IFERROR(SUMPRODUCT((MOUVEMENTS!$B$3:$B$461=A15)*(MOUVEMENTS!$D$3:$D$461="IN")*(MOUVEMENTS!$A$3:$A$461&gt;=B5)*(MOUVEMENTS!$A$3:$A$461&lt;=D5)*MOUVEMENTS!$E$3:$E$461),0)</f>
        <v>0</v>
      </c>
      <c r="E15" s="106">
        <f ca="1">IFERROR(SUMPRODUCT((MOUVEMENTS!$B$3:$B$461=A15)*(MOUVEMENTS!$D$3:$D$461="OUT")*(MOUVEMENTS!$A$3:$A$461&gt;=B5)*(MOUVEMENTS!$A$3:$A$461&lt;=D5)*MOUVEMENTS!$E$3:$E$461),0)</f>
        <v>0</v>
      </c>
      <c r="F15" s="107">
        <f t="shared" ca="1" si="0"/>
        <v>0</v>
      </c>
      <c r="G15" s="106">
        <f ca="1">IFERROR(F15*VLOOKUP(A15,ARTICLES!$A$2:$G$485,7,0),0)</f>
        <v>0</v>
      </c>
      <c r="H15" s="104" t="str">
        <f t="shared" ca="1" si="1"/>
        <v>!! RUPTURE</v>
      </c>
    </row>
    <row r="16" spans="1:8" ht="18" customHeight="1">
      <c r="A16" s="108" t="s">
        <v>68</v>
      </c>
      <c r="B16" s="109" t="str">
        <f>IFERROR(VLOOKUP(A16,ARTICLES!$A$2:$B$485,2,0),"")</f>
        <v>Chemise cartonnee</v>
      </c>
      <c r="C16" s="110" t="str">
        <f>IFERROR(VLOOKUP(A16,ARTICLES!$A$2:$E$485,5,0),"")</f>
        <v>Fournitures Bureau</v>
      </c>
      <c r="D16" s="111">
        <f ca="1">IFERROR(SUMPRODUCT((MOUVEMENTS!$B$3:$B$461=A16)*(MOUVEMENTS!$D$3:$D$461="IN")*(MOUVEMENTS!$A$3:$A$461&gt;=B5)*(MOUVEMENTS!$A$3:$A$461&lt;=D5)*MOUVEMENTS!$E$3:$E$461),0)</f>
        <v>0</v>
      </c>
      <c r="E16" s="111">
        <f ca="1">IFERROR(SUMPRODUCT((MOUVEMENTS!$B$3:$B$461=A16)*(MOUVEMENTS!$D$3:$D$461="OUT")*(MOUVEMENTS!$A$3:$A$461&gt;=B5)*(MOUVEMENTS!$A$3:$A$461&lt;=D5)*MOUVEMENTS!$E$3:$E$461),0)</f>
        <v>0</v>
      </c>
      <c r="F16" s="112">
        <f t="shared" ca="1" si="0"/>
        <v>0</v>
      </c>
      <c r="G16" s="111">
        <f ca="1">IFERROR(F16*VLOOKUP(A16,ARTICLES!$A$2:$G$485,7,0),0)</f>
        <v>0</v>
      </c>
      <c r="H16" s="108" t="str">
        <f t="shared" ca="1" si="1"/>
        <v>!! RUPTURE</v>
      </c>
    </row>
    <row r="17" spans="1:8" ht="18" customHeight="1">
      <c r="A17" s="104" t="s">
        <v>69</v>
      </c>
      <c r="B17" s="40" t="str">
        <f>IFERROR(VLOOKUP(A17,ARTICLES!$A$2:$B$485,2,0),"")</f>
        <v>Rouleau papier fax</v>
      </c>
      <c r="C17" s="105" t="str">
        <f>IFERROR(VLOOKUP(A17,ARTICLES!$A$2:$E$485,5,0),"")</f>
        <v>Informatique</v>
      </c>
      <c r="D17" s="106">
        <f ca="1">IFERROR(SUMPRODUCT((MOUVEMENTS!$B$3:$B$461=A17)*(MOUVEMENTS!$D$3:$D$461="IN")*(MOUVEMENTS!$A$3:$A$461&gt;=B5)*(MOUVEMENTS!$A$3:$A$461&lt;=D5)*MOUVEMENTS!$E$3:$E$461),0)</f>
        <v>0</v>
      </c>
      <c r="E17" s="106">
        <f ca="1">IFERROR(SUMPRODUCT((MOUVEMENTS!$B$3:$B$461=A17)*(MOUVEMENTS!$D$3:$D$461="OUT")*(MOUVEMENTS!$A$3:$A$461&gt;=B5)*(MOUVEMENTS!$A$3:$A$461&lt;=D5)*MOUVEMENTS!$E$3:$E$461),0)</f>
        <v>0</v>
      </c>
      <c r="F17" s="107">
        <f t="shared" ca="1" si="0"/>
        <v>0</v>
      </c>
      <c r="G17" s="106">
        <f ca="1">IFERROR(F17*VLOOKUP(A17,ARTICLES!$A$2:$G$485,7,0),0)</f>
        <v>0</v>
      </c>
      <c r="H17" s="104" t="str">
        <f t="shared" ca="1" si="1"/>
        <v>!! RUPTURE</v>
      </c>
    </row>
    <row r="18" spans="1:8" ht="18" customHeight="1">
      <c r="A18" s="108" t="s">
        <v>70</v>
      </c>
      <c r="B18" s="109" t="str">
        <f>IFERROR(VLOOKUP(A18,ARTICLES!$A$2:$B$485,2,0),"")</f>
        <v>Marqueur permanent noir</v>
      </c>
      <c r="C18" s="110" t="str">
        <f>IFERROR(VLOOKUP(A18,ARTICLES!$A$2:$E$485,5,0),"")</f>
        <v>Fournitures Bureau</v>
      </c>
      <c r="D18" s="111">
        <f ca="1">IFERROR(SUMPRODUCT((MOUVEMENTS!$B$3:$B$461=A18)*(MOUVEMENTS!$D$3:$D$461="IN")*(MOUVEMENTS!$A$3:$A$461&gt;=B5)*(MOUVEMENTS!$A$3:$A$461&lt;=D5)*MOUVEMENTS!$E$3:$E$461),0)</f>
        <v>0</v>
      </c>
      <c r="E18" s="111">
        <f ca="1">IFERROR(SUMPRODUCT((MOUVEMENTS!$B$3:$B$461=A18)*(MOUVEMENTS!$D$3:$D$461="OUT")*(MOUVEMENTS!$A$3:$A$461&gt;=B5)*(MOUVEMENTS!$A$3:$A$461&lt;=D5)*MOUVEMENTS!$E$3:$E$461),0)</f>
        <v>0</v>
      </c>
      <c r="F18" s="112">
        <f t="shared" ca="1" si="0"/>
        <v>0</v>
      </c>
      <c r="G18" s="111">
        <f ca="1">IFERROR(F18*VLOOKUP(A18,ARTICLES!$A$2:$G$485,7,0),0)</f>
        <v>0</v>
      </c>
      <c r="H18" s="108" t="str">
        <f t="shared" ca="1" si="1"/>
        <v>!! RUPTURE</v>
      </c>
    </row>
    <row r="19" spans="1:8" ht="21.75" customHeight="1">
      <c r="A19" s="113" t="s">
        <v>189</v>
      </c>
      <c r="B19" s="235" t="s">
        <v>225</v>
      </c>
      <c r="C19" s="202"/>
      <c r="D19" s="114">
        <f ca="1">SUM(D7:D18)</f>
        <v>0</v>
      </c>
      <c r="E19" s="114">
        <f ca="1">SUM(E7:E18)</f>
        <v>0</v>
      </c>
      <c r="F19" s="114">
        <f ca="1">SUM(F7:F18)</f>
        <v>0</v>
      </c>
      <c r="G19" s="114">
        <f ca="1">SUM(G7:G18)</f>
        <v>0</v>
      </c>
      <c r="H19" s="115"/>
    </row>
    <row r="20" spans="1:8" ht="25.5" customHeight="1">
      <c r="A20" s="232" t="s">
        <v>226</v>
      </c>
      <c r="B20" s="208"/>
      <c r="C20" s="208"/>
      <c r="D20" s="208"/>
      <c r="E20" s="208"/>
      <c r="F20" s="208"/>
      <c r="G20" s="208"/>
      <c r="H20" s="208"/>
    </row>
    <row r="23" spans="1:8" ht="24" customHeight="1">
      <c r="A23" s="233" t="s">
        <v>227</v>
      </c>
      <c r="B23" s="201"/>
      <c r="C23" s="201"/>
      <c r="D23" s="201"/>
      <c r="E23" s="201"/>
      <c r="F23" s="201"/>
      <c r="G23" s="201"/>
      <c r="H23" s="202"/>
    </row>
    <row r="24" spans="1:8" ht="21.75" customHeight="1">
      <c r="A24" s="100" t="s">
        <v>214</v>
      </c>
      <c r="B24" s="116">
        <f ca="1">TODAY()-30</f>
        <v>46129</v>
      </c>
      <c r="C24" s="102" t="s">
        <v>215</v>
      </c>
      <c r="D24" s="116">
        <f ca="1">TODAY()</f>
        <v>46159</v>
      </c>
      <c r="E24" s="234" t="s">
        <v>216</v>
      </c>
      <c r="F24" s="187"/>
      <c r="G24" s="187"/>
      <c r="H24" s="187"/>
    </row>
    <row r="25" spans="1:8" ht="31.5" customHeight="1">
      <c r="A25" s="103" t="s">
        <v>217</v>
      </c>
      <c r="B25" s="103" t="s">
        <v>218</v>
      </c>
      <c r="C25" s="103" t="s">
        <v>219</v>
      </c>
      <c r="D25" s="103" t="s">
        <v>220</v>
      </c>
      <c r="E25" s="103" t="s">
        <v>221</v>
      </c>
      <c r="F25" s="103" t="s">
        <v>222</v>
      </c>
      <c r="G25" s="103" t="s">
        <v>223</v>
      </c>
      <c r="H25" s="103" t="s">
        <v>224</v>
      </c>
    </row>
    <row r="26" spans="1:8" ht="18" customHeight="1">
      <c r="A26" s="104" t="s">
        <v>52</v>
      </c>
      <c r="B26" s="40" t="str">
        <f>IFERROR(VLOOKUP(A26,ARTICLES!$A$2:$B$485,2,0),"")</f>
        <v>Toner imprimante G030 (noir)</v>
      </c>
      <c r="C26" s="105" t="str">
        <f>IFERROR(VLOOKUP(A26,ARTICLES!$A$2:$E$485,5,0),"")</f>
        <v>Informatique</v>
      </c>
      <c r="D26" s="106">
        <f ca="1">IFERROR(SUMPRODUCT((MOUVEMENTS!$B$3:$B$461=A26)*(MOUVEMENTS!$D$3:$D$461="IN")*(MOUVEMENTS!$A$3:$A$461&gt;=B24)*(MOUVEMENTS!$A$3:$A$461&lt;=D24)*MOUVEMENTS!$E$3:$E$461),0)</f>
        <v>0</v>
      </c>
      <c r="E26" s="106">
        <f ca="1">IFERROR(SUMPRODUCT((MOUVEMENTS!$B$3:$B$461=A26)*(MOUVEMENTS!$D$3:$D$461="OUT")*(MOUVEMENTS!$A$3:$A$461&gt;=B24)*(MOUVEMENTS!$A$3:$A$461&lt;=D24)*MOUVEMENTS!$E$3:$E$461),0)</f>
        <v>0</v>
      </c>
      <c r="F26" s="107">
        <f t="shared" ref="F26:F37" ca="1" si="2">D26-E26</f>
        <v>0</v>
      </c>
      <c r="G26" s="106">
        <f ca="1">IFERROR(F26*VLOOKUP(A26,ARTICLES!$A$2:$G$485,7,0),0)</f>
        <v>0</v>
      </c>
      <c r="H26" s="104" t="str">
        <f t="shared" ref="H26:H37" ca="1" si="3">IF(F26&lt;0,"!! NÉGATIF",IF(F26=0,"!! RUPTURE","OK"))</f>
        <v>!! RUPTURE</v>
      </c>
    </row>
    <row r="27" spans="1:8" ht="18" customHeight="1">
      <c r="A27" s="108" t="s">
        <v>55</v>
      </c>
      <c r="B27" s="109" t="str">
        <f>IFERROR(VLOOKUP(A27,ARTICLES!$A$2:$B$485,2,0),"")</f>
        <v>Rame papier A4 80g/m2</v>
      </c>
      <c r="C27" s="110" t="str">
        <f>IFERROR(VLOOKUP(A27,ARTICLES!$A$2:$E$485,5,0),"")</f>
        <v>Fournitures Bureau</v>
      </c>
      <c r="D27" s="111">
        <f ca="1">IFERROR(SUMPRODUCT((MOUVEMENTS!$B$3:$B$461=A27)*(MOUVEMENTS!$D$3:$D$461="IN")*(MOUVEMENTS!$A$3:$A$461&gt;=B24)*(MOUVEMENTS!$A$3:$A$461&lt;=D24)*MOUVEMENTS!$E$3:$E$461),0)</f>
        <v>0</v>
      </c>
      <c r="E27" s="111">
        <f ca="1">IFERROR(SUMPRODUCT((MOUVEMENTS!$B$3:$B$461=A27)*(MOUVEMENTS!$D$3:$D$461="OUT")*(MOUVEMENTS!$A$3:$A$461&gt;=B24)*(MOUVEMENTS!$A$3:$A$461&lt;=D24)*MOUVEMENTS!$E$3:$E$461),0)</f>
        <v>0</v>
      </c>
      <c r="F27" s="112">
        <f t="shared" ca="1" si="2"/>
        <v>0</v>
      </c>
      <c r="G27" s="111">
        <f ca="1">IFERROR(F27*VLOOKUP(A27,ARTICLES!$A$2:$G$485,7,0),0)</f>
        <v>0</v>
      </c>
      <c r="H27" s="108" t="str">
        <f t="shared" ca="1" si="3"/>
        <v>!! RUPTURE</v>
      </c>
    </row>
    <row r="28" spans="1:8" ht="18" customHeight="1">
      <c r="A28" s="104" t="s">
        <v>58</v>
      </c>
      <c r="B28" s="40" t="str">
        <f>IFERROR(VLOOKUP(A28,ARTICLES!$A$2:$B$485,2,0),"")</f>
        <v>Rame papier A3 80g/m2</v>
      </c>
      <c r="C28" s="105" t="str">
        <f>IFERROR(VLOOKUP(A28,ARTICLES!$A$2:$E$485,5,0),"")</f>
        <v>Fournitures Bureau</v>
      </c>
      <c r="D28" s="106">
        <f ca="1">IFERROR(SUMPRODUCT((MOUVEMENTS!$B$3:$B$461=A28)*(MOUVEMENTS!$D$3:$D$461="IN")*(MOUVEMENTS!$A$3:$A$461&gt;=B24)*(MOUVEMENTS!$A$3:$A$461&lt;=D24)*MOUVEMENTS!$E$3:$E$461),0)</f>
        <v>0</v>
      </c>
      <c r="E28" s="106">
        <f ca="1">IFERROR(SUMPRODUCT((MOUVEMENTS!$B$3:$B$461=A28)*(MOUVEMENTS!$D$3:$D$461="OUT")*(MOUVEMENTS!$A$3:$A$461&gt;=B24)*(MOUVEMENTS!$A$3:$A$461&lt;=D24)*MOUVEMENTS!$E$3:$E$461),0)</f>
        <v>0</v>
      </c>
      <c r="F28" s="107">
        <f t="shared" ca="1" si="2"/>
        <v>0</v>
      </c>
      <c r="G28" s="106">
        <f ca="1">IFERROR(F28*VLOOKUP(A28,ARTICLES!$A$2:$G$485,7,0),0)</f>
        <v>0</v>
      </c>
      <c r="H28" s="104" t="str">
        <f t="shared" ca="1" si="3"/>
        <v>!! RUPTURE</v>
      </c>
    </row>
    <row r="29" spans="1:8" ht="18" customHeight="1">
      <c r="A29" s="108" t="s">
        <v>59</v>
      </c>
      <c r="B29" s="109" t="str">
        <f>IFERROR(VLOOKUP(A29,ARTICLES!$A$2:$B$485,2,0),"")</f>
        <v>Boite archives carton</v>
      </c>
      <c r="C29" s="110" t="str">
        <f>IFERROR(VLOOKUP(A29,ARTICLES!$A$2:$E$485,5,0),"")</f>
        <v>Admin</v>
      </c>
      <c r="D29" s="111">
        <f ca="1">IFERROR(SUMPRODUCT((MOUVEMENTS!$B$3:$B$461=A29)*(MOUVEMENTS!$D$3:$D$461="IN")*(MOUVEMENTS!$A$3:$A$461&gt;=B24)*(MOUVEMENTS!$A$3:$A$461&lt;=D24)*MOUVEMENTS!$E$3:$E$461),0)</f>
        <v>0</v>
      </c>
      <c r="E29" s="111">
        <f ca="1">IFERROR(SUMPRODUCT((MOUVEMENTS!$B$3:$B$461=A29)*(MOUVEMENTS!$D$3:$D$461="OUT")*(MOUVEMENTS!$A$3:$A$461&gt;=B24)*(MOUVEMENTS!$A$3:$A$461&lt;=D24)*MOUVEMENTS!$E$3:$E$461),0)</f>
        <v>0</v>
      </c>
      <c r="F29" s="112">
        <f t="shared" ca="1" si="2"/>
        <v>0</v>
      </c>
      <c r="G29" s="111">
        <f ca="1">IFERROR(F29*VLOOKUP(A29,ARTICLES!$A$2:$G$485,7,0),0)</f>
        <v>0</v>
      </c>
      <c r="H29" s="108" t="str">
        <f t="shared" ca="1" si="3"/>
        <v>!! RUPTURE</v>
      </c>
    </row>
    <row r="30" spans="1:8" ht="18" customHeight="1">
      <c r="A30" s="104" t="s">
        <v>61</v>
      </c>
      <c r="B30" s="40" t="str">
        <f>IFERROR(VLOOKUP(A30,ARTICLES!$A$2:$B$485,2,0),"")</f>
        <v>Agrafeuse de bureau</v>
      </c>
      <c r="C30" s="105" t="str">
        <f>IFERROR(VLOOKUP(A30,ARTICLES!$A$2:$E$485,5,0),"")</f>
        <v>Fournitures Bureau</v>
      </c>
      <c r="D30" s="106">
        <f ca="1">IFERROR(SUMPRODUCT((MOUVEMENTS!$B$3:$B$461=A30)*(MOUVEMENTS!$D$3:$D$461="IN")*(MOUVEMENTS!$A$3:$A$461&gt;=B24)*(MOUVEMENTS!$A$3:$A$461&lt;=D24)*MOUVEMENTS!$E$3:$E$461),0)</f>
        <v>0</v>
      </c>
      <c r="E30" s="106">
        <f ca="1">IFERROR(SUMPRODUCT((MOUVEMENTS!$B$3:$B$461=A30)*(MOUVEMENTS!$D$3:$D$461="OUT")*(MOUVEMENTS!$A$3:$A$461&gt;=B24)*(MOUVEMENTS!$A$3:$A$461&lt;=D24)*MOUVEMENTS!$E$3:$E$461),0)</f>
        <v>0</v>
      </c>
      <c r="F30" s="107">
        <f t="shared" ca="1" si="2"/>
        <v>0</v>
      </c>
      <c r="G30" s="106">
        <f ca="1">IFERROR(F30*VLOOKUP(A30,ARTICLES!$A$2:$G$485,7,0),0)</f>
        <v>0</v>
      </c>
      <c r="H30" s="104" t="str">
        <f t="shared" ca="1" si="3"/>
        <v>!! RUPTURE</v>
      </c>
    </row>
    <row r="31" spans="1:8" ht="18" customHeight="1">
      <c r="A31" s="108" t="s">
        <v>63</v>
      </c>
      <c r="B31" s="109" t="str">
        <f>IFERROR(VLOOKUP(A31,ARTICLES!$A$2:$B$485,2,0),"")</f>
        <v>Stylos bille boite/50</v>
      </c>
      <c r="C31" s="110" t="str">
        <f>IFERROR(VLOOKUP(A31,ARTICLES!$A$2:$E$485,5,0),"")</f>
        <v>Fournitures Bureau</v>
      </c>
      <c r="D31" s="111">
        <f ca="1">IFERROR(SUMPRODUCT((MOUVEMENTS!$B$3:$B$461=A31)*(MOUVEMENTS!$D$3:$D$461="IN")*(MOUVEMENTS!$A$3:$A$461&gt;=B24)*(MOUVEMENTS!$A$3:$A$461&lt;=D24)*MOUVEMENTS!$E$3:$E$461),0)</f>
        <v>0</v>
      </c>
      <c r="E31" s="111">
        <f ca="1">IFERROR(SUMPRODUCT((MOUVEMENTS!$B$3:$B$461=A31)*(MOUVEMENTS!$D$3:$D$461="OUT")*(MOUVEMENTS!$A$3:$A$461&gt;=B24)*(MOUVEMENTS!$A$3:$A$461&lt;=D24)*MOUVEMENTS!$E$3:$E$461),0)</f>
        <v>0</v>
      </c>
      <c r="F31" s="112">
        <f t="shared" ca="1" si="2"/>
        <v>0</v>
      </c>
      <c r="G31" s="111">
        <f ca="1">IFERROR(F31*VLOOKUP(A31,ARTICLES!$A$2:$G$485,7,0),0)</f>
        <v>0</v>
      </c>
      <c r="H31" s="108" t="str">
        <f t="shared" ca="1" si="3"/>
        <v>!! RUPTURE</v>
      </c>
    </row>
    <row r="32" spans="1:8" ht="18" customHeight="1">
      <c r="A32" s="104" t="s">
        <v>64</v>
      </c>
      <c r="B32" s="40" t="str">
        <f>IFERROR(VLOOKUP(A32,ARTICLES!$A$2:$B$485,2,0),"")</f>
        <v>Registre grand format 5m</v>
      </c>
      <c r="C32" s="105" t="str">
        <f>IFERROR(VLOOKUP(A32,ARTICLES!$A$2:$E$485,5,0),"")</f>
        <v>Admin</v>
      </c>
      <c r="D32" s="106">
        <f ca="1">IFERROR(SUMPRODUCT((MOUVEMENTS!$B$3:$B$461=A32)*(MOUVEMENTS!$D$3:$D$461="IN")*(MOUVEMENTS!$A$3:$A$461&gt;=B24)*(MOUVEMENTS!$A$3:$A$461&lt;=D24)*MOUVEMENTS!$E$3:$E$461),0)</f>
        <v>0</v>
      </c>
      <c r="E32" s="106">
        <f ca="1">IFERROR(SUMPRODUCT((MOUVEMENTS!$B$3:$B$461=A32)*(MOUVEMENTS!$D$3:$D$461="OUT")*(MOUVEMENTS!$A$3:$A$461&gt;=B24)*(MOUVEMENTS!$A$3:$A$461&lt;=D24)*MOUVEMENTS!$E$3:$E$461),0)</f>
        <v>0</v>
      </c>
      <c r="F32" s="107">
        <f t="shared" ca="1" si="2"/>
        <v>0</v>
      </c>
      <c r="G32" s="106">
        <f ca="1">IFERROR(F32*VLOOKUP(A32,ARTICLES!$A$2:$G$485,7,0),0)</f>
        <v>0</v>
      </c>
      <c r="H32" s="104" t="str">
        <f t="shared" ca="1" si="3"/>
        <v>!! RUPTURE</v>
      </c>
    </row>
    <row r="33" spans="1:8" ht="18" customHeight="1">
      <c r="A33" s="108" t="s">
        <v>66</v>
      </c>
      <c r="B33" s="109" t="str">
        <f>IFERROR(VLOOKUP(A33,ARTICLES!$A$2:$B$485,2,0),"")</f>
        <v>Encre tampon</v>
      </c>
      <c r="C33" s="110" t="str">
        <f>IFERROR(VLOOKUP(A33,ARTICLES!$A$2:$E$485,5,0),"")</f>
        <v>Fournitures Bureau</v>
      </c>
      <c r="D33" s="111">
        <f ca="1">IFERROR(SUMPRODUCT((MOUVEMENTS!$B$3:$B$461=A33)*(MOUVEMENTS!$D$3:$D$461="IN")*(MOUVEMENTS!$A$3:$A$461&gt;=B24)*(MOUVEMENTS!$A$3:$A$461&lt;=D24)*MOUVEMENTS!$E$3:$E$461),0)</f>
        <v>0</v>
      </c>
      <c r="E33" s="111">
        <f ca="1">IFERROR(SUMPRODUCT((MOUVEMENTS!$B$3:$B$461=A33)*(MOUVEMENTS!$D$3:$D$461="OUT")*(MOUVEMENTS!$A$3:$A$461&gt;=B24)*(MOUVEMENTS!$A$3:$A$461&lt;=D24)*MOUVEMENTS!$E$3:$E$461),0)</f>
        <v>0</v>
      </c>
      <c r="F33" s="112">
        <f t="shared" ca="1" si="2"/>
        <v>0</v>
      </c>
      <c r="G33" s="111">
        <f ca="1">IFERROR(F33*VLOOKUP(A33,ARTICLES!$A$2:$G$485,7,0),0)</f>
        <v>0</v>
      </c>
      <c r="H33" s="108" t="str">
        <f t="shared" ca="1" si="3"/>
        <v>!! RUPTURE</v>
      </c>
    </row>
    <row r="34" spans="1:8" ht="18" customHeight="1">
      <c r="A34" s="104" t="s">
        <v>67</v>
      </c>
      <c r="B34" s="40" t="str">
        <f>IFERROR(VLOOKUP(A34,ARTICLES!$A$2:$B$485,2,0),"")</f>
        <v>Sous-chemise carton</v>
      </c>
      <c r="C34" s="105" t="str">
        <f>IFERROR(VLOOKUP(A34,ARTICLES!$A$2:$E$485,5,0),"")</f>
        <v>Fournitures Bureau</v>
      </c>
      <c r="D34" s="106">
        <f ca="1">IFERROR(SUMPRODUCT((MOUVEMENTS!$B$3:$B$461=A34)*(MOUVEMENTS!$D$3:$D$461="IN")*(MOUVEMENTS!$A$3:$A$461&gt;=B24)*(MOUVEMENTS!$A$3:$A$461&lt;=D24)*MOUVEMENTS!$E$3:$E$461),0)</f>
        <v>0</v>
      </c>
      <c r="E34" s="106">
        <f ca="1">IFERROR(SUMPRODUCT((MOUVEMENTS!$B$3:$B$461=A34)*(MOUVEMENTS!$D$3:$D$461="OUT")*(MOUVEMENTS!$A$3:$A$461&gt;=B24)*(MOUVEMENTS!$A$3:$A$461&lt;=D24)*MOUVEMENTS!$E$3:$E$461),0)</f>
        <v>0</v>
      </c>
      <c r="F34" s="107">
        <f t="shared" ca="1" si="2"/>
        <v>0</v>
      </c>
      <c r="G34" s="106">
        <f ca="1">IFERROR(F34*VLOOKUP(A34,ARTICLES!$A$2:$G$485,7,0),0)</f>
        <v>0</v>
      </c>
      <c r="H34" s="104" t="str">
        <f t="shared" ca="1" si="3"/>
        <v>!! RUPTURE</v>
      </c>
    </row>
    <row r="35" spans="1:8" ht="18" customHeight="1">
      <c r="A35" s="108" t="s">
        <v>68</v>
      </c>
      <c r="B35" s="109" t="str">
        <f>IFERROR(VLOOKUP(A35,ARTICLES!$A$2:$B$485,2,0),"")</f>
        <v>Chemise cartonnee</v>
      </c>
      <c r="C35" s="110" t="str">
        <f>IFERROR(VLOOKUP(A35,ARTICLES!$A$2:$E$485,5,0),"")</f>
        <v>Fournitures Bureau</v>
      </c>
      <c r="D35" s="111">
        <f ca="1">IFERROR(SUMPRODUCT((MOUVEMENTS!$B$3:$B$461=A35)*(MOUVEMENTS!$D$3:$D$461="IN")*(MOUVEMENTS!$A$3:$A$461&gt;=B24)*(MOUVEMENTS!$A$3:$A$461&lt;=D24)*MOUVEMENTS!$E$3:$E$461),0)</f>
        <v>0</v>
      </c>
      <c r="E35" s="111">
        <f ca="1">IFERROR(SUMPRODUCT((MOUVEMENTS!$B$3:$B$461=A35)*(MOUVEMENTS!$D$3:$D$461="OUT")*(MOUVEMENTS!$A$3:$A$461&gt;=B24)*(MOUVEMENTS!$A$3:$A$461&lt;=D24)*MOUVEMENTS!$E$3:$E$461),0)</f>
        <v>0</v>
      </c>
      <c r="F35" s="112">
        <f t="shared" ca="1" si="2"/>
        <v>0</v>
      </c>
      <c r="G35" s="111">
        <f ca="1">IFERROR(F35*VLOOKUP(A35,ARTICLES!$A$2:$G$485,7,0),0)</f>
        <v>0</v>
      </c>
      <c r="H35" s="108" t="str">
        <f t="shared" ca="1" si="3"/>
        <v>!! RUPTURE</v>
      </c>
    </row>
    <row r="36" spans="1:8" ht="18" customHeight="1">
      <c r="A36" s="104" t="s">
        <v>69</v>
      </c>
      <c r="B36" s="40" t="str">
        <f>IFERROR(VLOOKUP(A36,ARTICLES!$A$2:$B$485,2,0),"")</f>
        <v>Rouleau papier fax</v>
      </c>
      <c r="C36" s="105" t="str">
        <f>IFERROR(VLOOKUP(A36,ARTICLES!$A$2:$E$485,5,0),"")</f>
        <v>Informatique</v>
      </c>
      <c r="D36" s="106">
        <f ca="1">IFERROR(SUMPRODUCT((MOUVEMENTS!$B$3:$B$461=A36)*(MOUVEMENTS!$D$3:$D$461="IN")*(MOUVEMENTS!$A$3:$A$461&gt;=B24)*(MOUVEMENTS!$A$3:$A$461&lt;=D24)*MOUVEMENTS!$E$3:$E$461),0)</f>
        <v>0</v>
      </c>
      <c r="E36" s="106">
        <f ca="1">IFERROR(SUMPRODUCT((MOUVEMENTS!$B$3:$B$461=A36)*(MOUVEMENTS!$D$3:$D$461="OUT")*(MOUVEMENTS!$A$3:$A$461&gt;=B24)*(MOUVEMENTS!$A$3:$A$461&lt;=D24)*MOUVEMENTS!$E$3:$E$461),0)</f>
        <v>0</v>
      </c>
      <c r="F36" s="107">
        <f t="shared" ca="1" si="2"/>
        <v>0</v>
      </c>
      <c r="G36" s="106">
        <f ca="1">IFERROR(F36*VLOOKUP(A36,ARTICLES!$A$2:$G$485,7,0),0)</f>
        <v>0</v>
      </c>
      <c r="H36" s="104" t="str">
        <f t="shared" ca="1" si="3"/>
        <v>!! RUPTURE</v>
      </c>
    </row>
    <row r="37" spans="1:8" ht="18" customHeight="1">
      <c r="A37" s="108" t="s">
        <v>70</v>
      </c>
      <c r="B37" s="109" t="str">
        <f>IFERROR(VLOOKUP(A37,ARTICLES!$A$2:$B$485,2,0),"")</f>
        <v>Marqueur permanent noir</v>
      </c>
      <c r="C37" s="110" t="str">
        <f>IFERROR(VLOOKUP(A37,ARTICLES!$A$2:$E$485,5,0),"")</f>
        <v>Fournitures Bureau</v>
      </c>
      <c r="D37" s="111">
        <f ca="1">IFERROR(SUMPRODUCT((MOUVEMENTS!$B$3:$B$461=A37)*(MOUVEMENTS!$D$3:$D$461="IN")*(MOUVEMENTS!$A$3:$A$461&gt;=B24)*(MOUVEMENTS!$A$3:$A$461&lt;=D24)*MOUVEMENTS!$E$3:$E$461),0)</f>
        <v>0</v>
      </c>
      <c r="E37" s="111">
        <f ca="1">IFERROR(SUMPRODUCT((MOUVEMENTS!$B$3:$B$461=A37)*(MOUVEMENTS!$D$3:$D$461="OUT")*(MOUVEMENTS!$A$3:$A$461&gt;=B24)*(MOUVEMENTS!$A$3:$A$461&lt;=D24)*MOUVEMENTS!$E$3:$E$461),0)</f>
        <v>0</v>
      </c>
      <c r="F37" s="112">
        <f t="shared" ca="1" si="2"/>
        <v>0</v>
      </c>
      <c r="G37" s="111">
        <f ca="1">IFERROR(F37*VLOOKUP(A37,ARTICLES!$A$2:$G$485,7,0),0)</f>
        <v>0</v>
      </c>
      <c r="H37" s="108" t="str">
        <f t="shared" ca="1" si="3"/>
        <v>!! RUPTURE</v>
      </c>
    </row>
    <row r="38" spans="1:8" ht="21.75" customHeight="1">
      <c r="A38" s="113" t="s">
        <v>189</v>
      </c>
      <c r="B38" s="235" t="s">
        <v>225</v>
      </c>
      <c r="C38" s="202"/>
      <c r="D38" s="114">
        <f ca="1">SUM(D26:D37)</f>
        <v>0</v>
      </c>
      <c r="E38" s="114">
        <f ca="1">SUM(E26:E37)</f>
        <v>0</v>
      </c>
      <c r="F38" s="114">
        <f ca="1">SUM(F26:F37)</f>
        <v>0</v>
      </c>
      <c r="G38" s="114">
        <f ca="1">SUM(G26:G37)</f>
        <v>0</v>
      </c>
      <c r="H38" s="115"/>
    </row>
    <row r="39" spans="1:8" ht="25.5" customHeight="1">
      <c r="A39" s="232" t="s">
        <v>228</v>
      </c>
      <c r="B39" s="208"/>
      <c r="C39" s="208"/>
      <c r="D39" s="208"/>
      <c r="E39" s="208"/>
      <c r="F39" s="208"/>
      <c r="G39" s="208"/>
      <c r="H39" s="208"/>
    </row>
    <row r="42" spans="1:8" ht="24" customHeight="1">
      <c r="A42" s="233" t="s">
        <v>229</v>
      </c>
      <c r="B42" s="201"/>
      <c r="C42" s="201"/>
      <c r="D42" s="201"/>
      <c r="E42" s="201"/>
      <c r="F42" s="201"/>
      <c r="G42" s="201"/>
      <c r="H42" s="202"/>
    </row>
    <row r="43" spans="1:8" ht="21.75" customHeight="1">
      <c r="A43" s="100" t="s">
        <v>214</v>
      </c>
      <c r="B43" s="117"/>
      <c r="C43" s="102" t="s">
        <v>215</v>
      </c>
      <c r="D43" s="117"/>
      <c r="E43" s="234" t="s">
        <v>216</v>
      </c>
      <c r="F43" s="187"/>
      <c r="G43" s="187"/>
      <c r="H43" s="187"/>
    </row>
    <row r="44" spans="1:8" ht="31.5" customHeight="1">
      <c r="A44" s="103" t="s">
        <v>217</v>
      </c>
      <c r="B44" s="103" t="s">
        <v>218</v>
      </c>
      <c r="C44" s="103" t="s">
        <v>219</v>
      </c>
      <c r="D44" s="103" t="s">
        <v>220</v>
      </c>
      <c r="E44" s="103" t="s">
        <v>221</v>
      </c>
      <c r="F44" s="103" t="s">
        <v>222</v>
      </c>
      <c r="G44" s="103" t="s">
        <v>223</v>
      </c>
      <c r="H44" s="103" t="s">
        <v>224</v>
      </c>
    </row>
    <row r="45" spans="1:8" ht="18" customHeight="1">
      <c r="A45" s="104" t="s">
        <v>52</v>
      </c>
      <c r="B45" s="40" t="str">
        <f>IFERROR(VLOOKUP(A45,ARTICLES!$A$2:$B$485,2,0),"")</f>
        <v>Toner imprimante G030 (noir)</v>
      </c>
      <c r="C45" s="105" t="str">
        <f>IFERROR(VLOOKUP(A45,ARTICLES!$A$2:$E$485,5,0),"")</f>
        <v>Informatique</v>
      </c>
      <c r="D45" s="106">
        <f>IFERROR(SUMPRODUCT((MOUVEMENTS!$B$3:$B$461=A45)*(MOUVEMENTS!$D$3:$D$461="IN")*(MOUVEMENTS!$A$3:$A$461&gt;=B43)*(MOUVEMENTS!$A$3:$A$461&lt;=D43)*MOUVEMENTS!$E$3:$E$461),0)</f>
        <v>0</v>
      </c>
      <c r="E45" s="106">
        <f>IFERROR(SUMPRODUCT((MOUVEMENTS!$B$3:$B$461=A45)*(MOUVEMENTS!$D$3:$D$461="OUT")*(MOUVEMENTS!$A$3:$A$461&gt;=B43)*(MOUVEMENTS!$A$3:$A$461&lt;=D43)*MOUVEMENTS!$E$3:$E$461),0)</f>
        <v>0</v>
      </c>
      <c r="F45" s="107">
        <f t="shared" ref="F45:F56" si="4">D45-E45</f>
        <v>0</v>
      </c>
      <c r="G45" s="106">
        <f>IFERROR(F45*VLOOKUP(A45,ARTICLES!$A$2:$G$485,7,0),0)</f>
        <v>0</v>
      </c>
      <c r="H45" s="104" t="str">
        <f t="shared" ref="H45:H56" si="5">IF(F45&lt;0,"!! NÉGATIF",IF(F45=0,"!! RUPTURE","OK"))</f>
        <v>!! RUPTURE</v>
      </c>
    </row>
    <row r="46" spans="1:8" ht="18" customHeight="1">
      <c r="A46" s="108" t="s">
        <v>55</v>
      </c>
      <c r="B46" s="109" t="str">
        <f>IFERROR(VLOOKUP(A46,ARTICLES!$A$2:$B$485,2,0),"")</f>
        <v>Rame papier A4 80g/m2</v>
      </c>
      <c r="C46" s="110" t="str">
        <f>IFERROR(VLOOKUP(A46,ARTICLES!$A$2:$E$485,5,0),"")</f>
        <v>Fournitures Bureau</v>
      </c>
      <c r="D46" s="111">
        <f>IFERROR(SUMPRODUCT((MOUVEMENTS!$B$3:$B$461=A46)*(MOUVEMENTS!$D$3:$D$461="IN")*(MOUVEMENTS!$A$3:$A$461&gt;=B43)*(MOUVEMENTS!$A$3:$A$461&lt;=D43)*MOUVEMENTS!$E$3:$E$461),0)</f>
        <v>0</v>
      </c>
      <c r="E46" s="111">
        <f>IFERROR(SUMPRODUCT((MOUVEMENTS!$B$3:$B$461=A46)*(MOUVEMENTS!$D$3:$D$461="OUT")*(MOUVEMENTS!$A$3:$A$461&gt;=B43)*(MOUVEMENTS!$A$3:$A$461&lt;=D43)*MOUVEMENTS!$E$3:$E$461),0)</f>
        <v>0</v>
      </c>
      <c r="F46" s="112">
        <f t="shared" si="4"/>
        <v>0</v>
      </c>
      <c r="G46" s="111">
        <f>IFERROR(F46*VLOOKUP(A46,ARTICLES!$A$2:$G$485,7,0),0)</f>
        <v>0</v>
      </c>
      <c r="H46" s="108" t="str">
        <f t="shared" si="5"/>
        <v>!! RUPTURE</v>
      </c>
    </row>
    <row r="47" spans="1:8" ht="18" customHeight="1">
      <c r="A47" s="104" t="s">
        <v>58</v>
      </c>
      <c r="B47" s="40" t="str">
        <f>IFERROR(VLOOKUP(A47,ARTICLES!$A$2:$B$485,2,0),"")</f>
        <v>Rame papier A3 80g/m2</v>
      </c>
      <c r="C47" s="105" t="str">
        <f>IFERROR(VLOOKUP(A47,ARTICLES!$A$2:$E$485,5,0),"")</f>
        <v>Fournitures Bureau</v>
      </c>
      <c r="D47" s="106">
        <f>IFERROR(SUMPRODUCT((MOUVEMENTS!$B$3:$B$461=A47)*(MOUVEMENTS!$D$3:$D$461="IN")*(MOUVEMENTS!$A$3:$A$461&gt;=B43)*(MOUVEMENTS!$A$3:$A$461&lt;=D43)*MOUVEMENTS!$E$3:$E$461),0)</f>
        <v>0</v>
      </c>
      <c r="E47" s="106">
        <f>IFERROR(SUMPRODUCT((MOUVEMENTS!$B$3:$B$461=A47)*(MOUVEMENTS!$D$3:$D$461="OUT")*(MOUVEMENTS!$A$3:$A$461&gt;=B43)*(MOUVEMENTS!$A$3:$A$461&lt;=D43)*MOUVEMENTS!$E$3:$E$461),0)</f>
        <v>0</v>
      </c>
      <c r="F47" s="107">
        <f t="shared" si="4"/>
        <v>0</v>
      </c>
      <c r="G47" s="106">
        <f>IFERROR(F47*VLOOKUP(A47,ARTICLES!$A$2:$G$485,7,0),0)</f>
        <v>0</v>
      </c>
      <c r="H47" s="104" t="str">
        <f t="shared" si="5"/>
        <v>!! RUPTURE</v>
      </c>
    </row>
    <row r="48" spans="1:8" ht="18" customHeight="1">
      <c r="A48" s="108" t="s">
        <v>59</v>
      </c>
      <c r="B48" s="109" t="str">
        <f>IFERROR(VLOOKUP(A48,ARTICLES!$A$2:$B$485,2,0),"")</f>
        <v>Boite archives carton</v>
      </c>
      <c r="C48" s="110" t="str">
        <f>IFERROR(VLOOKUP(A48,ARTICLES!$A$2:$E$485,5,0),"")</f>
        <v>Admin</v>
      </c>
      <c r="D48" s="111">
        <f>IFERROR(SUMPRODUCT((MOUVEMENTS!$B$3:$B$461=A48)*(MOUVEMENTS!$D$3:$D$461="IN")*(MOUVEMENTS!$A$3:$A$461&gt;=B43)*(MOUVEMENTS!$A$3:$A$461&lt;=D43)*MOUVEMENTS!$E$3:$E$461),0)</f>
        <v>0</v>
      </c>
      <c r="E48" s="111">
        <f>IFERROR(SUMPRODUCT((MOUVEMENTS!$B$3:$B$461=A48)*(MOUVEMENTS!$D$3:$D$461="OUT")*(MOUVEMENTS!$A$3:$A$461&gt;=B43)*(MOUVEMENTS!$A$3:$A$461&lt;=D43)*MOUVEMENTS!$E$3:$E$461),0)</f>
        <v>0</v>
      </c>
      <c r="F48" s="112">
        <f t="shared" si="4"/>
        <v>0</v>
      </c>
      <c r="G48" s="111">
        <f>IFERROR(F48*VLOOKUP(A48,ARTICLES!$A$2:$G$485,7,0),0)</f>
        <v>0</v>
      </c>
      <c r="H48" s="108" t="str">
        <f t="shared" si="5"/>
        <v>!! RUPTURE</v>
      </c>
    </row>
    <row r="49" spans="1:8" ht="18" customHeight="1">
      <c r="A49" s="104" t="s">
        <v>61</v>
      </c>
      <c r="B49" s="40" t="str">
        <f>IFERROR(VLOOKUP(A49,ARTICLES!$A$2:$B$485,2,0),"")</f>
        <v>Agrafeuse de bureau</v>
      </c>
      <c r="C49" s="105" t="str">
        <f>IFERROR(VLOOKUP(A49,ARTICLES!$A$2:$E$485,5,0),"")</f>
        <v>Fournitures Bureau</v>
      </c>
      <c r="D49" s="106">
        <f>IFERROR(SUMPRODUCT((MOUVEMENTS!$B$3:$B$461=A49)*(MOUVEMENTS!$D$3:$D$461="IN")*(MOUVEMENTS!$A$3:$A$461&gt;=B43)*(MOUVEMENTS!$A$3:$A$461&lt;=D43)*MOUVEMENTS!$E$3:$E$461),0)</f>
        <v>0</v>
      </c>
      <c r="E49" s="106">
        <f>IFERROR(SUMPRODUCT((MOUVEMENTS!$B$3:$B$461=A49)*(MOUVEMENTS!$D$3:$D$461="OUT")*(MOUVEMENTS!$A$3:$A$461&gt;=B43)*(MOUVEMENTS!$A$3:$A$461&lt;=D43)*MOUVEMENTS!$E$3:$E$461),0)</f>
        <v>0</v>
      </c>
      <c r="F49" s="107">
        <f t="shared" si="4"/>
        <v>0</v>
      </c>
      <c r="G49" s="106">
        <f>IFERROR(F49*VLOOKUP(A49,ARTICLES!$A$2:$G$485,7,0),0)</f>
        <v>0</v>
      </c>
      <c r="H49" s="104" t="str">
        <f t="shared" si="5"/>
        <v>!! RUPTURE</v>
      </c>
    </row>
    <row r="50" spans="1:8" ht="18" customHeight="1">
      <c r="A50" s="108" t="s">
        <v>63</v>
      </c>
      <c r="B50" s="109" t="str">
        <f>IFERROR(VLOOKUP(A50,ARTICLES!$A$2:$B$485,2,0),"")</f>
        <v>Stylos bille boite/50</v>
      </c>
      <c r="C50" s="110" t="str">
        <f>IFERROR(VLOOKUP(A50,ARTICLES!$A$2:$E$485,5,0),"")</f>
        <v>Fournitures Bureau</v>
      </c>
      <c r="D50" s="111">
        <f>IFERROR(SUMPRODUCT((MOUVEMENTS!$B$3:$B$461=A50)*(MOUVEMENTS!$D$3:$D$461="IN")*(MOUVEMENTS!$A$3:$A$461&gt;=B43)*(MOUVEMENTS!$A$3:$A$461&lt;=D43)*MOUVEMENTS!$E$3:$E$461),0)</f>
        <v>0</v>
      </c>
      <c r="E50" s="111">
        <f>IFERROR(SUMPRODUCT((MOUVEMENTS!$B$3:$B$461=A50)*(MOUVEMENTS!$D$3:$D$461="OUT")*(MOUVEMENTS!$A$3:$A$461&gt;=B43)*(MOUVEMENTS!$A$3:$A$461&lt;=D43)*MOUVEMENTS!$E$3:$E$461),0)</f>
        <v>0</v>
      </c>
      <c r="F50" s="112">
        <f t="shared" si="4"/>
        <v>0</v>
      </c>
      <c r="G50" s="111">
        <f>IFERROR(F50*VLOOKUP(A50,ARTICLES!$A$2:$G$485,7,0),0)</f>
        <v>0</v>
      </c>
      <c r="H50" s="108" t="str">
        <f t="shared" si="5"/>
        <v>!! RUPTURE</v>
      </c>
    </row>
    <row r="51" spans="1:8" ht="18" customHeight="1">
      <c r="A51" s="104" t="s">
        <v>64</v>
      </c>
      <c r="B51" s="40" t="str">
        <f>IFERROR(VLOOKUP(A51,ARTICLES!$A$2:$B$485,2,0),"")</f>
        <v>Registre grand format 5m</v>
      </c>
      <c r="C51" s="105" t="str">
        <f>IFERROR(VLOOKUP(A51,ARTICLES!$A$2:$E$485,5,0),"")</f>
        <v>Admin</v>
      </c>
      <c r="D51" s="106">
        <f>IFERROR(SUMPRODUCT((MOUVEMENTS!$B$3:$B$461=A51)*(MOUVEMENTS!$D$3:$D$461="IN")*(MOUVEMENTS!$A$3:$A$461&gt;=B43)*(MOUVEMENTS!$A$3:$A$461&lt;=D43)*MOUVEMENTS!$E$3:$E$461),0)</f>
        <v>0</v>
      </c>
      <c r="E51" s="106">
        <f>IFERROR(SUMPRODUCT((MOUVEMENTS!$B$3:$B$461=A51)*(MOUVEMENTS!$D$3:$D$461="OUT")*(MOUVEMENTS!$A$3:$A$461&gt;=B43)*(MOUVEMENTS!$A$3:$A$461&lt;=D43)*MOUVEMENTS!$E$3:$E$461),0)</f>
        <v>0</v>
      </c>
      <c r="F51" s="107">
        <f t="shared" si="4"/>
        <v>0</v>
      </c>
      <c r="G51" s="106">
        <f>IFERROR(F51*VLOOKUP(A51,ARTICLES!$A$2:$G$485,7,0),0)</f>
        <v>0</v>
      </c>
      <c r="H51" s="104" t="str">
        <f t="shared" si="5"/>
        <v>!! RUPTURE</v>
      </c>
    </row>
    <row r="52" spans="1:8" ht="18" customHeight="1">
      <c r="A52" s="108" t="s">
        <v>66</v>
      </c>
      <c r="B52" s="109" t="str">
        <f>IFERROR(VLOOKUP(A52,ARTICLES!$A$2:$B$485,2,0),"")</f>
        <v>Encre tampon</v>
      </c>
      <c r="C52" s="110" t="str">
        <f>IFERROR(VLOOKUP(A52,ARTICLES!$A$2:$E$485,5,0),"")</f>
        <v>Fournitures Bureau</v>
      </c>
      <c r="D52" s="111">
        <f>IFERROR(SUMPRODUCT((MOUVEMENTS!$B$3:$B$461=A52)*(MOUVEMENTS!$D$3:$D$461="IN")*(MOUVEMENTS!$A$3:$A$461&gt;=B43)*(MOUVEMENTS!$A$3:$A$461&lt;=D43)*MOUVEMENTS!$E$3:$E$461),0)</f>
        <v>0</v>
      </c>
      <c r="E52" s="111">
        <f>IFERROR(SUMPRODUCT((MOUVEMENTS!$B$3:$B$461=A52)*(MOUVEMENTS!$D$3:$D$461="OUT")*(MOUVEMENTS!$A$3:$A$461&gt;=B43)*(MOUVEMENTS!$A$3:$A$461&lt;=D43)*MOUVEMENTS!$E$3:$E$461),0)</f>
        <v>0</v>
      </c>
      <c r="F52" s="112">
        <f t="shared" si="4"/>
        <v>0</v>
      </c>
      <c r="G52" s="111">
        <f>IFERROR(F52*VLOOKUP(A52,ARTICLES!$A$2:$G$485,7,0),0)</f>
        <v>0</v>
      </c>
      <c r="H52" s="108" t="str">
        <f t="shared" si="5"/>
        <v>!! RUPTURE</v>
      </c>
    </row>
    <row r="53" spans="1:8" ht="18" customHeight="1">
      <c r="A53" s="104" t="s">
        <v>67</v>
      </c>
      <c r="B53" s="40" t="str">
        <f>IFERROR(VLOOKUP(A53,ARTICLES!$A$2:$B$485,2,0),"")</f>
        <v>Sous-chemise carton</v>
      </c>
      <c r="C53" s="105" t="str">
        <f>IFERROR(VLOOKUP(A53,ARTICLES!$A$2:$E$485,5,0),"")</f>
        <v>Fournitures Bureau</v>
      </c>
      <c r="D53" s="106">
        <f>IFERROR(SUMPRODUCT((MOUVEMENTS!$B$3:$B$461=A53)*(MOUVEMENTS!$D$3:$D$461="IN")*(MOUVEMENTS!$A$3:$A$461&gt;=B43)*(MOUVEMENTS!$A$3:$A$461&lt;=D43)*MOUVEMENTS!$E$3:$E$461),0)</f>
        <v>0</v>
      </c>
      <c r="E53" s="106">
        <f>IFERROR(SUMPRODUCT((MOUVEMENTS!$B$3:$B$461=A53)*(MOUVEMENTS!$D$3:$D$461="OUT")*(MOUVEMENTS!$A$3:$A$461&gt;=B43)*(MOUVEMENTS!$A$3:$A$461&lt;=D43)*MOUVEMENTS!$E$3:$E$461),0)</f>
        <v>0</v>
      </c>
      <c r="F53" s="107">
        <f t="shared" si="4"/>
        <v>0</v>
      </c>
      <c r="G53" s="106">
        <f>IFERROR(F53*VLOOKUP(A53,ARTICLES!$A$2:$G$485,7,0),0)</f>
        <v>0</v>
      </c>
      <c r="H53" s="104" t="str">
        <f t="shared" si="5"/>
        <v>!! RUPTURE</v>
      </c>
    </row>
    <row r="54" spans="1:8" ht="18" customHeight="1">
      <c r="A54" s="108" t="s">
        <v>68</v>
      </c>
      <c r="B54" s="109" t="str">
        <f>IFERROR(VLOOKUP(A54,ARTICLES!$A$2:$B$485,2,0),"")</f>
        <v>Chemise cartonnee</v>
      </c>
      <c r="C54" s="110" t="str">
        <f>IFERROR(VLOOKUP(A54,ARTICLES!$A$2:$E$485,5,0),"")</f>
        <v>Fournitures Bureau</v>
      </c>
      <c r="D54" s="111">
        <f>IFERROR(SUMPRODUCT((MOUVEMENTS!$B$3:$B$461=A54)*(MOUVEMENTS!$D$3:$D$461="IN")*(MOUVEMENTS!$A$3:$A$461&gt;=B43)*(MOUVEMENTS!$A$3:$A$461&lt;=D43)*MOUVEMENTS!$E$3:$E$461),0)</f>
        <v>0</v>
      </c>
      <c r="E54" s="111">
        <f>IFERROR(SUMPRODUCT((MOUVEMENTS!$B$3:$B$461=A54)*(MOUVEMENTS!$D$3:$D$461="OUT")*(MOUVEMENTS!$A$3:$A$461&gt;=B43)*(MOUVEMENTS!$A$3:$A$461&lt;=D43)*MOUVEMENTS!$E$3:$E$461),0)</f>
        <v>0</v>
      </c>
      <c r="F54" s="112">
        <f t="shared" si="4"/>
        <v>0</v>
      </c>
      <c r="G54" s="111">
        <f>IFERROR(F54*VLOOKUP(A54,ARTICLES!$A$2:$G$485,7,0),0)</f>
        <v>0</v>
      </c>
      <c r="H54" s="108" t="str">
        <f t="shared" si="5"/>
        <v>!! RUPTURE</v>
      </c>
    </row>
    <row r="55" spans="1:8" ht="18" customHeight="1">
      <c r="A55" s="104" t="s">
        <v>69</v>
      </c>
      <c r="B55" s="40" t="str">
        <f>IFERROR(VLOOKUP(A55,ARTICLES!$A$2:$B$485,2,0),"")</f>
        <v>Rouleau papier fax</v>
      </c>
      <c r="C55" s="105" t="str">
        <f>IFERROR(VLOOKUP(A55,ARTICLES!$A$2:$E$485,5,0),"")</f>
        <v>Informatique</v>
      </c>
      <c r="D55" s="106">
        <f>IFERROR(SUMPRODUCT((MOUVEMENTS!$B$3:$B$461=A55)*(MOUVEMENTS!$D$3:$D$461="IN")*(MOUVEMENTS!$A$3:$A$461&gt;=B43)*(MOUVEMENTS!$A$3:$A$461&lt;=D43)*MOUVEMENTS!$E$3:$E$461),0)</f>
        <v>0</v>
      </c>
      <c r="E55" s="106">
        <f>IFERROR(SUMPRODUCT((MOUVEMENTS!$B$3:$B$461=A55)*(MOUVEMENTS!$D$3:$D$461="OUT")*(MOUVEMENTS!$A$3:$A$461&gt;=B43)*(MOUVEMENTS!$A$3:$A$461&lt;=D43)*MOUVEMENTS!$E$3:$E$461),0)</f>
        <v>0</v>
      </c>
      <c r="F55" s="107">
        <f t="shared" si="4"/>
        <v>0</v>
      </c>
      <c r="G55" s="106">
        <f>IFERROR(F55*VLOOKUP(A55,ARTICLES!$A$2:$G$485,7,0),0)</f>
        <v>0</v>
      </c>
      <c r="H55" s="104" t="str">
        <f t="shared" si="5"/>
        <v>!! RUPTURE</v>
      </c>
    </row>
    <row r="56" spans="1:8" ht="18" customHeight="1">
      <c r="A56" s="108" t="s">
        <v>70</v>
      </c>
      <c r="B56" s="109" t="str">
        <f>IFERROR(VLOOKUP(A56,ARTICLES!$A$2:$B$485,2,0),"")</f>
        <v>Marqueur permanent noir</v>
      </c>
      <c r="C56" s="110" t="str">
        <f>IFERROR(VLOOKUP(A56,ARTICLES!$A$2:$E$485,5,0),"")</f>
        <v>Fournitures Bureau</v>
      </c>
      <c r="D56" s="111">
        <f>IFERROR(SUMPRODUCT((MOUVEMENTS!$B$3:$B$461=A56)*(MOUVEMENTS!$D$3:$D$461="IN")*(MOUVEMENTS!$A$3:$A$461&gt;=B43)*(MOUVEMENTS!$A$3:$A$461&lt;=D43)*MOUVEMENTS!$E$3:$E$461),0)</f>
        <v>0</v>
      </c>
      <c r="E56" s="111">
        <f>IFERROR(SUMPRODUCT((MOUVEMENTS!$B$3:$B$461=A56)*(MOUVEMENTS!$D$3:$D$461="OUT")*(MOUVEMENTS!$A$3:$A$461&gt;=B43)*(MOUVEMENTS!$A$3:$A$461&lt;=D43)*MOUVEMENTS!$E$3:$E$461),0)</f>
        <v>0</v>
      </c>
      <c r="F56" s="112">
        <f t="shared" si="4"/>
        <v>0</v>
      </c>
      <c r="G56" s="111">
        <f>IFERROR(F56*VLOOKUP(A56,ARTICLES!$A$2:$G$485,7,0),0)</f>
        <v>0</v>
      </c>
      <c r="H56" s="108" t="str">
        <f t="shared" si="5"/>
        <v>!! RUPTURE</v>
      </c>
    </row>
    <row r="57" spans="1:8" ht="21.75" customHeight="1">
      <c r="A57" s="113" t="s">
        <v>189</v>
      </c>
      <c r="B57" s="235" t="s">
        <v>225</v>
      </c>
      <c r="C57" s="202"/>
      <c r="D57" s="114">
        <f>SUM(D45:D56)</f>
        <v>0</v>
      </c>
      <c r="E57" s="114">
        <f>SUM(E45:E56)</f>
        <v>0</v>
      </c>
      <c r="F57" s="114">
        <f>SUM(F45:F56)</f>
        <v>0</v>
      </c>
      <c r="G57" s="114">
        <f>SUM(G45:G56)</f>
        <v>0</v>
      </c>
      <c r="H57" s="115"/>
    </row>
    <row r="58" spans="1:8" ht="25.5" customHeight="1">
      <c r="A58" s="232" t="s">
        <v>230</v>
      </c>
      <c r="B58" s="208"/>
      <c r="C58" s="208"/>
      <c r="D58" s="208"/>
      <c r="E58" s="208"/>
      <c r="F58" s="208"/>
      <c r="G58" s="208"/>
      <c r="H58" s="208"/>
    </row>
    <row r="61" spans="1:8" ht="24" customHeight="1">
      <c r="A61" s="233" t="s">
        <v>231</v>
      </c>
      <c r="B61" s="201"/>
      <c r="C61" s="201"/>
      <c r="D61" s="201"/>
      <c r="E61" s="201"/>
      <c r="F61" s="201"/>
      <c r="G61" s="201"/>
      <c r="H61" s="202"/>
    </row>
    <row r="62" spans="1:8" ht="21.75" customHeight="1">
      <c r="A62" s="100" t="s">
        <v>214</v>
      </c>
      <c r="B62" s="117"/>
      <c r="C62" s="102" t="s">
        <v>215</v>
      </c>
      <c r="D62" s="117"/>
      <c r="E62" s="234" t="s">
        <v>216</v>
      </c>
      <c r="F62" s="187"/>
      <c r="G62" s="187"/>
      <c r="H62" s="187"/>
    </row>
    <row r="63" spans="1:8" ht="31.5" customHeight="1">
      <c r="A63" s="103" t="s">
        <v>217</v>
      </c>
      <c r="B63" s="103" t="s">
        <v>218</v>
      </c>
      <c r="C63" s="103" t="s">
        <v>219</v>
      </c>
      <c r="D63" s="103" t="s">
        <v>220</v>
      </c>
      <c r="E63" s="103" t="s">
        <v>221</v>
      </c>
      <c r="F63" s="103" t="s">
        <v>222</v>
      </c>
      <c r="G63" s="103" t="s">
        <v>223</v>
      </c>
      <c r="H63" s="103" t="s">
        <v>224</v>
      </c>
    </row>
    <row r="64" spans="1:8" ht="18" customHeight="1">
      <c r="A64" s="104" t="s">
        <v>52</v>
      </c>
      <c r="B64" s="40" t="str">
        <f>IFERROR(VLOOKUP(A64,ARTICLES!$A$2:$B$485,2,0),"")</f>
        <v>Toner imprimante G030 (noir)</v>
      </c>
      <c r="C64" s="105" t="str">
        <f>IFERROR(VLOOKUP(A64,ARTICLES!$A$2:$E$485,5,0),"")</f>
        <v>Informatique</v>
      </c>
      <c r="D64" s="106">
        <f>IFERROR(SUMPRODUCT((MOUVEMENTS!$B$3:$B$461=A64)*(MOUVEMENTS!$D$3:$D$461="IN")*(MOUVEMENTS!$A$3:$A$461&gt;=B62)*(MOUVEMENTS!$A$3:$A$461&lt;=D62)*MOUVEMENTS!$E$3:$E$461),0)</f>
        <v>0</v>
      </c>
      <c r="E64" s="106">
        <f>IFERROR(SUMPRODUCT((MOUVEMENTS!$B$3:$B$461=A64)*(MOUVEMENTS!$D$3:$D$461="OUT")*(MOUVEMENTS!$A$3:$A$461&gt;=B62)*(MOUVEMENTS!$A$3:$A$461&lt;=D62)*MOUVEMENTS!$E$3:$E$461),0)</f>
        <v>0</v>
      </c>
      <c r="F64" s="107">
        <f t="shared" ref="F64:F75" si="6">D64-E64</f>
        <v>0</v>
      </c>
      <c r="G64" s="106">
        <f>IFERROR(F64*VLOOKUP(A64,ARTICLES!$A$2:$G$485,7,0),0)</f>
        <v>0</v>
      </c>
      <c r="H64" s="104" t="str">
        <f t="shared" ref="H64:H75" si="7">IF(F64&lt;0,"!! NÉGATIF",IF(F64=0,"!! RUPTURE","OK"))</f>
        <v>!! RUPTURE</v>
      </c>
    </row>
    <row r="65" spans="1:8" ht="18" customHeight="1">
      <c r="A65" s="108" t="s">
        <v>55</v>
      </c>
      <c r="B65" s="109" t="str">
        <f>IFERROR(VLOOKUP(A65,ARTICLES!$A$2:$B$485,2,0),"")</f>
        <v>Rame papier A4 80g/m2</v>
      </c>
      <c r="C65" s="110" t="str">
        <f>IFERROR(VLOOKUP(A65,ARTICLES!$A$2:$E$485,5,0),"")</f>
        <v>Fournitures Bureau</v>
      </c>
      <c r="D65" s="111">
        <f>IFERROR(SUMPRODUCT((MOUVEMENTS!$B$3:$B$461=A65)*(MOUVEMENTS!$D$3:$D$461="IN")*(MOUVEMENTS!$A$3:$A$461&gt;=B62)*(MOUVEMENTS!$A$3:$A$461&lt;=D62)*MOUVEMENTS!$E$3:$E$461),0)</f>
        <v>0</v>
      </c>
      <c r="E65" s="111">
        <f>IFERROR(SUMPRODUCT((MOUVEMENTS!$B$3:$B$461=A65)*(MOUVEMENTS!$D$3:$D$461="OUT")*(MOUVEMENTS!$A$3:$A$461&gt;=B62)*(MOUVEMENTS!$A$3:$A$461&lt;=D62)*MOUVEMENTS!$E$3:$E$461),0)</f>
        <v>0</v>
      </c>
      <c r="F65" s="112">
        <f t="shared" si="6"/>
        <v>0</v>
      </c>
      <c r="G65" s="111">
        <f>IFERROR(F65*VLOOKUP(A65,ARTICLES!$A$2:$G$485,7,0),0)</f>
        <v>0</v>
      </c>
      <c r="H65" s="108" t="str">
        <f t="shared" si="7"/>
        <v>!! RUPTURE</v>
      </c>
    </row>
    <row r="66" spans="1:8" ht="18" customHeight="1">
      <c r="A66" s="104" t="s">
        <v>58</v>
      </c>
      <c r="B66" s="40" t="str">
        <f>IFERROR(VLOOKUP(A66,ARTICLES!$A$2:$B$485,2,0),"")</f>
        <v>Rame papier A3 80g/m2</v>
      </c>
      <c r="C66" s="105" t="str">
        <f>IFERROR(VLOOKUP(A66,ARTICLES!$A$2:$E$485,5,0),"")</f>
        <v>Fournitures Bureau</v>
      </c>
      <c r="D66" s="106">
        <f>IFERROR(SUMPRODUCT((MOUVEMENTS!$B$3:$B$461=A66)*(MOUVEMENTS!$D$3:$D$461="IN")*(MOUVEMENTS!$A$3:$A$461&gt;=B62)*(MOUVEMENTS!$A$3:$A$461&lt;=D62)*MOUVEMENTS!$E$3:$E$461),0)</f>
        <v>0</v>
      </c>
      <c r="E66" s="106">
        <f>IFERROR(SUMPRODUCT((MOUVEMENTS!$B$3:$B$461=A66)*(MOUVEMENTS!$D$3:$D$461="OUT")*(MOUVEMENTS!$A$3:$A$461&gt;=B62)*(MOUVEMENTS!$A$3:$A$461&lt;=D62)*MOUVEMENTS!$E$3:$E$461),0)</f>
        <v>0</v>
      </c>
      <c r="F66" s="107">
        <f t="shared" si="6"/>
        <v>0</v>
      </c>
      <c r="G66" s="106">
        <f>IFERROR(F66*VLOOKUP(A66,ARTICLES!$A$2:$G$485,7,0),0)</f>
        <v>0</v>
      </c>
      <c r="H66" s="104" t="str">
        <f t="shared" si="7"/>
        <v>!! RUPTURE</v>
      </c>
    </row>
    <row r="67" spans="1:8" ht="18" customHeight="1">
      <c r="A67" s="108" t="s">
        <v>59</v>
      </c>
      <c r="B67" s="109" t="str">
        <f>IFERROR(VLOOKUP(A67,ARTICLES!$A$2:$B$485,2,0),"")</f>
        <v>Boite archives carton</v>
      </c>
      <c r="C67" s="110" t="str">
        <f>IFERROR(VLOOKUP(A67,ARTICLES!$A$2:$E$485,5,0),"")</f>
        <v>Admin</v>
      </c>
      <c r="D67" s="111">
        <f>IFERROR(SUMPRODUCT((MOUVEMENTS!$B$3:$B$461=A67)*(MOUVEMENTS!$D$3:$D$461="IN")*(MOUVEMENTS!$A$3:$A$461&gt;=B62)*(MOUVEMENTS!$A$3:$A$461&lt;=D62)*MOUVEMENTS!$E$3:$E$461),0)</f>
        <v>0</v>
      </c>
      <c r="E67" s="111">
        <f>IFERROR(SUMPRODUCT((MOUVEMENTS!$B$3:$B$461=A67)*(MOUVEMENTS!$D$3:$D$461="OUT")*(MOUVEMENTS!$A$3:$A$461&gt;=B62)*(MOUVEMENTS!$A$3:$A$461&lt;=D62)*MOUVEMENTS!$E$3:$E$461),0)</f>
        <v>0</v>
      </c>
      <c r="F67" s="112">
        <f t="shared" si="6"/>
        <v>0</v>
      </c>
      <c r="G67" s="111">
        <f>IFERROR(F67*VLOOKUP(A67,ARTICLES!$A$2:$G$485,7,0),0)</f>
        <v>0</v>
      </c>
      <c r="H67" s="108" t="str">
        <f t="shared" si="7"/>
        <v>!! RUPTURE</v>
      </c>
    </row>
    <row r="68" spans="1:8" ht="18" customHeight="1">
      <c r="A68" s="104" t="s">
        <v>61</v>
      </c>
      <c r="B68" s="40" t="str">
        <f>IFERROR(VLOOKUP(A68,ARTICLES!$A$2:$B$485,2,0),"")</f>
        <v>Agrafeuse de bureau</v>
      </c>
      <c r="C68" s="105" t="str">
        <f>IFERROR(VLOOKUP(A68,ARTICLES!$A$2:$E$485,5,0),"")</f>
        <v>Fournitures Bureau</v>
      </c>
      <c r="D68" s="106">
        <f>IFERROR(SUMPRODUCT((MOUVEMENTS!$B$3:$B$461=A68)*(MOUVEMENTS!$D$3:$D$461="IN")*(MOUVEMENTS!$A$3:$A$461&gt;=B62)*(MOUVEMENTS!$A$3:$A$461&lt;=D62)*MOUVEMENTS!$E$3:$E$461),0)</f>
        <v>0</v>
      </c>
      <c r="E68" s="106">
        <f>IFERROR(SUMPRODUCT((MOUVEMENTS!$B$3:$B$461=A68)*(MOUVEMENTS!$D$3:$D$461="OUT")*(MOUVEMENTS!$A$3:$A$461&gt;=B62)*(MOUVEMENTS!$A$3:$A$461&lt;=D62)*MOUVEMENTS!$E$3:$E$461),0)</f>
        <v>0</v>
      </c>
      <c r="F68" s="107">
        <f t="shared" si="6"/>
        <v>0</v>
      </c>
      <c r="G68" s="106">
        <f>IFERROR(F68*VLOOKUP(A68,ARTICLES!$A$2:$G$485,7,0),0)</f>
        <v>0</v>
      </c>
      <c r="H68" s="104" t="str">
        <f t="shared" si="7"/>
        <v>!! RUPTURE</v>
      </c>
    </row>
    <row r="69" spans="1:8" ht="18" customHeight="1">
      <c r="A69" s="108" t="s">
        <v>63</v>
      </c>
      <c r="B69" s="109" t="str">
        <f>IFERROR(VLOOKUP(A69,ARTICLES!$A$2:$B$485,2,0),"")</f>
        <v>Stylos bille boite/50</v>
      </c>
      <c r="C69" s="110" t="str">
        <f>IFERROR(VLOOKUP(A69,ARTICLES!$A$2:$E$485,5,0),"")</f>
        <v>Fournitures Bureau</v>
      </c>
      <c r="D69" s="111">
        <f>IFERROR(SUMPRODUCT((MOUVEMENTS!$B$3:$B$461=A69)*(MOUVEMENTS!$D$3:$D$461="IN")*(MOUVEMENTS!$A$3:$A$461&gt;=B62)*(MOUVEMENTS!$A$3:$A$461&lt;=D62)*MOUVEMENTS!$E$3:$E$461),0)</f>
        <v>0</v>
      </c>
      <c r="E69" s="111">
        <f>IFERROR(SUMPRODUCT((MOUVEMENTS!$B$3:$B$461=A69)*(MOUVEMENTS!$D$3:$D$461="OUT")*(MOUVEMENTS!$A$3:$A$461&gt;=B62)*(MOUVEMENTS!$A$3:$A$461&lt;=D62)*MOUVEMENTS!$E$3:$E$461),0)</f>
        <v>0</v>
      </c>
      <c r="F69" s="112">
        <f t="shared" si="6"/>
        <v>0</v>
      </c>
      <c r="G69" s="111">
        <f>IFERROR(F69*VLOOKUP(A69,ARTICLES!$A$2:$G$485,7,0),0)</f>
        <v>0</v>
      </c>
      <c r="H69" s="108" t="str">
        <f t="shared" si="7"/>
        <v>!! RUPTURE</v>
      </c>
    </row>
    <row r="70" spans="1:8" ht="18" customHeight="1">
      <c r="A70" s="104" t="s">
        <v>64</v>
      </c>
      <c r="B70" s="40" t="str">
        <f>IFERROR(VLOOKUP(A70,ARTICLES!$A$2:$B$485,2,0),"")</f>
        <v>Registre grand format 5m</v>
      </c>
      <c r="C70" s="105" t="str">
        <f>IFERROR(VLOOKUP(A70,ARTICLES!$A$2:$E$485,5,0),"")</f>
        <v>Admin</v>
      </c>
      <c r="D70" s="106">
        <f>IFERROR(SUMPRODUCT((MOUVEMENTS!$B$3:$B$461=A70)*(MOUVEMENTS!$D$3:$D$461="IN")*(MOUVEMENTS!$A$3:$A$461&gt;=B62)*(MOUVEMENTS!$A$3:$A$461&lt;=D62)*MOUVEMENTS!$E$3:$E$461),0)</f>
        <v>0</v>
      </c>
      <c r="E70" s="106">
        <f>IFERROR(SUMPRODUCT((MOUVEMENTS!$B$3:$B$461=A70)*(MOUVEMENTS!$D$3:$D$461="OUT")*(MOUVEMENTS!$A$3:$A$461&gt;=B62)*(MOUVEMENTS!$A$3:$A$461&lt;=D62)*MOUVEMENTS!$E$3:$E$461),0)</f>
        <v>0</v>
      </c>
      <c r="F70" s="107">
        <f t="shared" si="6"/>
        <v>0</v>
      </c>
      <c r="G70" s="106">
        <f>IFERROR(F70*VLOOKUP(A70,ARTICLES!$A$2:$G$485,7,0),0)</f>
        <v>0</v>
      </c>
      <c r="H70" s="104" t="str">
        <f t="shared" si="7"/>
        <v>!! RUPTURE</v>
      </c>
    </row>
    <row r="71" spans="1:8" ht="18" customHeight="1">
      <c r="A71" s="108" t="s">
        <v>66</v>
      </c>
      <c r="B71" s="109" t="str">
        <f>IFERROR(VLOOKUP(A71,ARTICLES!$A$2:$B$485,2,0),"")</f>
        <v>Encre tampon</v>
      </c>
      <c r="C71" s="110" t="str">
        <f>IFERROR(VLOOKUP(A71,ARTICLES!$A$2:$E$485,5,0),"")</f>
        <v>Fournitures Bureau</v>
      </c>
      <c r="D71" s="111">
        <f>IFERROR(SUMPRODUCT((MOUVEMENTS!$B$3:$B$461=A71)*(MOUVEMENTS!$D$3:$D$461="IN")*(MOUVEMENTS!$A$3:$A$461&gt;=B62)*(MOUVEMENTS!$A$3:$A$461&lt;=D62)*MOUVEMENTS!$E$3:$E$461),0)</f>
        <v>0</v>
      </c>
      <c r="E71" s="111">
        <f>IFERROR(SUMPRODUCT((MOUVEMENTS!$B$3:$B$461=A71)*(MOUVEMENTS!$D$3:$D$461="OUT")*(MOUVEMENTS!$A$3:$A$461&gt;=B62)*(MOUVEMENTS!$A$3:$A$461&lt;=D62)*MOUVEMENTS!$E$3:$E$461),0)</f>
        <v>0</v>
      </c>
      <c r="F71" s="112">
        <f t="shared" si="6"/>
        <v>0</v>
      </c>
      <c r="G71" s="111">
        <f>IFERROR(F71*VLOOKUP(A71,ARTICLES!$A$2:$G$485,7,0),0)</f>
        <v>0</v>
      </c>
      <c r="H71" s="108" t="str">
        <f t="shared" si="7"/>
        <v>!! RUPTURE</v>
      </c>
    </row>
    <row r="72" spans="1:8" ht="18" customHeight="1">
      <c r="A72" s="104" t="s">
        <v>67</v>
      </c>
      <c r="B72" s="40" t="str">
        <f>IFERROR(VLOOKUP(A72,ARTICLES!$A$2:$B$485,2,0),"")</f>
        <v>Sous-chemise carton</v>
      </c>
      <c r="C72" s="105" t="str">
        <f>IFERROR(VLOOKUP(A72,ARTICLES!$A$2:$E$485,5,0),"")</f>
        <v>Fournitures Bureau</v>
      </c>
      <c r="D72" s="106">
        <f>IFERROR(SUMPRODUCT((MOUVEMENTS!$B$3:$B$461=A72)*(MOUVEMENTS!$D$3:$D$461="IN")*(MOUVEMENTS!$A$3:$A$461&gt;=B62)*(MOUVEMENTS!$A$3:$A$461&lt;=D62)*MOUVEMENTS!$E$3:$E$461),0)</f>
        <v>0</v>
      </c>
      <c r="E72" s="106">
        <f>IFERROR(SUMPRODUCT((MOUVEMENTS!$B$3:$B$461=A72)*(MOUVEMENTS!$D$3:$D$461="OUT")*(MOUVEMENTS!$A$3:$A$461&gt;=B62)*(MOUVEMENTS!$A$3:$A$461&lt;=D62)*MOUVEMENTS!$E$3:$E$461),0)</f>
        <v>0</v>
      </c>
      <c r="F72" s="107">
        <f t="shared" si="6"/>
        <v>0</v>
      </c>
      <c r="G72" s="106">
        <f>IFERROR(F72*VLOOKUP(A72,ARTICLES!$A$2:$G$485,7,0),0)</f>
        <v>0</v>
      </c>
      <c r="H72" s="104" t="str">
        <f t="shared" si="7"/>
        <v>!! RUPTURE</v>
      </c>
    </row>
    <row r="73" spans="1:8" ht="18" customHeight="1">
      <c r="A73" s="108" t="s">
        <v>68</v>
      </c>
      <c r="B73" s="109" t="str">
        <f>IFERROR(VLOOKUP(A73,ARTICLES!$A$2:$B$485,2,0),"")</f>
        <v>Chemise cartonnee</v>
      </c>
      <c r="C73" s="110" t="str">
        <f>IFERROR(VLOOKUP(A73,ARTICLES!$A$2:$E$485,5,0),"")</f>
        <v>Fournitures Bureau</v>
      </c>
      <c r="D73" s="111">
        <f>IFERROR(SUMPRODUCT((MOUVEMENTS!$B$3:$B$461=A73)*(MOUVEMENTS!$D$3:$D$461="IN")*(MOUVEMENTS!$A$3:$A$461&gt;=B62)*(MOUVEMENTS!$A$3:$A$461&lt;=D62)*MOUVEMENTS!$E$3:$E$461),0)</f>
        <v>0</v>
      </c>
      <c r="E73" s="111">
        <f>IFERROR(SUMPRODUCT((MOUVEMENTS!$B$3:$B$461=A73)*(MOUVEMENTS!$D$3:$D$461="OUT")*(MOUVEMENTS!$A$3:$A$461&gt;=B62)*(MOUVEMENTS!$A$3:$A$461&lt;=D62)*MOUVEMENTS!$E$3:$E$461),0)</f>
        <v>0</v>
      </c>
      <c r="F73" s="112">
        <f t="shared" si="6"/>
        <v>0</v>
      </c>
      <c r="G73" s="111">
        <f>IFERROR(F73*VLOOKUP(A73,ARTICLES!$A$2:$G$485,7,0),0)</f>
        <v>0</v>
      </c>
      <c r="H73" s="108" t="str">
        <f t="shared" si="7"/>
        <v>!! RUPTURE</v>
      </c>
    </row>
    <row r="74" spans="1:8" ht="18" customHeight="1">
      <c r="A74" s="104" t="s">
        <v>69</v>
      </c>
      <c r="B74" s="40" t="str">
        <f>IFERROR(VLOOKUP(A74,ARTICLES!$A$2:$B$485,2,0),"")</f>
        <v>Rouleau papier fax</v>
      </c>
      <c r="C74" s="105" t="str">
        <f>IFERROR(VLOOKUP(A74,ARTICLES!$A$2:$E$485,5,0),"")</f>
        <v>Informatique</v>
      </c>
      <c r="D74" s="106">
        <f>IFERROR(SUMPRODUCT((MOUVEMENTS!$B$3:$B$461=A74)*(MOUVEMENTS!$D$3:$D$461="IN")*(MOUVEMENTS!$A$3:$A$461&gt;=B62)*(MOUVEMENTS!$A$3:$A$461&lt;=D62)*MOUVEMENTS!$E$3:$E$461),0)</f>
        <v>0</v>
      </c>
      <c r="E74" s="106">
        <f>IFERROR(SUMPRODUCT((MOUVEMENTS!$B$3:$B$461=A74)*(MOUVEMENTS!$D$3:$D$461="OUT")*(MOUVEMENTS!$A$3:$A$461&gt;=B62)*(MOUVEMENTS!$A$3:$A$461&lt;=D62)*MOUVEMENTS!$E$3:$E$461),0)</f>
        <v>0</v>
      </c>
      <c r="F74" s="107">
        <f t="shared" si="6"/>
        <v>0</v>
      </c>
      <c r="G74" s="106">
        <f>IFERROR(F74*VLOOKUP(A74,ARTICLES!$A$2:$G$485,7,0),0)</f>
        <v>0</v>
      </c>
      <c r="H74" s="104" t="str">
        <f t="shared" si="7"/>
        <v>!! RUPTURE</v>
      </c>
    </row>
    <row r="75" spans="1:8" ht="18" customHeight="1">
      <c r="A75" s="108" t="s">
        <v>70</v>
      </c>
      <c r="B75" s="109" t="str">
        <f>IFERROR(VLOOKUP(A75,ARTICLES!$A$2:$B$485,2,0),"")</f>
        <v>Marqueur permanent noir</v>
      </c>
      <c r="C75" s="110" t="str">
        <f>IFERROR(VLOOKUP(A75,ARTICLES!$A$2:$E$485,5,0),"")</f>
        <v>Fournitures Bureau</v>
      </c>
      <c r="D75" s="111">
        <f>IFERROR(SUMPRODUCT((MOUVEMENTS!$B$3:$B$461=A75)*(MOUVEMENTS!$D$3:$D$461="IN")*(MOUVEMENTS!$A$3:$A$461&gt;=B62)*(MOUVEMENTS!$A$3:$A$461&lt;=D62)*MOUVEMENTS!$E$3:$E$461),0)</f>
        <v>0</v>
      </c>
      <c r="E75" s="111">
        <f>IFERROR(SUMPRODUCT((MOUVEMENTS!$B$3:$B$461=A75)*(MOUVEMENTS!$D$3:$D$461="OUT")*(MOUVEMENTS!$A$3:$A$461&gt;=B62)*(MOUVEMENTS!$A$3:$A$461&lt;=D62)*MOUVEMENTS!$E$3:$E$461),0)</f>
        <v>0</v>
      </c>
      <c r="F75" s="112">
        <f t="shared" si="6"/>
        <v>0</v>
      </c>
      <c r="G75" s="111">
        <f>IFERROR(F75*VLOOKUP(A75,ARTICLES!$A$2:$G$485,7,0),0)</f>
        <v>0</v>
      </c>
      <c r="H75" s="108" t="str">
        <f t="shared" si="7"/>
        <v>!! RUPTURE</v>
      </c>
    </row>
    <row r="76" spans="1:8" ht="21.75" customHeight="1">
      <c r="A76" s="113" t="s">
        <v>189</v>
      </c>
      <c r="B76" s="235" t="s">
        <v>225</v>
      </c>
      <c r="C76" s="202"/>
      <c r="D76" s="114">
        <f>SUM(D64:D75)</f>
        <v>0</v>
      </c>
      <c r="E76" s="114">
        <f>SUM(E64:E75)</f>
        <v>0</v>
      </c>
      <c r="F76" s="114">
        <f>SUM(F64:F75)</f>
        <v>0</v>
      </c>
      <c r="G76" s="114">
        <f>SUM(G64:G75)</f>
        <v>0</v>
      </c>
      <c r="H76" s="115"/>
    </row>
    <row r="77" spans="1:8" ht="25.5" customHeight="1">
      <c r="A77" s="232" t="s">
        <v>232</v>
      </c>
      <c r="B77" s="208"/>
      <c r="C77" s="208"/>
      <c r="D77" s="208"/>
      <c r="E77" s="208"/>
      <c r="F77" s="208"/>
      <c r="G77" s="208"/>
      <c r="H77" s="208"/>
    </row>
    <row r="79" spans="1:8" ht="13.5" customHeight="1">
      <c r="A79" s="194" t="s">
        <v>157</v>
      </c>
      <c r="B79" s="195"/>
      <c r="C79" s="195"/>
      <c r="D79" s="195"/>
      <c r="E79" s="195"/>
      <c r="F79" s="195"/>
      <c r="G79" s="195"/>
      <c r="H79" s="183"/>
    </row>
  </sheetData>
  <sheetProtection algorithmName="SHA-512" hashValue="zq6rRIBrBKgkxqnXBz7uYco8QtNIe0/Dhsqc6z6ME2TUkiw/ZfXNFJZJIeOUykiQR1mnmPaXW+5WU9T2KPBoyg==" saltValue="EV/gduZuKFS6UFNwGJF3eg==" spinCount="100000" sheet="1" objects="1" scenarios="1" autoFilter="0"/>
  <mergeCells count="19">
    <mergeCell ref="A4:H4"/>
    <mergeCell ref="A20:H20"/>
    <mergeCell ref="B76:C76"/>
    <mergeCell ref="A58:H58"/>
    <mergeCell ref="A77:H77"/>
    <mergeCell ref="A39:H39"/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37" t="s">
        <v>233</v>
      </c>
      <c r="B1" s="187"/>
      <c r="C1" s="187"/>
      <c r="D1" s="187"/>
    </row>
    <row r="3" spans="1:4" ht="21.75" customHeight="1">
      <c r="A3" s="118" t="s">
        <v>234</v>
      </c>
      <c r="B3" s="119" t="s">
        <v>235</v>
      </c>
      <c r="C3" s="120">
        <v>2900</v>
      </c>
      <c r="D3" s="71" t="s">
        <v>236</v>
      </c>
    </row>
    <row r="4" spans="1:4" ht="21.75" customHeight="1">
      <c r="A4" s="118" t="s">
        <v>237</v>
      </c>
      <c r="B4" s="119" t="s">
        <v>238</v>
      </c>
      <c r="C4" s="120">
        <v>50</v>
      </c>
      <c r="D4" s="71" t="s">
        <v>239</v>
      </c>
    </row>
    <row r="5" spans="1:4" ht="21.75" customHeight="1">
      <c r="A5" s="118" t="s">
        <v>240</v>
      </c>
      <c r="B5" s="119" t="s">
        <v>241</v>
      </c>
      <c r="C5" s="120">
        <v>400</v>
      </c>
      <c r="D5" s="71" t="s">
        <v>242</v>
      </c>
    </row>
    <row r="6" spans="1:4" ht="21.75" customHeight="1">
      <c r="A6" s="118" t="s">
        <v>243</v>
      </c>
      <c r="B6" s="119" t="s">
        <v>244</v>
      </c>
      <c r="C6" s="121">
        <v>0.2</v>
      </c>
      <c r="D6" s="71" t="s">
        <v>245</v>
      </c>
    </row>
    <row r="7" spans="1:4" ht="21.75" customHeight="1">
      <c r="A7" s="118" t="s">
        <v>246</v>
      </c>
      <c r="B7" s="119" t="s">
        <v>247</v>
      </c>
      <c r="C7" s="120">
        <v>200</v>
      </c>
      <c r="D7" s="71" t="s">
        <v>248</v>
      </c>
    </row>
    <row r="8" spans="1:4" ht="21.75" customHeight="1">
      <c r="A8" s="118" t="s">
        <v>249</v>
      </c>
      <c r="B8" s="119" t="s">
        <v>250</v>
      </c>
      <c r="C8" s="120">
        <v>2</v>
      </c>
      <c r="D8" s="71" t="s">
        <v>251</v>
      </c>
    </row>
    <row r="9" spans="1:4" ht="9.75" customHeight="1"/>
    <row r="10" spans="1:4" ht="15" customHeight="1">
      <c r="A10" s="239" t="s">
        <v>252</v>
      </c>
      <c r="B10" s="187"/>
      <c r="C10" s="187"/>
      <c r="D10" s="187"/>
    </row>
    <row r="11" spans="1:4" ht="21.75" customHeight="1">
      <c r="A11" s="122" t="s">
        <v>253</v>
      </c>
      <c r="B11" s="119" t="s">
        <v>254</v>
      </c>
      <c r="C11" s="123">
        <f>ROUND(SQRT(2*C3*C4/(C6*C5)),0)</f>
        <v>60</v>
      </c>
      <c r="D11" s="71" t="s">
        <v>248</v>
      </c>
    </row>
    <row r="12" spans="1:4" ht="21.75" customHeight="1">
      <c r="A12" s="122" t="s">
        <v>255</v>
      </c>
      <c r="B12" s="119" t="s">
        <v>256</v>
      </c>
      <c r="C12" s="123">
        <f>ROUND(C3/C11,1)</f>
        <v>48.3</v>
      </c>
      <c r="D12" s="71" t="s">
        <v>257</v>
      </c>
    </row>
    <row r="13" spans="1:4" ht="21.75" customHeight="1">
      <c r="A13" s="122" t="s">
        <v>201</v>
      </c>
      <c r="B13" s="119" t="s">
        <v>258</v>
      </c>
      <c r="C13" s="123">
        <f>ROUND(C7+(C3/250)*C8,0)</f>
        <v>223</v>
      </c>
      <c r="D13" s="71" t="s">
        <v>248</v>
      </c>
    </row>
    <row r="14" spans="1:4" ht="21.75" customHeight="1">
      <c r="A14" s="122" t="s">
        <v>259</v>
      </c>
      <c r="B14" s="119" t="s">
        <v>260</v>
      </c>
      <c r="C14" s="123">
        <f>ROUND((C3/C11)*C4,0)</f>
        <v>2417</v>
      </c>
      <c r="D14" s="71" t="s">
        <v>261</v>
      </c>
    </row>
    <row r="15" spans="1:4" ht="21.75" customHeight="1">
      <c r="A15" s="122" t="s">
        <v>262</v>
      </c>
      <c r="B15" s="119" t="s">
        <v>263</v>
      </c>
      <c r="C15" s="123">
        <f>ROUND((C11/2+C7)*C6*C5,0)</f>
        <v>18400</v>
      </c>
      <c r="D15" s="71" t="s">
        <v>261</v>
      </c>
    </row>
    <row r="16" spans="1:4" ht="21.75" customHeight="1">
      <c r="A16" s="122" t="s">
        <v>264</v>
      </c>
      <c r="B16" s="119" t="s">
        <v>265</v>
      </c>
      <c r="C16" s="123">
        <f>C14+C15</f>
        <v>20817</v>
      </c>
      <c r="D16" s="71" t="s">
        <v>261</v>
      </c>
    </row>
    <row r="18" spans="1:4" ht="36" customHeight="1">
      <c r="A18" s="238" t="s">
        <v>266</v>
      </c>
      <c r="B18" s="187"/>
      <c r="C18" s="187"/>
      <c r="D18" s="187"/>
    </row>
  </sheetData>
  <sheetProtection algorithmName="SHA-512" hashValue="K/6lAjsSTGhlRrUWb3t9SXaJopnY858uy1jNUYlx/8W/PSZ9pNkXt1k+4qfjFqWE3Tr7h7pgRe+h6kHsEEq+pg==" saltValue="/5ukU7IebLLqE9NctrOl3w==" spinCount="100000" sheet="1" objects="1" scenarios="1" autoFilter="0"/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37" t="s">
        <v>267</v>
      </c>
      <c r="B1" s="187"/>
      <c r="C1" s="187"/>
      <c r="D1" s="187"/>
      <c r="E1" s="187"/>
      <c r="F1" s="187"/>
      <c r="G1" s="187"/>
    </row>
    <row r="2" spans="1:8" ht="21.75" customHeight="1">
      <c r="A2" s="124" t="s">
        <v>268</v>
      </c>
      <c r="B2" s="125" t="s">
        <v>269</v>
      </c>
      <c r="C2" s="124" t="s">
        <v>270</v>
      </c>
      <c r="D2" s="124" t="s">
        <v>47</v>
      </c>
      <c r="E2" s="124" t="s">
        <v>51</v>
      </c>
      <c r="F2" s="124" t="s">
        <v>271</v>
      </c>
      <c r="G2" s="124" t="s">
        <v>272</v>
      </c>
      <c r="H2" s="124" t="s">
        <v>183</v>
      </c>
    </row>
    <row r="3" spans="1:8" ht="15" customHeight="1">
      <c r="A3" s="126" t="s">
        <v>273</v>
      </c>
      <c r="B3" s="127" t="s">
        <v>274</v>
      </c>
      <c r="C3" s="126" t="s">
        <v>275</v>
      </c>
      <c r="D3" s="126" t="s">
        <v>52</v>
      </c>
      <c r="E3" s="126" t="s">
        <v>54</v>
      </c>
      <c r="F3" s="57">
        <v>500</v>
      </c>
      <c r="G3" s="57">
        <v>405</v>
      </c>
      <c r="H3" s="126" t="s">
        <v>276</v>
      </c>
    </row>
    <row r="4" spans="1:8" ht="15" customHeight="1">
      <c r="A4" s="126" t="s">
        <v>277</v>
      </c>
      <c r="B4" s="127" t="s">
        <v>90</v>
      </c>
      <c r="C4" s="126" t="s">
        <v>278</v>
      </c>
      <c r="D4" s="126" t="s">
        <v>55</v>
      </c>
      <c r="E4" s="126" t="s">
        <v>57</v>
      </c>
      <c r="F4" s="57">
        <v>5</v>
      </c>
      <c r="G4" s="57">
        <v>5</v>
      </c>
      <c r="H4" s="126" t="s">
        <v>276</v>
      </c>
    </row>
    <row r="5" spans="1:8" ht="15" customHeight="1">
      <c r="A5" s="126" t="s">
        <v>279</v>
      </c>
      <c r="B5" s="127" t="s">
        <v>90</v>
      </c>
      <c r="C5" s="126" t="s">
        <v>278</v>
      </c>
      <c r="D5" s="126" t="s">
        <v>58</v>
      </c>
      <c r="E5" s="126" t="s">
        <v>54</v>
      </c>
      <c r="F5" s="57">
        <v>100</v>
      </c>
      <c r="G5" s="57">
        <v>100</v>
      </c>
      <c r="H5" s="126" t="s">
        <v>276</v>
      </c>
    </row>
    <row r="6" spans="1:8" ht="15" customHeight="1">
      <c r="A6" s="128" t="s">
        <v>280</v>
      </c>
      <c r="B6" s="127" t="s">
        <v>281</v>
      </c>
      <c r="C6" s="128" t="s">
        <v>282</v>
      </c>
      <c r="D6" s="128" t="s">
        <v>52</v>
      </c>
      <c r="E6" s="128" t="s">
        <v>54</v>
      </c>
      <c r="F6" s="60">
        <v>60</v>
      </c>
      <c r="G6" s="60"/>
      <c r="H6" s="128" t="s">
        <v>283</v>
      </c>
    </row>
    <row r="7" spans="1:8" ht="15" customHeight="1">
      <c r="A7" s="128" t="s">
        <v>284</v>
      </c>
      <c r="B7" s="127" t="s">
        <v>281</v>
      </c>
      <c r="C7" s="128" t="s">
        <v>282</v>
      </c>
      <c r="D7" s="128" t="s">
        <v>55</v>
      </c>
      <c r="E7" s="128" t="s">
        <v>57</v>
      </c>
      <c r="F7" s="60">
        <v>5</v>
      </c>
      <c r="G7" s="60"/>
      <c r="H7" s="128" t="s">
        <v>283</v>
      </c>
    </row>
  </sheetData>
  <sheetProtection algorithmName="SHA-512" hashValue="r5ewrWzfnlz23Q60WJQlQV5JTM5INBJq2+XOVJmhedLShbGIJmnCuPROhUMW+qd7rsy2JQojcdW+mSHJJ39mgw==" saltValue="nTEegL6t4/qRs4OpzdnBRg==" spinCount="100000" sheet="1" objects="1" scenarios="1" autoFilter="0"/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45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47" t="s">
        <v>288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4" t="s">
        <v>289</v>
      </c>
      <c r="C6" s="183"/>
      <c r="D6" s="242"/>
      <c r="E6" s="201"/>
      <c r="F6" s="201"/>
      <c r="G6" s="201"/>
      <c r="H6" s="202"/>
    </row>
    <row r="7" spans="1:8" ht="13.5" customHeight="1">
      <c r="A7" s="243" t="s">
        <v>290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291</v>
      </c>
      <c r="C8" s="183"/>
      <c r="D8" s="255">
        <f ca="1">TODAY()</f>
        <v>46159</v>
      </c>
      <c r="E8" s="201"/>
      <c r="F8" s="201"/>
      <c r="G8" s="201"/>
      <c r="H8" s="202"/>
    </row>
    <row r="9" spans="1:8" ht="21.75" customHeight="1">
      <c r="B9" s="244" t="s">
        <v>292</v>
      </c>
      <c r="C9" s="183"/>
      <c r="D9" s="253"/>
      <c r="E9" s="201"/>
      <c r="F9" s="201"/>
      <c r="G9" s="201"/>
      <c r="H9" s="202"/>
    </row>
    <row r="10" spans="1:8" ht="21.75" customHeight="1">
      <c r="B10" s="244" t="s">
        <v>172</v>
      </c>
      <c r="C10" s="183"/>
      <c r="D10" s="253"/>
      <c r="E10" s="201"/>
      <c r="F10" s="201"/>
      <c r="G10" s="201"/>
      <c r="H10" s="202"/>
    </row>
    <row r="11" spans="1:8" ht="13.5" customHeight="1">
      <c r="A11" s="243" t="s">
        <v>293</v>
      </c>
      <c r="B11" s="208"/>
      <c r="C11" s="208"/>
      <c r="D11" s="208"/>
      <c r="E11" s="208"/>
      <c r="F11" s="208"/>
      <c r="G11" s="208"/>
      <c r="H11" s="208"/>
    </row>
    <row r="12" spans="1:8" ht="6" customHeight="1">
      <c r="B12" s="1" t="s">
        <v>506</v>
      </c>
    </row>
    <row r="13" spans="1:8" ht="31.5" customHeight="1">
      <c r="A13" s="129" t="s">
        <v>294</v>
      </c>
      <c r="B13" s="129" t="s">
        <v>507</v>
      </c>
      <c r="C13" s="129" t="s">
        <v>296</v>
      </c>
      <c r="D13" s="129" t="s">
        <v>48</v>
      </c>
      <c r="E13" s="129" t="s">
        <v>297</v>
      </c>
      <c r="F13" s="129" t="s">
        <v>298</v>
      </c>
      <c r="G13" s="129" t="s">
        <v>299</v>
      </c>
      <c r="H13" s="129" t="s">
        <v>300</v>
      </c>
    </row>
    <row r="14" spans="1:8" ht="19.5" customHeight="1">
      <c r="A14" s="130">
        <v>1</v>
      </c>
      <c r="B14" s="131"/>
      <c r="C14" s="132" t="str">
        <f>IFERROR(VLOOKUP(B14,ARTICLES!$A$2:$G$485,2,0),"")</f>
        <v/>
      </c>
      <c r="D14" s="133" t="str">
        <f>IFERROR(VLOOKUP(B14,ARTICLES!$A$2:$G$485,3,0),"")</f>
        <v/>
      </c>
      <c r="E14" s="134"/>
      <c r="F14" s="134"/>
      <c r="G14" s="111" t="str">
        <f>IFERROR(VLOOKUP(B14,ARTICLES!$A$2:$G$485,7,0),"")</f>
        <v/>
      </c>
      <c r="H14" s="111" t="str">
        <f t="shared" ref="H14:H21" si="0">IFERROR(F14*G14,"")</f>
        <v/>
      </c>
    </row>
    <row r="15" spans="1:8" ht="19.5" customHeight="1">
      <c r="A15" s="130">
        <v>2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si="0"/>
        <v/>
      </c>
    </row>
    <row r="16" spans="1:8" ht="19.5" customHeight="1">
      <c r="A16" s="130">
        <v>3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4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5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6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7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8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21.75" customHeight="1">
      <c r="A22" s="235" t="s">
        <v>301</v>
      </c>
      <c r="B22" s="201"/>
      <c r="C22" s="201"/>
      <c r="D22" s="201"/>
      <c r="E22" s="201"/>
      <c r="F22" s="201"/>
      <c r="G22" s="202"/>
      <c r="H22" s="135">
        <f>SUM(H14:H21)</f>
        <v>0</v>
      </c>
    </row>
    <row r="23" spans="1:8" ht="13.5" customHeight="1">
      <c r="A23" s="243" t="s">
        <v>302</v>
      </c>
      <c r="B23" s="208"/>
      <c r="C23" s="208"/>
      <c r="D23" s="208"/>
      <c r="E23" s="208"/>
      <c r="F23" s="208"/>
      <c r="G23" s="208"/>
      <c r="H23" s="208"/>
    </row>
    <row r="24" spans="1:8" ht="18" customHeight="1">
      <c r="A24" s="254" t="s">
        <v>303</v>
      </c>
      <c r="B24" s="195"/>
      <c r="C24" s="195"/>
      <c r="D24" s="195"/>
      <c r="E24" s="195"/>
      <c r="F24" s="195"/>
      <c r="G24" s="195"/>
      <c r="H24" s="183"/>
    </row>
    <row r="25" spans="1:8" ht="18" customHeight="1">
      <c r="A25" s="248"/>
      <c r="B25" s="249"/>
      <c r="C25" s="249"/>
      <c r="D25" s="249"/>
      <c r="E25" s="249"/>
      <c r="F25" s="249"/>
      <c r="G25" s="249"/>
      <c r="H25" s="250"/>
    </row>
    <row r="26" spans="1:8" ht="18" customHeight="1">
      <c r="A26" s="251"/>
      <c r="B26" s="208"/>
      <c r="C26" s="208"/>
      <c r="D26" s="208"/>
      <c r="E26" s="208"/>
      <c r="F26" s="208"/>
      <c r="G26" s="208"/>
      <c r="H26" s="252"/>
    </row>
    <row r="27" spans="1:8" ht="7.5" customHeight="1"/>
    <row r="28" spans="1:8" ht="24" customHeight="1">
      <c r="A28" s="241" t="s">
        <v>304</v>
      </c>
      <c r="B28" s="201"/>
      <c r="C28" s="202"/>
      <c r="D28" s="241" t="s">
        <v>305</v>
      </c>
      <c r="E28" s="201"/>
      <c r="F28" s="202"/>
      <c r="G28" s="241" t="s">
        <v>306</v>
      </c>
      <c r="H28" s="202"/>
    </row>
    <row r="29" spans="1:8" ht="24" customHeight="1">
      <c r="A29" s="256" t="s">
        <v>307</v>
      </c>
      <c r="B29" s="257"/>
      <c r="C29" s="258"/>
      <c r="D29" s="256" t="s">
        <v>307</v>
      </c>
      <c r="E29" s="257"/>
      <c r="F29" s="258"/>
      <c r="G29" s="256" t="s">
        <v>307</v>
      </c>
      <c r="H29" s="258"/>
    </row>
    <row r="30" spans="1:8" ht="24" customHeight="1">
      <c r="A30" s="259"/>
      <c r="B30" s="260"/>
      <c r="C30" s="261"/>
      <c r="D30" s="259"/>
      <c r="E30" s="260"/>
      <c r="F30" s="261"/>
      <c r="G30" s="259"/>
      <c r="H30" s="261"/>
    </row>
    <row r="31" spans="1:8" ht="13.5" customHeight="1">
      <c r="A31" s="243" t="s">
        <v>308</v>
      </c>
      <c r="B31" s="208"/>
      <c r="C31" s="208"/>
      <c r="D31" s="208"/>
      <c r="E31" s="208"/>
      <c r="F31" s="208"/>
      <c r="G31" s="208"/>
      <c r="H31" s="208"/>
    </row>
    <row r="32" spans="1:8" ht="13.5" customHeight="1">
      <c r="A32" s="194" t="s">
        <v>157</v>
      </c>
      <c r="B32" s="195"/>
      <c r="C32" s="195"/>
      <c r="D32" s="195"/>
      <c r="E32" s="195"/>
      <c r="F32" s="195"/>
      <c r="G32" s="195"/>
      <c r="H32" s="183"/>
    </row>
  </sheetData>
  <sheetProtection algorithmName="SHA-512" hashValue="wYiq9d4V8DPgXVvvzdrbVuhRZYkU5uAFh2cn9V0kR7LjTJJWMWUCVVub0MLgB6akJ25FZLjwizHUx7Eqz1PIWA==" saltValue="6HO5d22EBh2a0oOYAu+w/A==" spinCount="100000" sheet="1" objects="1" scenarios="1" autoFilter="0"/>
  <mergeCells count="26"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45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47" t="s">
        <v>309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4" t="s">
        <v>310</v>
      </c>
      <c r="C6" s="183"/>
      <c r="D6" s="242"/>
      <c r="E6" s="201"/>
      <c r="F6" s="201"/>
      <c r="G6" s="201"/>
      <c r="H6" s="202"/>
    </row>
    <row r="7" spans="1:8" ht="13.5" customHeight="1">
      <c r="A7" s="243" t="s">
        <v>311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312</v>
      </c>
      <c r="C8" s="183"/>
      <c r="D8" s="255">
        <f ca="1">TODAY()</f>
        <v>46159</v>
      </c>
      <c r="E8" s="201"/>
      <c r="F8" s="201"/>
      <c r="G8" s="201"/>
      <c r="H8" s="202"/>
    </row>
    <row r="9" spans="1:8" ht="21.75" customHeight="1">
      <c r="B9" s="244" t="s">
        <v>313</v>
      </c>
      <c r="C9" s="183"/>
      <c r="D9" s="248"/>
      <c r="E9" s="201"/>
      <c r="F9" s="201"/>
      <c r="G9" s="201"/>
      <c r="H9" s="202"/>
    </row>
    <row r="10" spans="1:8" ht="13.5" customHeight="1">
      <c r="A10" s="243" t="s">
        <v>314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4" t="s">
        <v>315</v>
      </c>
      <c r="C11" s="183"/>
      <c r="D11" s="248"/>
      <c r="E11" s="201"/>
      <c r="F11" s="201"/>
      <c r="G11" s="201"/>
      <c r="H11" s="202"/>
    </row>
    <row r="12" spans="1:8" ht="13.5" customHeight="1">
      <c r="A12" s="243" t="s">
        <v>316</v>
      </c>
      <c r="B12" s="208"/>
      <c r="C12" s="208"/>
      <c r="D12" s="208"/>
      <c r="E12" s="208"/>
      <c r="F12" s="208"/>
      <c r="G12" s="208"/>
      <c r="H12" s="208"/>
    </row>
    <row r="13" spans="1:8" ht="6" customHeight="1"/>
    <row r="14" spans="1:8" ht="31.5" customHeight="1">
      <c r="A14" s="129" t="s">
        <v>294</v>
      </c>
      <c r="B14" s="129" t="s">
        <v>295</v>
      </c>
      <c r="C14" s="129" t="s">
        <v>296</v>
      </c>
      <c r="D14" s="129" t="s">
        <v>48</v>
      </c>
      <c r="E14" s="129" t="s">
        <v>297</v>
      </c>
      <c r="F14" s="129" t="s">
        <v>298</v>
      </c>
      <c r="G14" s="129" t="s">
        <v>299</v>
      </c>
      <c r="H14" s="129" t="s">
        <v>300</v>
      </c>
    </row>
    <row r="15" spans="1:8" ht="19.5" customHeight="1">
      <c r="A15" s="130">
        <v>1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ref="H15:H20" si="0">IFERROR(F15*G15,"")</f>
        <v/>
      </c>
    </row>
    <row r="16" spans="1:8" ht="19.5" customHeight="1">
      <c r="A16" s="130">
        <v>2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3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4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5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6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21.75" customHeight="1">
      <c r="A21" s="235" t="s">
        <v>301</v>
      </c>
      <c r="B21" s="201"/>
      <c r="C21" s="201"/>
      <c r="D21" s="201"/>
      <c r="E21" s="201"/>
      <c r="F21" s="201"/>
      <c r="G21" s="202"/>
      <c r="H21" s="135">
        <f>SUM(H15:H20)</f>
        <v>0</v>
      </c>
    </row>
    <row r="22" spans="1:8" ht="13.5" customHeight="1">
      <c r="A22" s="243" t="s">
        <v>317</v>
      </c>
      <c r="B22" s="208"/>
      <c r="C22" s="208"/>
      <c r="D22" s="208"/>
      <c r="E22" s="208"/>
      <c r="F22" s="208"/>
      <c r="G22" s="208"/>
      <c r="H22" s="208"/>
    </row>
    <row r="23" spans="1:8" ht="18" customHeight="1">
      <c r="A23" s="254" t="s">
        <v>303</v>
      </c>
      <c r="B23" s="195"/>
      <c r="C23" s="195"/>
      <c r="D23" s="195"/>
      <c r="E23" s="195"/>
      <c r="F23" s="195"/>
      <c r="G23" s="195"/>
      <c r="H23" s="183"/>
    </row>
    <row r="24" spans="1:8" ht="18" customHeight="1">
      <c r="A24" s="248"/>
      <c r="B24" s="249"/>
      <c r="C24" s="249"/>
      <c r="D24" s="249"/>
      <c r="E24" s="249"/>
      <c r="F24" s="249"/>
      <c r="G24" s="249"/>
      <c r="H24" s="250"/>
    </row>
    <row r="25" spans="1:8" ht="18" customHeight="1">
      <c r="A25" s="251"/>
      <c r="B25" s="208"/>
      <c r="C25" s="208"/>
      <c r="D25" s="208"/>
      <c r="E25" s="208"/>
      <c r="F25" s="208"/>
      <c r="G25" s="208"/>
      <c r="H25" s="252"/>
    </row>
    <row r="26" spans="1:8" ht="7.5" customHeight="1"/>
    <row r="27" spans="1:8" ht="24" customHeight="1">
      <c r="A27" s="241" t="s">
        <v>318</v>
      </c>
      <c r="B27" s="202"/>
      <c r="C27" s="241" t="s">
        <v>319</v>
      </c>
      <c r="D27" s="201"/>
      <c r="E27" s="202"/>
      <c r="F27" s="241" t="s">
        <v>320</v>
      </c>
      <c r="G27" s="201"/>
      <c r="H27" s="202"/>
    </row>
    <row r="28" spans="1:8" ht="24" customHeight="1">
      <c r="A28" s="256" t="s">
        <v>307</v>
      </c>
      <c r="B28" s="258"/>
      <c r="C28" s="256" t="s">
        <v>307</v>
      </c>
      <c r="D28" s="257"/>
      <c r="E28" s="258"/>
      <c r="F28" s="256" t="s">
        <v>307</v>
      </c>
      <c r="G28" s="257"/>
      <c r="H28" s="258"/>
    </row>
    <row r="29" spans="1:8" ht="24" customHeight="1">
      <c r="A29" s="259"/>
      <c r="B29" s="261"/>
      <c r="C29" s="259"/>
      <c r="D29" s="260"/>
      <c r="E29" s="261"/>
      <c r="F29" s="259"/>
      <c r="G29" s="260"/>
      <c r="H29" s="261"/>
    </row>
    <row r="30" spans="1:8" ht="13.5" customHeight="1">
      <c r="A30" s="243" t="s">
        <v>321</v>
      </c>
      <c r="B30" s="208"/>
      <c r="C30" s="208"/>
      <c r="D30" s="208"/>
      <c r="E30" s="208"/>
      <c r="F30" s="208"/>
      <c r="G30" s="208"/>
      <c r="H30" s="208"/>
    </row>
    <row r="31" spans="1:8" ht="13.5" customHeight="1">
      <c r="A31" s="194" t="s">
        <v>157</v>
      </c>
      <c r="B31" s="195"/>
      <c r="C31" s="195"/>
      <c r="D31" s="195"/>
      <c r="E31" s="195"/>
      <c r="F31" s="195"/>
      <c r="G31" s="195"/>
      <c r="H31" s="183"/>
    </row>
  </sheetData>
  <sheetProtection algorithmName="SHA-512" hashValue="IyH0LpbbaKZqxFLGhFV/yeGh0Qus2g7bOIYRv2GeI8eXtgXYeG2BeAfXWW7bm1XOHnSSbF4ceytIHbIg/0Yd8Q==" saltValue="IW1wHqqukeCanRmcBOluVQ==" spinCount="100000" sheet="1" objects="1" scenarios="1" autoFilter="0"/>
  <mergeCells count="27"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45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47" t="s">
        <v>322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4" t="s">
        <v>323</v>
      </c>
      <c r="C6" s="183"/>
      <c r="D6" s="242"/>
      <c r="E6" s="201"/>
      <c r="F6" s="201"/>
      <c r="G6" s="201"/>
      <c r="H6" s="202"/>
    </row>
    <row r="7" spans="1:8" ht="13.5" customHeight="1">
      <c r="A7" s="243" t="s">
        <v>324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325</v>
      </c>
      <c r="C8" s="183"/>
      <c r="D8" s="255">
        <f ca="1">TODAY()</f>
        <v>46159</v>
      </c>
      <c r="E8" s="201"/>
      <c r="F8" s="201"/>
      <c r="G8" s="201"/>
      <c r="H8" s="202"/>
    </row>
    <row r="9" spans="1:8" ht="21.75" customHeight="1">
      <c r="B9" s="262" t="s">
        <v>326</v>
      </c>
      <c r="C9" s="183"/>
      <c r="D9" s="248"/>
      <c r="E9" s="201"/>
      <c r="F9" s="201"/>
      <c r="G9" s="201"/>
      <c r="H9" s="202"/>
    </row>
    <row r="10" spans="1:8" ht="13.5" customHeight="1">
      <c r="A10" s="243" t="s">
        <v>327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4" t="s">
        <v>328</v>
      </c>
      <c r="C11" s="183"/>
      <c r="D11" s="248"/>
      <c r="E11" s="201"/>
      <c r="F11" s="201"/>
      <c r="G11" s="201"/>
      <c r="H11" s="202"/>
    </row>
    <row r="12" spans="1:8" ht="13.5" customHeight="1">
      <c r="A12" s="243" t="s">
        <v>329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4" t="s">
        <v>330</v>
      </c>
      <c r="C13" s="183"/>
      <c r="D13" s="248"/>
      <c r="E13" s="201"/>
      <c r="F13" s="201"/>
      <c r="G13" s="201"/>
      <c r="H13" s="202"/>
    </row>
    <row r="14" spans="1:8" ht="13.5" customHeight="1">
      <c r="A14" s="243" t="s">
        <v>331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295</v>
      </c>
      <c r="C16" s="129" t="s">
        <v>296</v>
      </c>
      <c r="D16" s="129" t="s">
        <v>48</v>
      </c>
      <c r="E16" s="129" t="s">
        <v>297</v>
      </c>
      <c r="F16" s="129" t="s">
        <v>298</v>
      </c>
      <c r="G16" s="129" t="s">
        <v>299</v>
      </c>
      <c r="H16" s="129" t="s">
        <v>300</v>
      </c>
    </row>
    <row r="17" spans="1:8" ht="19.5" customHeight="1">
      <c r="A17" s="13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ref="H17:H24" si="0">IFERROR(F17*G17,"")</f>
        <v/>
      </c>
    </row>
    <row r="18" spans="1:8" ht="19.5" customHeight="1">
      <c r="A18" s="13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19.5" customHeight="1">
      <c r="A22" s="13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4"/>
      <c r="G22" s="111" t="str">
        <f>IFERROR(VLOOKUP(B22,ARTICLES!$A$2:$G$485,7,0),"")</f>
        <v/>
      </c>
      <c r="H22" s="111" t="str">
        <f t="shared" si="0"/>
        <v/>
      </c>
    </row>
    <row r="23" spans="1:8" ht="19.5" customHeight="1">
      <c r="A23" s="13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4"/>
      <c r="G23" s="111" t="str">
        <f>IFERROR(VLOOKUP(B23,ARTICLES!$A$2:$G$485,7,0),"")</f>
        <v/>
      </c>
      <c r="H23" s="111" t="str">
        <f t="shared" si="0"/>
        <v/>
      </c>
    </row>
    <row r="24" spans="1:8" ht="19.5" customHeight="1">
      <c r="A24" s="13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4"/>
      <c r="G24" s="111" t="str">
        <f>IFERROR(VLOOKUP(B24,ARTICLES!$A$2:$G$485,7,0),"")</f>
        <v/>
      </c>
      <c r="H24" s="111" t="str">
        <f t="shared" si="0"/>
        <v/>
      </c>
    </row>
    <row r="25" spans="1:8" ht="21.75" customHeight="1">
      <c r="A25" s="235" t="s">
        <v>301</v>
      </c>
      <c r="B25" s="201"/>
      <c r="C25" s="201"/>
      <c r="D25" s="201"/>
      <c r="E25" s="201"/>
      <c r="F25" s="201"/>
      <c r="G25" s="202"/>
      <c r="H25" s="135">
        <f>SUM(H17:H24)</f>
        <v>0</v>
      </c>
    </row>
    <row r="26" spans="1:8" ht="18" customHeight="1">
      <c r="A26" s="254" t="s">
        <v>332</v>
      </c>
      <c r="B26" s="195"/>
      <c r="C26" s="195"/>
      <c r="D26" s="195"/>
      <c r="E26" s="195"/>
      <c r="F26" s="195"/>
      <c r="G26" s="195"/>
      <c r="H26" s="183"/>
    </row>
    <row r="27" spans="1:8" ht="18" customHeight="1">
      <c r="A27" s="248"/>
      <c r="B27" s="249"/>
      <c r="C27" s="249"/>
      <c r="D27" s="249"/>
      <c r="E27" s="249"/>
      <c r="F27" s="249"/>
      <c r="G27" s="249"/>
      <c r="H27" s="250"/>
    </row>
    <row r="28" spans="1:8" ht="18" customHeight="1">
      <c r="A28" s="251"/>
      <c r="B28" s="208"/>
      <c r="C28" s="208"/>
      <c r="D28" s="208"/>
      <c r="E28" s="208"/>
      <c r="F28" s="208"/>
      <c r="G28" s="208"/>
      <c r="H28" s="252"/>
    </row>
    <row r="29" spans="1:8" ht="7.5" customHeight="1"/>
    <row r="30" spans="1:8" ht="24" customHeight="1">
      <c r="A30" s="241" t="s">
        <v>333</v>
      </c>
      <c r="B30" s="202"/>
      <c r="C30" s="241" t="s">
        <v>334</v>
      </c>
      <c r="D30" s="201"/>
      <c r="E30" s="202"/>
      <c r="F30" s="241" t="s">
        <v>335</v>
      </c>
      <c r="G30" s="201"/>
      <c r="H30" s="202"/>
    </row>
    <row r="31" spans="1:8" ht="24" customHeight="1">
      <c r="A31" s="256" t="s">
        <v>307</v>
      </c>
      <c r="B31" s="258"/>
      <c r="C31" s="256" t="s">
        <v>307</v>
      </c>
      <c r="D31" s="257"/>
      <c r="E31" s="258"/>
      <c r="F31" s="256" t="s">
        <v>307</v>
      </c>
      <c r="G31" s="257"/>
      <c r="H31" s="258"/>
    </row>
    <row r="32" spans="1:8" ht="24" customHeight="1">
      <c r="A32" s="259"/>
      <c r="B32" s="261"/>
      <c r="C32" s="259"/>
      <c r="D32" s="260"/>
      <c r="E32" s="261"/>
      <c r="F32" s="259"/>
      <c r="G32" s="260"/>
      <c r="H32" s="261"/>
    </row>
    <row r="33" spans="1:8" ht="13.5" customHeight="1">
      <c r="A33" s="243" t="s">
        <v>336</v>
      </c>
      <c r="B33" s="208"/>
      <c r="C33" s="208"/>
      <c r="D33" s="208"/>
      <c r="E33" s="208"/>
      <c r="F33" s="208"/>
      <c r="G33" s="208"/>
      <c r="H33" s="208"/>
    </row>
    <row r="34" spans="1:8" ht="13.5" customHeight="1">
      <c r="A34" s="194" t="s">
        <v>157</v>
      </c>
      <c r="B34" s="195"/>
      <c r="C34" s="195"/>
      <c r="D34" s="195"/>
      <c r="E34" s="195"/>
      <c r="F34" s="195"/>
      <c r="G34" s="195"/>
      <c r="H34" s="183"/>
    </row>
  </sheetData>
  <sheetProtection algorithmName="SHA-512" hashValue="a99BjfnCtQRz90WGn26wbIxfDuTKOYbvGOOpc2gbTWAP0WeEg5PjTmwpluNnVyrw8Cvs1FbaJ+gXg8UOeeea+w==" saltValue="oxjSucmBr8A/nwKLGVnJsw==" spinCount="100000" sheet="1" objects="1" scenarios="1" autoFilter="0"/>
  <mergeCells count="29"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G38" sqref="G38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4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46" t="s">
        <v>3</v>
      </c>
      <c r="B2" s="201"/>
      <c r="C2" s="201"/>
      <c r="D2" s="201"/>
      <c r="E2" s="201"/>
      <c r="F2" s="201"/>
      <c r="G2" s="201"/>
      <c r="H2" s="202"/>
    </row>
    <row r="3" spans="1:8" ht="6" customHeight="1"/>
    <row r="4" spans="1:8" ht="30" customHeight="1">
      <c r="A4" s="247" t="s">
        <v>337</v>
      </c>
      <c r="B4" s="198"/>
      <c r="C4" s="198"/>
      <c r="D4" s="198"/>
      <c r="E4" s="198"/>
      <c r="F4" s="198"/>
      <c r="G4" s="198"/>
      <c r="H4" s="199"/>
    </row>
    <row r="5" spans="1:8" ht="6" customHeight="1"/>
    <row r="6" spans="1:8" ht="21.75" customHeight="1">
      <c r="B6" s="244" t="s">
        <v>338</v>
      </c>
      <c r="C6" s="183"/>
      <c r="D6" s="253"/>
      <c r="E6" s="201"/>
      <c r="F6" s="201"/>
      <c r="G6" s="201"/>
      <c r="H6" s="202"/>
    </row>
    <row r="7" spans="1:8" ht="13.5" customHeight="1">
      <c r="A7" s="263" t="s">
        <v>339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4" t="s">
        <v>340</v>
      </c>
      <c r="C8" s="183"/>
      <c r="D8" s="255">
        <f ca="1">TODAY()</f>
        <v>46159</v>
      </c>
      <c r="E8" s="201"/>
      <c r="F8" s="201"/>
      <c r="G8" s="201"/>
      <c r="H8" s="202"/>
    </row>
    <row r="9" spans="1:8" ht="21.75" customHeight="1">
      <c r="B9" s="244" t="s">
        <v>313</v>
      </c>
      <c r="C9" s="183"/>
      <c r="D9" s="253"/>
      <c r="E9" s="201"/>
      <c r="F9" s="201"/>
      <c r="G9" s="201"/>
      <c r="H9" s="202"/>
    </row>
    <row r="10" spans="1:8" ht="13.5" customHeight="1">
      <c r="A10" s="243" t="s">
        <v>341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4" t="s">
        <v>342</v>
      </c>
      <c r="C11" s="183"/>
      <c r="D11" s="253"/>
      <c r="E11" s="201"/>
      <c r="F11" s="201"/>
      <c r="G11" s="201"/>
      <c r="H11" s="202"/>
    </row>
    <row r="12" spans="1:8" ht="13.5" customHeight="1">
      <c r="A12" s="243" t="s">
        <v>343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4" t="s">
        <v>344</v>
      </c>
      <c r="C13" s="183"/>
      <c r="D13" s="253"/>
      <c r="E13" s="201"/>
      <c r="F13" s="201"/>
      <c r="G13" s="201"/>
      <c r="H13" s="202"/>
    </row>
    <row r="14" spans="1:8" ht="13.5" customHeight="1">
      <c r="A14" s="243" t="s">
        <v>345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47</v>
      </c>
      <c r="C16" s="129" t="s">
        <v>296</v>
      </c>
      <c r="D16" s="129" t="s">
        <v>48</v>
      </c>
      <c r="E16" s="129" t="s">
        <v>346</v>
      </c>
      <c r="F16" s="129" t="s">
        <v>347</v>
      </c>
      <c r="G16" s="129" t="s">
        <v>348</v>
      </c>
      <c r="H16" s="129" t="s">
        <v>349</v>
      </c>
    </row>
    <row r="17" spans="1:8" ht="19.5" customHeight="1">
      <c r="A17" s="11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6"/>
      <c r="G17" s="132"/>
      <c r="H17" s="102" t="str">
        <f>IFERROR(IF(B17="","",SUMIFS(MOUVEMENTS!$E$3:$E$461,MOUVEMENTS!$B$3:$B$461,B17,MOUVEMENTS!$D$3:$D$461,"IN")-SUMIFS(MOUVEMENTS!$E$3:$E$461,MOUVEMENTS!$B$3:$B$461,B17,MOUVEMENTS!$D$3:$D$461,"OUT")),"?")</f>
        <v/>
      </c>
    </row>
    <row r="18" spans="1:8" ht="19.5" customHeight="1">
      <c r="A18" s="11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6"/>
      <c r="G18" s="132"/>
      <c r="H18" s="102" t="str">
        <f>IFERROR(IF(B18="","",SUMIFS(MOUVEMENTS!$E$3:$E$461,MOUVEMENTS!$B$3:$B$461,B18,MOUVEMENTS!$D$3:$D$461,"IN")-SUMIFS(MOUVEMENTS!$E$3:$E$461,MOUVEMENTS!$B$3:$B$461,B18,MOUVEMENTS!$D$3:$D$461,"OUT")),"?")</f>
        <v/>
      </c>
    </row>
    <row r="19" spans="1:8" ht="19.5" customHeight="1">
      <c r="A19" s="11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6"/>
      <c r="G19" s="132"/>
      <c r="H19" s="102" t="str">
        <f>IFERROR(IF(B19="","",SUMIFS(MOUVEMENTS!$E$3:$E$461,MOUVEMENTS!$B$3:$B$461,B19,MOUVEMENTS!$D$3:$D$461,"IN")-SUMIFS(MOUVEMENTS!$E$3:$E$461,MOUVEMENTS!$B$3:$B$461,B19,MOUVEMENTS!$D$3:$D$461,"OUT")),"?")</f>
        <v/>
      </c>
    </row>
    <row r="20" spans="1:8" ht="19.5" customHeight="1">
      <c r="A20" s="11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6"/>
      <c r="G20" s="132"/>
      <c r="H20" s="102" t="str">
        <f>IFERROR(IF(B20="","",SUMIFS(MOUVEMENTS!$E$3:$E$461,MOUVEMENTS!$B$3:$B$461,B20,MOUVEMENTS!$D$3:$D$461,"IN")-SUMIFS(MOUVEMENTS!$E$3:$E$461,MOUVEMENTS!$B$3:$B$461,B20,MOUVEMENTS!$D$3:$D$461,"OUT")),"?")</f>
        <v/>
      </c>
    </row>
    <row r="21" spans="1:8" ht="19.5" customHeight="1">
      <c r="A21" s="11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6"/>
      <c r="G21" s="132"/>
      <c r="H21" s="102" t="str">
        <f>IFERROR(IF(B21="","",SUMIFS(MOUVEMENTS!$E$3:$E$461,MOUVEMENTS!$B$3:$B$461,B21,MOUVEMENTS!$D$3:$D$461,"IN")-SUMIFS(MOUVEMENTS!$E$3:$E$461,MOUVEMENTS!$B$3:$B$461,B21,MOUVEMENTS!$D$3:$D$461,"OUT")),"?")</f>
        <v/>
      </c>
    </row>
    <row r="22" spans="1:8" ht="19.5" customHeight="1">
      <c r="A22" s="11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6"/>
      <c r="G22" s="132"/>
      <c r="H22" s="102" t="str">
        <f>IFERROR(IF(B22="","",SUMIFS(MOUVEMENTS!$E$3:$E$461,MOUVEMENTS!$B$3:$B$461,B22,MOUVEMENTS!$D$3:$D$461,"IN")-SUMIFS(MOUVEMENTS!$E$3:$E$461,MOUVEMENTS!$B$3:$B$461,B22,MOUVEMENTS!$D$3:$D$461,"OUT")),"?")</f>
        <v/>
      </c>
    </row>
    <row r="23" spans="1:8" ht="19.5" customHeight="1">
      <c r="A23" s="11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6"/>
      <c r="G23" s="132"/>
      <c r="H23" s="102" t="str">
        <f>IFERROR(IF(B23="","",SUMIFS(MOUVEMENTS!$E$3:$E$461,MOUVEMENTS!$B$3:$B$461,B23,MOUVEMENTS!$D$3:$D$461,"IN")-SUMIFS(MOUVEMENTS!$E$3:$E$461,MOUVEMENTS!$B$3:$B$461,B23,MOUVEMENTS!$D$3:$D$461,"OUT")),"?")</f>
        <v/>
      </c>
    </row>
    <row r="24" spans="1:8" ht="19.5" customHeight="1">
      <c r="A24" s="11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6"/>
      <c r="G24" s="132"/>
      <c r="H24" s="102" t="str">
        <f>IFERROR(IF(B24="","",SUMIFS(MOUVEMENTS!$E$3:$E$461,MOUVEMENTS!$B$3:$B$461,B24,MOUVEMENTS!$D$3:$D$461,"IN")-SUMIFS(MOUVEMENTS!$E$3:$E$461,MOUVEMENTS!$B$3:$B$461,B24,MOUVEMENTS!$D$3:$D$461,"OUT")),"?")</f>
        <v/>
      </c>
    </row>
    <row r="25" spans="1:8" ht="6" customHeight="1">
      <c r="A25" s="264"/>
      <c r="B25" s="195"/>
      <c r="C25" s="195"/>
      <c r="D25" s="195"/>
      <c r="E25" s="195"/>
      <c r="F25" s="195"/>
      <c r="G25" s="195"/>
      <c r="H25" s="183"/>
    </row>
    <row r="26" spans="1:8" ht="21.75" customHeight="1">
      <c r="A26" s="265" t="s">
        <v>350</v>
      </c>
      <c r="B26" s="249"/>
      <c r="C26" s="249"/>
      <c r="D26" s="249"/>
      <c r="E26" s="249"/>
      <c r="F26" s="249"/>
      <c r="G26" s="249"/>
      <c r="H26" s="250"/>
    </row>
    <row r="27" spans="1:8" ht="21.75" customHeight="1">
      <c r="A27" s="266"/>
      <c r="B27" s="187"/>
      <c r="C27" s="187"/>
      <c r="D27" s="187"/>
      <c r="E27" s="187"/>
      <c r="F27" s="187"/>
      <c r="G27" s="187"/>
      <c r="H27" s="267"/>
    </row>
    <row r="28" spans="1:8" ht="21.75" customHeight="1">
      <c r="A28" s="251"/>
      <c r="B28" s="208"/>
      <c r="C28" s="208"/>
      <c r="D28" s="208"/>
      <c r="E28" s="208"/>
      <c r="F28" s="208"/>
      <c r="G28" s="208"/>
      <c r="H28" s="252"/>
    </row>
    <row r="29" spans="1:8" ht="7.5" customHeight="1"/>
    <row r="30" spans="1:8" ht="24" customHeight="1">
      <c r="A30" s="241" t="s">
        <v>351</v>
      </c>
      <c r="B30" s="201"/>
      <c r="C30" s="202"/>
      <c r="D30" s="241" t="s">
        <v>352</v>
      </c>
      <c r="E30" s="201"/>
      <c r="F30" s="202"/>
      <c r="G30" s="241" t="s">
        <v>353</v>
      </c>
      <c r="H30" s="202"/>
    </row>
    <row r="31" spans="1:8" ht="24" customHeight="1">
      <c r="A31" s="256" t="s">
        <v>307</v>
      </c>
      <c r="B31" s="257"/>
      <c r="C31" s="258"/>
      <c r="D31" s="256" t="s">
        <v>307</v>
      </c>
      <c r="E31" s="257"/>
      <c r="F31" s="258"/>
      <c r="G31" s="256" t="s">
        <v>307</v>
      </c>
      <c r="H31" s="258"/>
    </row>
    <row r="32" spans="1:8" ht="24" customHeight="1">
      <c r="A32" s="259"/>
      <c r="B32" s="260"/>
      <c r="C32" s="261"/>
      <c r="D32" s="259"/>
      <c r="E32" s="260"/>
      <c r="F32" s="261"/>
      <c r="G32" s="259"/>
      <c r="H32" s="261"/>
    </row>
    <row r="33" spans="1:8" ht="13.5" customHeight="1">
      <c r="A33" s="194" t="s">
        <v>157</v>
      </c>
      <c r="B33" s="195"/>
      <c r="C33" s="195"/>
      <c r="D33" s="195"/>
      <c r="E33" s="195"/>
      <c r="F33" s="195"/>
      <c r="G33" s="195"/>
      <c r="H33" s="183"/>
    </row>
  </sheetData>
  <sheetProtection algorithmName="SHA-512" hashValue="AxwvP5fGCt91MzQPx8VQvB7IDJDHWa8GkaUZP4V+OAAG8crx2G0b7Msq55OEK2c9e9e5K2oJpHd2hUIJyKdDTQ==" saltValue="25ao1naE2YTbpXwiJ16LeA==" spinCount="100000" sheet="1" objects="1" scenarios="1" autoFilter="0"/>
  <mergeCells count="26">
    <mergeCell ref="A4:H4"/>
    <mergeCell ref="B6:C6"/>
    <mergeCell ref="A26:H28"/>
    <mergeCell ref="D8:H8"/>
    <mergeCell ref="A10:H10"/>
    <mergeCell ref="A33:H33"/>
    <mergeCell ref="A14:H14"/>
    <mergeCell ref="A30:C30"/>
    <mergeCell ref="B9:C9"/>
    <mergeCell ref="D9:H9"/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268" t="s">
        <v>354</v>
      </c>
      <c r="B1" s="187"/>
    </row>
    <row r="2" spans="1:2" ht="24" customHeight="1">
      <c r="A2" s="137" t="s">
        <v>355</v>
      </c>
      <c r="B2" s="138" t="s">
        <v>356</v>
      </c>
    </row>
    <row r="3" spans="1:2" ht="18" customHeight="1">
      <c r="A3" s="139" t="s">
        <v>357</v>
      </c>
      <c r="B3" s="140" t="s">
        <v>358</v>
      </c>
    </row>
    <row r="4" spans="1:2" ht="18" customHeight="1">
      <c r="A4" s="139" t="s">
        <v>357</v>
      </c>
      <c r="B4" s="141" t="s">
        <v>359</v>
      </c>
    </row>
    <row r="5" spans="1:2" ht="18" customHeight="1">
      <c r="A5" s="139" t="s">
        <v>357</v>
      </c>
      <c r="B5" s="140" t="s">
        <v>360</v>
      </c>
    </row>
    <row r="6" spans="1:2" ht="18" customHeight="1">
      <c r="A6" s="139" t="s">
        <v>357</v>
      </c>
      <c r="B6" s="141" t="s">
        <v>361</v>
      </c>
    </row>
    <row r="7" spans="1:2" ht="18" customHeight="1">
      <c r="A7" s="139" t="s">
        <v>357</v>
      </c>
      <c r="B7" s="140" t="s">
        <v>362</v>
      </c>
    </row>
    <row r="8" spans="1:2" ht="18" customHeight="1">
      <c r="A8" s="139" t="s">
        <v>357</v>
      </c>
      <c r="B8" s="141" t="s">
        <v>363</v>
      </c>
    </row>
    <row r="9" spans="1:2" ht="18" customHeight="1">
      <c r="A9" s="139" t="s">
        <v>357</v>
      </c>
      <c r="B9" s="140" t="s">
        <v>364</v>
      </c>
    </row>
    <row r="10" spans="1:2" ht="18" customHeight="1">
      <c r="A10" s="139" t="s">
        <v>357</v>
      </c>
      <c r="B10" s="141" t="s">
        <v>365</v>
      </c>
    </row>
    <row r="11" spans="1:2" ht="18" customHeight="1">
      <c r="A11" s="139"/>
      <c r="B11" s="140"/>
    </row>
    <row r="12" spans="1:2" ht="24" customHeight="1">
      <c r="A12" s="137" t="s">
        <v>355</v>
      </c>
      <c r="B12" s="138" t="s">
        <v>366</v>
      </c>
    </row>
    <row r="13" spans="1:2" ht="18" customHeight="1">
      <c r="A13" s="139" t="s">
        <v>357</v>
      </c>
      <c r="B13" s="140" t="s">
        <v>367</v>
      </c>
    </row>
    <row r="14" spans="1:2" ht="18" customHeight="1">
      <c r="A14" s="139" t="s">
        <v>357</v>
      </c>
      <c r="B14" s="141" t="s">
        <v>368</v>
      </c>
    </row>
    <row r="15" spans="1:2" ht="18" customHeight="1">
      <c r="A15" s="139" t="s">
        <v>357</v>
      </c>
      <c r="B15" s="140" t="s">
        <v>369</v>
      </c>
    </row>
    <row r="16" spans="1:2" ht="18" customHeight="1">
      <c r="A16" s="139"/>
      <c r="B16" s="141"/>
    </row>
    <row r="17" spans="1:2" ht="24" customHeight="1">
      <c r="A17" s="137" t="s">
        <v>355</v>
      </c>
      <c r="B17" s="138" t="s">
        <v>370</v>
      </c>
    </row>
    <row r="18" spans="1:2" ht="18" customHeight="1">
      <c r="A18" s="139" t="s">
        <v>371</v>
      </c>
      <c r="B18" s="141" t="s">
        <v>372</v>
      </c>
    </row>
    <row r="19" spans="1:2" ht="18" customHeight="1">
      <c r="A19" s="139" t="s">
        <v>371</v>
      </c>
      <c r="B19" s="140" t="s">
        <v>373</v>
      </c>
    </row>
    <row r="20" spans="1:2" ht="18" customHeight="1">
      <c r="A20" s="139" t="s">
        <v>371</v>
      </c>
      <c r="B20" s="141" t="s">
        <v>374</v>
      </c>
    </row>
    <row r="21" spans="1:2" ht="18" customHeight="1">
      <c r="A21" s="139"/>
      <c r="B21" s="140"/>
    </row>
    <row r="22" spans="1:2" ht="24" customHeight="1">
      <c r="A22" s="137" t="s">
        <v>355</v>
      </c>
      <c r="B22" s="138" t="s">
        <v>375</v>
      </c>
    </row>
    <row r="23" spans="1:2" ht="18" customHeight="1">
      <c r="A23" s="139" t="s">
        <v>376</v>
      </c>
      <c r="B23" s="140" t="s">
        <v>377</v>
      </c>
    </row>
    <row r="24" spans="1:2" ht="18" customHeight="1">
      <c r="A24" s="139" t="s">
        <v>378</v>
      </c>
      <c r="B24" s="141" t="s">
        <v>379</v>
      </c>
    </row>
    <row r="25" spans="1:2" ht="18" customHeight="1">
      <c r="A25" s="139" t="s">
        <v>380</v>
      </c>
      <c r="B25" s="140" t="s">
        <v>381</v>
      </c>
    </row>
    <row r="26" spans="1:2" ht="18" customHeight="1">
      <c r="A26" s="139" t="s">
        <v>382</v>
      </c>
      <c r="B26" s="141" t="s">
        <v>383</v>
      </c>
    </row>
    <row r="27" spans="1:2" ht="18" customHeight="1">
      <c r="A27" s="139"/>
      <c r="B27" s="140"/>
    </row>
    <row r="28" spans="1:2" ht="24" customHeight="1">
      <c r="A28" s="137" t="s">
        <v>355</v>
      </c>
      <c r="B28" s="138" t="s">
        <v>384</v>
      </c>
    </row>
    <row r="29" spans="1:2" ht="18" customHeight="1">
      <c r="A29" s="139" t="s">
        <v>385</v>
      </c>
      <c r="B29" s="140" t="s">
        <v>386</v>
      </c>
    </row>
    <row r="30" spans="1:2" ht="18" customHeight="1">
      <c r="A30" s="139" t="s">
        <v>387</v>
      </c>
      <c r="B30" s="141" t="s">
        <v>388</v>
      </c>
    </row>
    <row r="31" spans="1:2" ht="18" customHeight="1">
      <c r="A31" s="139"/>
      <c r="B31" s="140"/>
    </row>
    <row r="32" spans="1:2" ht="24" customHeight="1">
      <c r="A32" s="137" t="s">
        <v>355</v>
      </c>
      <c r="B32" s="138" t="s">
        <v>389</v>
      </c>
    </row>
    <row r="33" spans="1:2" ht="18" customHeight="1">
      <c r="A33" s="139" t="s">
        <v>390</v>
      </c>
      <c r="B33" s="140" t="s">
        <v>391</v>
      </c>
    </row>
    <row r="34" spans="1:2" ht="18" customHeight="1">
      <c r="A34" s="139" t="s">
        <v>392</v>
      </c>
      <c r="B34" s="141" t="s">
        <v>393</v>
      </c>
    </row>
    <row r="35" spans="1:2" ht="18" customHeight="1">
      <c r="A35" s="139" t="s">
        <v>394</v>
      </c>
      <c r="B35" s="140" t="s">
        <v>395</v>
      </c>
    </row>
    <row r="36" spans="1:2" ht="18" customHeight="1">
      <c r="A36" s="139" t="s">
        <v>396</v>
      </c>
      <c r="B36" s="141" t="s">
        <v>397</v>
      </c>
    </row>
    <row r="37" spans="1:2" ht="18" customHeight="1">
      <c r="A37" s="139" t="s">
        <v>398</v>
      </c>
      <c r="B37" s="140" t="s">
        <v>399</v>
      </c>
    </row>
    <row r="38" spans="1:2" ht="18" customHeight="1">
      <c r="A38" s="139" t="s">
        <v>400</v>
      </c>
      <c r="B38" s="141" t="s">
        <v>401</v>
      </c>
    </row>
    <row r="39" spans="1:2" ht="18" customHeight="1">
      <c r="A39" s="139"/>
      <c r="B39" s="140"/>
    </row>
    <row r="40" spans="1:2" ht="24" customHeight="1">
      <c r="A40" s="137" t="s">
        <v>355</v>
      </c>
      <c r="B40" s="138" t="s">
        <v>402</v>
      </c>
    </row>
    <row r="41" spans="1:2" ht="18" customHeight="1">
      <c r="A41" s="139" t="s">
        <v>403</v>
      </c>
      <c r="B41" s="140" t="s">
        <v>404</v>
      </c>
    </row>
    <row r="42" spans="1:2" ht="18" customHeight="1">
      <c r="A42" s="139" t="s">
        <v>403</v>
      </c>
      <c r="B42" s="141" t="s">
        <v>405</v>
      </c>
    </row>
    <row r="43" spans="1:2" ht="18" customHeight="1">
      <c r="A43" s="139" t="s">
        <v>403</v>
      </c>
      <c r="B43" s="140" t="s">
        <v>406</v>
      </c>
    </row>
    <row r="44" spans="1:2" ht="18" customHeight="1">
      <c r="A44" s="139" t="s">
        <v>403</v>
      </c>
      <c r="B44" s="141" t="s">
        <v>407</v>
      </c>
    </row>
    <row r="46" spans="1:2" ht="25.5" customHeight="1">
      <c r="A46" s="137" t="s">
        <v>355</v>
      </c>
      <c r="B46" s="138" t="s">
        <v>408</v>
      </c>
    </row>
    <row r="47" spans="1:2" ht="19.5" customHeight="1">
      <c r="A47" s="142" t="s">
        <v>148</v>
      </c>
      <c r="B47" s="143" t="s">
        <v>409</v>
      </c>
    </row>
    <row r="48" spans="1:2" ht="19.5" customHeight="1">
      <c r="A48" s="142" t="s">
        <v>148</v>
      </c>
      <c r="B48" s="144" t="s">
        <v>410</v>
      </c>
    </row>
    <row r="49" spans="1:2" ht="19.5" customHeight="1">
      <c r="A49" s="142" t="s">
        <v>148</v>
      </c>
      <c r="B49" s="143" t="s">
        <v>411</v>
      </c>
    </row>
    <row r="50" spans="1:2" ht="19.5" customHeight="1">
      <c r="A50" s="142" t="s">
        <v>148</v>
      </c>
      <c r="B50" s="144" t="s">
        <v>412</v>
      </c>
    </row>
    <row r="51" spans="1:2" ht="19.5" customHeight="1">
      <c r="A51" s="139"/>
      <c r="B51" s="140"/>
    </row>
    <row r="52" spans="1:2" ht="25.5" customHeight="1">
      <c r="A52" s="137" t="s">
        <v>355</v>
      </c>
      <c r="B52" s="138" t="s">
        <v>413</v>
      </c>
    </row>
    <row r="53" spans="1:2" ht="19.5" customHeight="1">
      <c r="A53" s="139" t="s">
        <v>376</v>
      </c>
      <c r="B53" s="140" t="s">
        <v>414</v>
      </c>
    </row>
    <row r="54" spans="1:2" ht="19.5" customHeight="1">
      <c r="A54" s="139" t="s">
        <v>378</v>
      </c>
      <c r="B54" s="141" t="s">
        <v>415</v>
      </c>
    </row>
    <row r="55" spans="1:2" ht="19.5" customHeight="1">
      <c r="A55" s="139" t="s">
        <v>380</v>
      </c>
      <c r="B55" s="140" t="s">
        <v>416</v>
      </c>
    </row>
    <row r="56" spans="1:2" ht="19.5" customHeight="1">
      <c r="A56" s="139" t="s">
        <v>382</v>
      </c>
      <c r="B56" s="141" t="s">
        <v>417</v>
      </c>
    </row>
    <row r="57" spans="1:2" ht="19.5" customHeight="1">
      <c r="A57" s="139" t="s">
        <v>418</v>
      </c>
      <c r="B57" s="140" t="s">
        <v>419</v>
      </c>
    </row>
    <row r="58" spans="1:2" ht="19.5" customHeight="1">
      <c r="A58" s="139" t="s">
        <v>420</v>
      </c>
      <c r="B58" s="141" t="s">
        <v>421</v>
      </c>
    </row>
    <row r="59" spans="1:2" ht="19.5" customHeight="1">
      <c r="A59" s="139" t="s">
        <v>422</v>
      </c>
      <c r="B59" s="140" t="s">
        <v>423</v>
      </c>
    </row>
    <row r="62" spans="1:2" ht="15" customHeight="1">
      <c r="A62" s="17" t="s">
        <v>424</v>
      </c>
    </row>
    <row r="63" spans="1:2" ht="15" customHeight="1">
      <c r="A63" s="145" t="s">
        <v>425</v>
      </c>
      <c r="B63" s="146" t="s">
        <v>426</v>
      </c>
    </row>
    <row r="64" spans="1:2" ht="15" customHeight="1">
      <c r="A64" s="145" t="s">
        <v>427</v>
      </c>
      <c r="B64" s="146" t="s">
        <v>428</v>
      </c>
    </row>
    <row r="65" spans="1:1" ht="15" customHeight="1">
      <c r="A65" s="147" t="s">
        <v>429</v>
      </c>
    </row>
    <row r="67" spans="1:1" ht="15" customHeight="1">
      <c r="A67" s="46" t="s">
        <v>430</v>
      </c>
    </row>
  </sheetData>
  <sheetProtection algorithmName="SHA-512" hashValue="/2zbah8nGHZ6Q4BCLCHU4vyxAqprff6GBI6/NqoYuoPPVYlMQGRXPt8n+Sz+8JhH+CVIO6xAdwJ4aQqP2/2W9w==" saltValue="1j+M9QoIKcW2FHBHL+1QKw==" spinCount="100000" sheet="1" objects="1" scenarios="1" autoFilter="0"/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193" t="s">
        <v>431</v>
      </c>
      <c r="B1" s="187"/>
    </row>
    <row r="2" spans="1:2" ht="27.75" customHeight="1">
      <c r="A2" s="270" t="s">
        <v>432</v>
      </c>
      <c r="B2" s="218"/>
    </row>
    <row r="3" spans="1:2" ht="27.75" customHeight="1">
      <c r="A3" s="148" t="s">
        <v>433</v>
      </c>
      <c r="B3" s="149" t="s">
        <v>434</v>
      </c>
    </row>
    <row r="4" spans="1:2" ht="279.75" customHeight="1">
      <c r="A4" s="148" t="s">
        <v>435</v>
      </c>
      <c r="B4" s="149" t="s">
        <v>436</v>
      </c>
    </row>
    <row r="5" spans="1:2" ht="69.75" customHeight="1">
      <c r="A5" s="148" t="s">
        <v>437</v>
      </c>
      <c r="B5" s="149" t="s">
        <v>438</v>
      </c>
    </row>
    <row r="6" spans="1:2" ht="294" customHeight="1">
      <c r="A6" s="148" t="s">
        <v>439</v>
      </c>
      <c r="B6" s="149" t="s">
        <v>440</v>
      </c>
    </row>
    <row r="7" spans="1:2" ht="307.5" customHeight="1">
      <c r="A7" s="148" t="s">
        <v>441</v>
      </c>
      <c r="B7" s="149" t="s">
        <v>442</v>
      </c>
    </row>
    <row r="8" spans="1:2" ht="153.75" customHeight="1">
      <c r="A8" s="148" t="s">
        <v>443</v>
      </c>
      <c r="B8" s="149" t="s">
        <v>444</v>
      </c>
    </row>
    <row r="9" spans="1:2" ht="409.6" customHeight="1">
      <c r="A9" s="148" t="s">
        <v>445</v>
      </c>
      <c r="B9" s="149" t="s">
        <v>446</v>
      </c>
    </row>
    <row r="10" spans="1:2" ht="27.75" customHeight="1">
      <c r="A10" s="270" t="s">
        <v>447</v>
      </c>
      <c r="B10" s="218"/>
    </row>
    <row r="11" spans="1:2" ht="139.5" customHeight="1">
      <c r="A11" s="148" t="s">
        <v>448</v>
      </c>
      <c r="B11" s="149" t="s">
        <v>449</v>
      </c>
    </row>
    <row r="12" spans="1:2" ht="27.75" customHeight="1">
      <c r="A12" s="270" t="s">
        <v>450</v>
      </c>
      <c r="B12" s="218"/>
    </row>
    <row r="13" spans="1:2" ht="69.75" customHeight="1">
      <c r="A13" s="148" t="s">
        <v>451</v>
      </c>
      <c r="B13" s="149" t="s">
        <v>452</v>
      </c>
    </row>
    <row r="14" spans="1:2" ht="27.75" customHeight="1">
      <c r="A14" s="270" t="s">
        <v>453</v>
      </c>
      <c r="B14" s="218"/>
    </row>
    <row r="15" spans="1:2" ht="405.75" customHeight="1">
      <c r="A15" s="148" t="s">
        <v>454</v>
      </c>
      <c r="B15" s="149" t="s">
        <v>455</v>
      </c>
    </row>
    <row r="16" spans="1:2" ht="409.6" customHeight="1">
      <c r="A16" s="148" t="s">
        <v>456</v>
      </c>
      <c r="B16" s="149" t="s">
        <v>457</v>
      </c>
    </row>
    <row r="17" spans="1:2" ht="363.75" customHeight="1">
      <c r="A17" s="148" t="s">
        <v>458</v>
      </c>
      <c r="B17" s="149" t="s">
        <v>459</v>
      </c>
    </row>
    <row r="18" spans="1:2" ht="409.6" customHeight="1">
      <c r="A18" s="148" t="s">
        <v>460</v>
      </c>
      <c r="B18" s="149" t="s">
        <v>461</v>
      </c>
    </row>
    <row r="19" spans="1:2" ht="409.6" customHeight="1">
      <c r="A19" s="148" t="s">
        <v>462</v>
      </c>
      <c r="B19" s="149" t="s">
        <v>463</v>
      </c>
    </row>
    <row r="20" spans="1:2" ht="27.75" customHeight="1">
      <c r="A20" s="270" t="s">
        <v>464</v>
      </c>
      <c r="B20" s="218"/>
    </row>
    <row r="21" spans="1:2" ht="27.75" customHeight="1">
      <c r="A21" s="148" t="s">
        <v>465</v>
      </c>
      <c r="B21" s="149" t="s">
        <v>466</v>
      </c>
    </row>
    <row r="22" spans="1:2" ht="55.5" customHeight="1">
      <c r="A22" s="148" t="s">
        <v>467</v>
      </c>
      <c r="B22" s="149" t="s">
        <v>468</v>
      </c>
    </row>
    <row r="23" spans="1:2" ht="84" customHeight="1">
      <c r="A23" s="148" t="s">
        <v>469</v>
      </c>
      <c r="B23" s="149" t="s">
        <v>470</v>
      </c>
    </row>
    <row r="24" spans="1:2" ht="69.75" customHeight="1">
      <c r="A24" s="148" t="s">
        <v>471</v>
      </c>
      <c r="B24" s="149" t="s">
        <v>472</v>
      </c>
    </row>
    <row r="25" spans="1:2" ht="84" customHeight="1">
      <c r="A25" s="148" t="s">
        <v>473</v>
      </c>
      <c r="B25" s="149" t="s">
        <v>474</v>
      </c>
    </row>
    <row r="26" spans="1:2" ht="321.75" customHeight="1">
      <c r="A26" s="148" t="s">
        <v>475</v>
      </c>
      <c r="B26" s="149" t="s">
        <v>476</v>
      </c>
    </row>
    <row r="28" spans="1:2" ht="27.75" customHeight="1">
      <c r="A28" s="269" t="s">
        <v>477</v>
      </c>
      <c r="B28" s="202"/>
    </row>
    <row r="29" spans="1:2" ht="409.6" customHeight="1">
      <c r="A29" s="150" t="s">
        <v>478</v>
      </c>
      <c r="B29" s="151" t="s">
        <v>479</v>
      </c>
    </row>
  </sheetData>
  <sheetProtection algorithmName="SHA-512" hashValue="pBISznhjM3bt52TW96koh4yKsShNAZmjtA3WoqQfloqMuhY+K4jziSDUdLkuyE1fyjy9VSf4WpCyAbZDcupDBg==" saltValue="B22dhDZN0dpO1d8u+Oan0w==" spinCount="100000" sheet="1" objects="1" scenarios="1" autoFilter="0"/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272" t="s">
        <v>480</v>
      </c>
      <c r="B1" s="187"/>
      <c r="C1" s="187"/>
      <c r="D1" s="187"/>
      <c r="E1" s="187"/>
    </row>
    <row r="2" spans="1:5" ht="15" customHeight="1">
      <c r="A2" s="271" t="s">
        <v>481</v>
      </c>
      <c r="B2" s="187"/>
      <c r="C2" s="187"/>
      <c r="D2" s="187"/>
      <c r="E2" s="187"/>
    </row>
    <row r="3" spans="1:5" ht="24" customHeight="1">
      <c r="A3" s="152" t="s">
        <v>482</v>
      </c>
      <c r="B3" s="152" t="s">
        <v>483</v>
      </c>
      <c r="C3" s="152" t="s">
        <v>484</v>
      </c>
      <c r="D3" s="152" t="s">
        <v>485</v>
      </c>
      <c r="E3" s="152" t="s">
        <v>486</v>
      </c>
    </row>
    <row r="4" spans="1:5" ht="16.5" customHeight="1">
      <c r="A4" s="153" t="s">
        <v>487</v>
      </c>
      <c r="B4" s="154" t="s">
        <v>488</v>
      </c>
      <c r="C4" s="154" t="s">
        <v>489</v>
      </c>
      <c r="D4" s="155" t="s">
        <v>490</v>
      </c>
      <c r="E4" s="154" t="s">
        <v>491</v>
      </c>
    </row>
    <row r="5" spans="1:5" ht="16.5" customHeight="1">
      <c r="A5" s="156" t="s">
        <v>492</v>
      </c>
      <c r="B5" s="157" t="s">
        <v>488</v>
      </c>
      <c r="C5" s="157" t="s">
        <v>489</v>
      </c>
      <c r="D5" s="158" t="s">
        <v>493</v>
      </c>
      <c r="E5" s="157" t="s">
        <v>491</v>
      </c>
    </row>
    <row r="6" spans="1:5" ht="16.5" customHeight="1">
      <c r="A6" s="153" t="s">
        <v>494</v>
      </c>
      <c r="B6" s="154" t="s">
        <v>488</v>
      </c>
      <c r="C6" s="154" t="s">
        <v>495</v>
      </c>
      <c r="D6" s="155" t="s">
        <v>496</v>
      </c>
      <c r="E6" s="154" t="s">
        <v>491</v>
      </c>
    </row>
    <row r="7" spans="1:5" ht="16.5" customHeight="1">
      <c r="A7" s="156" t="s">
        <v>497</v>
      </c>
      <c r="B7" s="157" t="s">
        <v>488</v>
      </c>
      <c r="C7" s="157" t="s">
        <v>495</v>
      </c>
      <c r="D7" s="158" t="s">
        <v>498</v>
      </c>
      <c r="E7" s="157" t="s">
        <v>491</v>
      </c>
    </row>
    <row r="8" spans="1:5" ht="16.5" customHeight="1">
      <c r="A8" s="153" t="s">
        <v>499</v>
      </c>
      <c r="B8" s="154" t="s">
        <v>488</v>
      </c>
      <c r="C8" s="154" t="s">
        <v>495</v>
      </c>
      <c r="D8" s="155" t="s">
        <v>500</v>
      </c>
      <c r="E8" s="154" t="s">
        <v>491</v>
      </c>
    </row>
    <row r="9" spans="1:5" ht="16.5" customHeight="1">
      <c r="A9" s="156" t="s">
        <v>501</v>
      </c>
      <c r="B9" s="157" t="s">
        <v>488</v>
      </c>
      <c r="C9" s="157" t="s">
        <v>502</v>
      </c>
      <c r="D9" s="158" t="s">
        <v>503</v>
      </c>
      <c r="E9" s="157" t="s">
        <v>491</v>
      </c>
    </row>
    <row r="10" spans="1:5" ht="16.5" customHeight="1">
      <c r="A10" s="153" t="s">
        <v>504</v>
      </c>
      <c r="B10" s="154"/>
      <c r="C10" s="154"/>
      <c r="D10" s="155"/>
      <c r="E10" s="154"/>
    </row>
    <row r="12" spans="1:5" ht="24" customHeight="1">
      <c r="A12" s="273" t="s">
        <v>505</v>
      </c>
      <c r="B12" s="187"/>
      <c r="C12" s="187"/>
      <c r="D12" s="187"/>
      <c r="E12" s="187"/>
    </row>
    <row r="13" spans="1:5">
      <c r="A13" s="161">
        <v>46137</v>
      </c>
      <c r="B13" s="162">
        <v>0.40958333333333335</v>
      </c>
      <c r="C13" s="1" t="s">
        <v>528</v>
      </c>
      <c r="D13" s="1" t="s">
        <v>529</v>
      </c>
      <c r="E13" s="1" t="s">
        <v>527</v>
      </c>
    </row>
    <row r="14" spans="1:5">
      <c r="A14" s="161">
        <v>46137</v>
      </c>
      <c r="B14" s="162">
        <v>0.53903935185185181</v>
      </c>
      <c r="C14" s="1" t="s">
        <v>528</v>
      </c>
      <c r="D14" s="1" t="s">
        <v>529</v>
      </c>
      <c r="E14" s="1" t="s">
        <v>527</v>
      </c>
    </row>
    <row r="15" spans="1:5">
      <c r="A15" s="161">
        <v>46137</v>
      </c>
      <c r="B15" s="162">
        <v>0.89533564814814814</v>
      </c>
      <c r="C15" s="1" t="s">
        <v>528</v>
      </c>
      <c r="D15" s="1" t="s">
        <v>530</v>
      </c>
      <c r="E15" s="1" t="s">
        <v>527</v>
      </c>
    </row>
    <row r="16" spans="1:5">
      <c r="A16" s="161">
        <v>46138</v>
      </c>
      <c r="B16" s="162">
        <v>0.42469907407407409</v>
      </c>
      <c r="C16" s="1" t="s">
        <v>528</v>
      </c>
      <c r="D16" s="1" t="s">
        <v>530</v>
      </c>
      <c r="E16" s="1" t="s">
        <v>574</v>
      </c>
    </row>
    <row r="17" spans="1:5">
      <c r="A17" s="161">
        <v>46138</v>
      </c>
      <c r="B17" s="162">
        <v>0.42818287037037034</v>
      </c>
      <c r="C17" s="1" t="s">
        <v>528</v>
      </c>
      <c r="D17" s="1" t="s">
        <v>529</v>
      </c>
      <c r="E17" s="1" t="s">
        <v>575</v>
      </c>
    </row>
    <row r="18" spans="1:5">
      <c r="A18" s="161">
        <v>46138</v>
      </c>
      <c r="B18" s="162">
        <v>0.43094907407407407</v>
      </c>
      <c r="C18" s="1" t="s">
        <v>528</v>
      </c>
      <c r="D18" s="1" t="s">
        <v>529</v>
      </c>
      <c r="E18" s="1" t="s">
        <v>575</v>
      </c>
    </row>
    <row r="19" spans="1:5">
      <c r="A19" s="161">
        <v>46138</v>
      </c>
      <c r="B19" s="162">
        <v>0.43730324074074073</v>
      </c>
      <c r="C19" s="1" t="s">
        <v>528</v>
      </c>
      <c r="D19" s="1" t="s">
        <v>529</v>
      </c>
      <c r="E19" s="1" t="s">
        <v>575</v>
      </c>
    </row>
    <row r="20" spans="1:5">
      <c r="A20" s="161">
        <v>46138</v>
      </c>
      <c r="B20" s="162">
        <v>0.46271990740740737</v>
      </c>
      <c r="C20" s="1" t="s">
        <v>528</v>
      </c>
      <c r="D20" s="1" t="s">
        <v>529</v>
      </c>
      <c r="E20" s="1" t="s">
        <v>575</v>
      </c>
    </row>
    <row r="21" spans="1:5">
      <c r="A21" s="161">
        <v>46138</v>
      </c>
      <c r="B21" s="162">
        <v>0.47091435185185188</v>
      </c>
      <c r="C21" s="1" t="s">
        <v>528</v>
      </c>
      <c r="D21" s="1" t="s">
        <v>530</v>
      </c>
      <c r="E21" s="1" t="s">
        <v>575</v>
      </c>
    </row>
    <row r="22" spans="1:5">
      <c r="A22" s="161">
        <v>46138</v>
      </c>
      <c r="B22" s="162">
        <v>0.4773148148148148</v>
      </c>
      <c r="C22" s="1" t="s">
        <v>528</v>
      </c>
      <c r="D22" s="1" t="s">
        <v>530</v>
      </c>
      <c r="E22" s="1" t="s">
        <v>701</v>
      </c>
    </row>
  </sheetData>
  <sheetProtection algorithmName="SHA-512" hashValue="dTwpVtmm5n3KUgzyinX8RORFuiOnzoLZ74yyde1GUoLsHVXneRZw5Df5dKCnj2sJ0jptBakHG5fsD3SxfTwKaA==" saltValue="V8j9TDbHkNBZ5XqKVP6oig==" spinCount="100000" sheet="1" objects="1" scenarios="1" autoFilter="0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163"/>
    <col min="3" max="3" width="16" style="163" bestFit="1" customWidth="1"/>
    <col min="4" max="4" width="4.5703125" style="163" bestFit="1" customWidth="1"/>
    <col min="5" max="5" width="11.5703125" style="163" bestFit="1" customWidth="1"/>
    <col min="6" max="6" width="5.7109375" style="163" bestFit="1" customWidth="1"/>
    <col min="7" max="7" width="13.7109375" style="163" bestFit="1" customWidth="1"/>
    <col min="8" max="8" width="9.140625" style="163"/>
    <col min="9" max="9" width="6.5703125" style="163" bestFit="1" customWidth="1"/>
    <col min="10" max="10" width="17" style="163" bestFit="1" customWidth="1"/>
    <col min="11" max="16384" width="9.140625" style="163"/>
  </cols>
  <sheetData>
    <row r="1" spans="2:10" ht="30" customHeight="1">
      <c r="B1" s="173" t="s">
        <v>554</v>
      </c>
    </row>
    <row r="2" spans="2:10" ht="15.75">
      <c r="B2" s="165" t="s">
        <v>531</v>
      </c>
      <c r="C2" s="166">
        <v>15</v>
      </c>
      <c r="D2" s="171" t="s">
        <v>518</v>
      </c>
      <c r="E2" s="171" t="s">
        <v>536</v>
      </c>
      <c r="F2" s="171" t="s">
        <v>537</v>
      </c>
      <c r="G2" s="171" t="s">
        <v>538</v>
      </c>
      <c r="I2" s="170" t="s">
        <v>77</v>
      </c>
      <c r="J2" s="170" t="s">
        <v>544</v>
      </c>
    </row>
    <row r="3" spans="2:10" ht="15.75">
      <c r="B3" s="165" t="s">
        <v>532</v>
      </c>
      <c r="C3" s="167">
        <v>3</v>
      </c>
      <c r="D3" s="172" t="s">
        <v>539</v>
      </c>
      <c r="E3" s="172"/>
      <c r="F3" s="172">
        <v>10</v>
      </c>
      <c r="G3" s="172" t="s">
        <v>510</v>
      </c>
      <c r="I3" s="172" t="s">
        <v>545</v>
      </c>
      <c r="J3" s="172">
        <v>8</v>
      </c>
    </row>
    <row r="4" spans="2:10" ht="6" customHeight="1">
      <c r="B4" s="165" t="s">
        <v>533</v>
      </c>
      <c r="C4" s="168">
        <v>9</v>
      </c>
      <c r="D4" s="172" t="s">
        <v>539</v>
      </c>
      <c r="E4" s="172"/>
      <c r="F4" s="172">
        <v>1</v>
      </c>
      <c r="G4" s="172" t="s">
        <v>540</v>
      </c>
      <c r="I4" s="172" t="s">
        <v>546</v>
      </c>
      <c r="J4" s="172">
        <v>4</v>
      </c>
    </row>
    <row r="5" spans="2:10" ht="36" customHeight="1">
      <c r="B5" s="165" t="s">
        <v>534</v>
      </c>
      <c r="C5" s="169">
        <v>463380</v>
      </c>
      <c r="D5" s="172" t="s">
        <v>539</v>
      </c>
      <c r="E5" s="172"/>
      <c r="F5" s="172">
        <v>6</v>
      </c>
      <c r="G5" s="172" t="s">
        <v>541</v>
      </c>
      <c r="I5" s="172" t="s">
        <v>547</v>
      </c>
      <c r="J5" s="172">
        <v>16</v>
      </c>
    </row>
    <row r="6" spans="2:10">
      <c r="B6" s="165" t="s">
        <v>535</v>
      </c>
      <c r="C6" s="164">
        <v>0</v>
      </c>
      <c r="D6" s="172" t="s">
        <v>539</v>
      </c>
      <c r="E6" s="172"/>
      <c r="F6" s="172">
        <v>10</v>
      </c>
      <c r="G6" s="172" t="s">
        <v>542</v>
      </c>
      <c r="I6" s="172" t="s">
        <v>548</v>
      </c>
      <c r="J6" s="172">
        <v>0</v>
      </c>
    </row>
    <row r="7" spans="2:10">
      <c r="D7" s="172" t="s">
        <v>539</v>
      </c>
      <c r="E7" s="172"/>
      <c r="F7" s="172">
        <v>2</v>
      </c>
      <c r="G7" s="172" t="s">
        <v>543</v>
      </c>
      <c r="I7" s="172" t="s">
        <v>549</v>
      </c>
      <c r="J7" s="172">
        <v>0</v>
      </c>
    </row>
    <row r="8" spans="2:10">
      <c r="I8" s="172" t="s">
        <v>550</v>
      </c>
      <c r="J8" s="172">
        <v>0</v>
      </c>
    </row>
    <row r="9" spans="2:10">
      <c r="I9" s="172" t="s">
        <v>551</v>
      </c>
      <c r="J9" s="172">
        <v>0</v>
      </c>
    </row>
    <row r="10" spans="2:10">
      <c r="I10" s="172" t="s">
        <v>552</v>
      </c>
      <c r="J10" s="172">
        <v>0</v>
      </c>
    </row>
    <row r="11" spans="2:10">
      <c r="I11" s="172" t="s">
        <v>553</v>
      </c>
      <c r="J11" s="172">
        <v>2</v>
      </c>
    </row>
  </sheetData>
  <sheetProtection algorithmName="SHA-512" hashValue="nErCIMn5smcnjIEzjGLFEuh6zaPzFucjabGSyjp1b9FRWDZpdsHar+TwM+A1XAnwnKDHgz6k4EuEHwwzFbwFVA==" saltValue="gN1ZKlw4WBldg8SDbRpwuA==" spinCount="100000" sheet="1" objects="1" scenarios="1" autoFilter="0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274" t="s">
        <v>511</v>
      </c>
      <c r="B1" s="187"/>
      <c r="C1" s="187"/>
      <c r="D1" s="187"/>
    </row>
    <row r="3" spans="1:4">
      <c r="A3" t="s">
        <v>512</v>
      </c>
    </row>
    <row r="4" spans="1:4">
      <c r="A4" t="s">
        <v>513</v>
      </c>
      <c r="B4" t="s">
        <v>171</v>
      </c>
    </row>
    <row r="5" spans="1:4">
      <c r="A5" t="s">
        <v>514</v>
      </c>
      <c r="B5">
        <v>0</v>
      </c>
    </row>
    <row r="6" spans="1:4">
      <c r="A6" t="s">
        <v>515</v>
      </c>
    </row>
  </sheetData>
  <sheetProtection algorithmName="SHA-512" hashValue="/bNLP3ml+V2SRlWT8allbPGpUIfZE12k8V0XARbp4hbWIpZthlXJzlW/bv2IdkfVEyg5KwRo/FJe3Udz9dnpCA==" saltValue="hnHFDEFaPUPInTA8MfBVHw==" spinCount="100000" sheet="1" objects="1" scenarios="1" autoFilter="0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174" bestFit="1" customWidth="1"/>
    <col min="2" max="2" width="27.42578125" style="174" bestFit="1" customWidth="1"/>
    <col min="3" max="3" width="11.85546875" style="174" bestFit="1" customWidth="1"/>
    <col min="4" max="4" width="9.5703125" style="174" bestFit="1" customWidth="1"/>
    <col min="5" max="5" width="16.5703125" style="174" bestFit="1" customWidth="1"/>
    <col min="6" max="6" width="12.140625" style="174" bestFit="1" customWidth="1"/>
    <col min="7" max="7" width="17.5703125" style="174" bestFit="1" customWidth="1"/>
    <col min="8" max="16384" width="9.140625" style="174"/>
  </cols>
  <sheetData>
    <row r="1" spans="1:7">
      <c r="A1" s="176" t="s">
        <v>518</v>
      </c>
      <c r="B1" s="176" t="s">
        <v>536</v>
      </c>
      <c r="C1" s="176" t="s">
        <v>200</v>
      </c>
      <c r="D1" s="176" t="s">
        <v>555</v>
      </c>
      <c r="E1" s="176" t="s">
        <v>556</v>
      </c>
      <c r="F1" s="176" t="s">
        <v>557</v>
      </c>
      <c r="G1" s="176" t="s">
        <v>558</v>
      </c>
    </row>
    <row r="2" spans="1:7">
      <c r="A2" s="177" t="s">
        <v>560</v>
      </c>
      <c r="B2" s="177" t="s">
        <v>561</v>
      </c>
      <c r="C2" s="177">
        <v>10</v>
      </c>
      <c r="D2" s="177">
        <v>51.07</v>
      </c>
      <c r="E2" s="177">
        <v>38</v>
      </c>
      <c r="F2" s="179">
        <v>450</v>
      </c>
      <c r="G2" s="179">
        <v>17320.5</v>
      </c>
    </row>
    <row r="3" spans="1:7">
      <c r="A3" s="177" t="s">
        <v>55</v>
      </c>
      <c r="B3" s="177" t="s">
        <v>562</v>
      </c>
      <c r="C3" s="177">
        <v>42</v>
      </c>
      <c r="D3" s="177">
        <v>53.8</v>
      </c>
      <c r="E3" s="177">
        <v>39</v>
      </c>
      <c r="F3" s="179">
        <v>1600</v>
      </c>
      <c r="G3" s="179">
        <v>61648</v>
      </c>
    </row>
    <row r="4" spans="1:7">
      <c r="A4" s="177" t="s">
        <v>58</v>
      </c>
      <c r="B4" s="177" t="s">
        <v>563</v>
      </c>
      <c r="C4" s="177">
        <v>6</v>
      </c>
      <c r="D4" s="177">
        <v>50.8</v>
      </c>
      <c r="E4" s="177">
        <v>129</v>
      </c>
      <c r="F4" s="179">
        <v>30</v>
      </c>
      <c r="G4" s="179">
        <v>3873</v>
      </c>
    </row>
    <row r="5" spans="1:7">
      <c r="A5" s="178" t="s">
        <v>59</v>
      </c>
      <c r="B5" s="178" t="s">
        <v>564</v>
      </c>
      <c r="C5" s="178">
        <v>4</v>
      </c>
      <c r="D5" s="178">
        <v>50.4</v>
      </c>
      <c r="E5" s="178">
        <v>60</v>
      </c>
      <c r="F5" s="180">
        <v>70</v>
      </c>
      <c r="G5" s="180">
        <v>4183.2</v>
      </c>
    </row>
    <row r="6" spans="1:7">
      <c r="A6" s="178" t="s">
        <v>61</v>
      </c>
      <c r="B6" s="178" t="s">
        <v>565</v>
      </c>
      <c r="C6" s="178">
        <v>1</v>
      </c>
      <c r="D6" s="178">
        <v>51.27</v>
      </c>
      <c r="E6" s="178">
        <v>19</v>
      </c>
      <c r="F6" s="180">
        <v>2200</v>
      </c>
      <c r="G6" s="180">
        <v>41734</v>
      </c>
    </row>
    <row r="7" spans="1:7">
      <c r="A7" s="177" t="s">
        <v>566</v>
      </c>
      <c r="B7" s="177" t="s">
        <v>567</v>
      </c>
      <c r="C7" s="177">
        <v>12</v>
      </c>
      <c r="D7" s="177">
        <v>50.13</v>
      </c>
      <c r="E7" s="177">
        <v>12</v>
      </c>
      <c r="F7" s="179">
        <v>550</v>
      </c>
      <c r="G7" s="179">
        <v>6770.5</v>
      </c>
    </row>
    <row r="8" spans="1:7">
      <c r="A8" s="178" t="s">
        <v>64</v>
      </c>
      <c r="B8" s="178" t="s">
        <v>568</v>
      </c>
      <c r="C8" s="178">
        <v>2</v>
      </c>
      <c r="D8" s="178">
        <v>50.2</v>
      </c>
      <c r="E8" s="178">
        <v>11</v>
      </c>
      <c r="F8" s="180">
        <v>950</v>
      </c>
      <c r="G8" s="180">
        <v>10896.5</v>
      </c>
    </row>
    <row r="9" spans="1:7">
      <c r="A9" s="177" t="s">
        <v>66</v>
      </c>
      <c r="B9" s="177" t="s">
        <v>569</v>
      </c>
      <c r="C9" s="177">
        <v>25</v>
      </c>
      <c r="D9" s="177">
        <v>50.07</v>
      </c>
      <c r="E9" s="177">
        <v>8</v>
      </c>
      <c r="F9" s="179">
        <v>600</v>
      </c>
      <c r="G9" s="179">
        <v>4998</v>
      </c>
    </row>
    <row r="10" spans="1:7">
      <c r="A10" s="177" t="s">
        <v>68</v>
      </c>
      <c r="B10" s="177" t="s">
        <v>570</v>
      </c>
      <c r="C10" s="177">
        <v>4</v>
      </c>
      <c r="D10" s="177">
        <v>50.4</v>
      </c>
      <c r="E10" s="177">
        <v>18</v>
      </c>
      <c r="F10" s="179">
        <v>750</v>
      </c>
      <c r="G10" s="179">
        <v>13695</v>
      </c>
    </row>
    <row r="11" spans="1:7">
      <c r="A11" s="177" t="s">
        <v>571</v>
      </c>
      <c r="B11" s="177" t="s">
        <v>572</v>
      </c>
      <c r="C11" s="177">
        <v>39</v>
      </c>
      <c r="D11" s="177">
        <v>50.27</v>
      </c>
      <c r="E11" s="177">
        <v>6</v>
      </c>
      <c r="F11" s="179">
        <v>4500</v>
      </c>
      <c r="G11" s="179">
        <v>27405</v>
      </c>
    </row>
    <row r="12" spans="1:7">
      <c r="A12" s="177" t="s">
        <v>69</v>
      </c>
      <c r="B12" s="177" t="s">
        <v>573</v>
      </c>
      <c r="C12" s="177">
        <v>28</v>
      </c>
      <c r="D12" s="177">
        <v>50.27</v>
      </c>
      <c r="E12" s="177">
        <v>24</v>
      </c>
      <c r="F12" s="179">
        <v>300</v>
      </c>
      <c r="G12" s="179">
        <v>7071</v>
      </c>
    </row>
    <row r="13" spans="1:7">
      <c r="F13" s="175" t="s">
        <v>559</v>
      </c>
      <c r="G13" s="181">
        <f>SUM(G2:G12)</f>
        <v>199594.7</v>
      </c>
    </row>
  </sheetData>
  <sheetProtection algorithmName="SHA-512" hashValue="JWrfrEmMu5ZcgyeTWVWHyDdjsmvQbZRJy+h2uMdDmrCp555knSS3T7cdWIMDCV3BnXfFnY8iyDOcBJIPEZRFPw==" saltValue="ROyNPKCTfXXSjwSUcySywg==" spinCount="100000" sheet="1" objects="1" scenarios="1" autoFilter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59" t="s">
        <v>516</v>
      </c>
      <c r="B1" s="159" t="s">
        <v>517</v>
      </c>
      <c r="C1" s="159" t="s">
        <v>518</v>
      </c>
      <c r="D1" s="159" t="s">
        <v>519</v>
      </c>
      <c r="E1" s="159" t="s">
        <v>520</v>
      </c>
      <c r="F1" s="159" t="s">
        <v>521</v>
      </c>
    </row>
  </sheetData>
  <sheetProtection algorithmName="SHA-512" hashValue="peoAr9SzReIbYnqAzpczsW0Wk3+igAavH8mUDL8FSjb/0gvPGLQ+Q/smEV1MIWGfNukpcIrlB6Ve/bnUahXfDA==" saltValue="+zmzjg5LtDohWW0Udu8V9w==" spinCount="100000" sheet="1" objects="1" scenarios="1" autoFilter="0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59" t="s">
        <v>522</v>
      </c>
      <c r="B1" s="159" t="s">
        <v>523</v>
      </c>
    </row>
    <row r="2" spans="1:2">
      <c r="A2" t="s">
        <v>577</v>
      </c>
      <c r="B2" t="s">
        <v>578</v>
      </c>
    </row>
    <row r="3" spans="1:2">
      <c r="A3" t="s">
        <v>524</v>
      </c>
      <c r="B3" t="s">
        <v>579</v>
      </c>
    </row>
    <row r="4" spans="1:2">
      <c r="A4" t="s">
        <v>509</v>
      </c>
      <c r="B4" t="s">
        <v>580</v>
      </c>
    </row>
    <row r="5" spans="1:2">
      <c r="A5" t="s">
        <v>508</v>
      </c>
      <c r="B5" t="s">
        <v>581</v>
      </c>
    </row>
    <row r="6" spans="1:2">
      <c r="A6" t="s">
        <v>582</v>
      </c>
      <c r="B6" t="s">
        <v>583</v>
      </c>
    </row>
    <row r="7" spans="1:2">
      <c r="A7" t="s">
        <v>584</v>
      </c>
      <c r="B7" t="s">
        <v>585</v>
      </c>
    </row>
    <row r="8" spans="1:2">
      <c r="A8" t="s">
        <v>586</v>
      </c>
      <c r="B8" t="s">
        <v>585</v>
      </c>
    </row>
    <row r="9" spans="1:2">
      <c r="A9" t="s">
        <v>587</v>
      </c>
      <c r="B9" t="s">
        <v>588</v>
      </c>
    </row>
    <row r="10" spans="1:2">
      <c r="A10" t="s">
        <v>589</v>
      </c>
      <c r="B10" t="s">
        <v>590</v>
      </c>
    </row>
    <row r="11" spans="1:2">
      <c r="A11" t="s">
        <v>591</v>
      </c>
      <c r="B11" t="s">
        <v>592</v>
      </c>
    </row>
    <row r="12" spans="1:2">
      <c r="A12" t="s">
        <v>593</v>
      </c>
      <c r="B12" t="s">
        <v>592</v>
      </c>
    </row>
    <row r="13" spans="1:2">
      <c r="A13" t="s">
        <v>594</v>
      </c>
      <c r="B13" t="s">
        <v>595</v>
      </c>
    </row>
    <row r="14" spans="1:2">
      <c r="A14" t="s">
        <v>596</v>
      </c>
      <c r="B14" t="s">
        <v>588</v>
      </c>
    </row>
    <row r="15" spans="1:2">
      <c r="A15" t="s">
        <v>597</v>
      </c>
      <c r="B15" t="s">
        <v>585</v>
      </c>
    </row>
    <row r="16" spans="1:2">
      <c r="A16" t="s">
        <v>598</v>
      </c>
      <c r="B16" t="s">
        <v>599</v>
      </c>
    </row>
    <row r="17" spans="1:2">
      <c r="A17" t="s">
        <v>600</v>
      </c>
      <c r="B17" t="s">
        <v>601</v>
      </c>
    </row>
    <row r="18" spans="1:2">
      <c r="A18" t="s">
        <v>602</v>
      </c>
      <c r="B18" t="s">
        <v>603</v>
      </c>
    </row>
    <row r="19" spans="1:2">
      <c r="A19" t="s">
        <v>604</v>
      </c>
      <c r="B19" t="s">
        <v>590</v>
      </c>
    </row>
    <row r="20" spans="1:2">
      <c r="A20" t="s">
        <v>605</v>
      </c>
      <c r="B20" t="s">
        <v>588</v>
      </c>
    </row>
    <row r="21" spans="1:2">
      <c r="A21" t="s">
        <v>606</v>
      </c>
      <c r="B21" t="s">
        <v>592</v>
      </c>
    </row>
    <row r="22" spans="1:2">
      <c r="A22" t="s">
        <v>607</v>
      </c>
      <c r="B22" t="s">
        <v>608</v>
      </c>
    </row>
    <row r="23" spans="1:2">
      <c r="A23" t="s">
        <v>609</v>
      </c>
      <c r="B23" t="s">
        <v>610</v>
      </c>
    </row>
    <row r="24" spans="1:2">
      <c r="A24" t="s">
        <v>611</v>
      </c>
      <c r="B24" t="s">
        <v>612</v>
      </c>
    </row>
    <row r="25" spans="1:2">
      <c r="A25" t="s">
        <v>613</v>
      </c>
      <c r="B25" t="s">
        <v>585</v>
      </c>
    </row>
    <row r="26" spans="1:2">
      <c r="A26" t="s">
        <v>614</v>
      </c>
      <c r="B26" t="s">
        <v>585</v>
      </c>
    </row>
    <row r="27" spans="1:2">
      <c r="A27" t="s">
        <v>615</v>
      </c>
      <c r="B27" t="s">
        <v>585</v>
      </c>
    </row>
    <row r="28" spans="1:2">
      <c r="A28" t="s">
        <v>616</v>
      </c>
      <c r="B28" t="s">
        <v>585</v>
      </c>
    </row>
    <row r="29" spans="1:2">
      <c r="A29" t="s">
        <v>617</v>
      </c>
      <c r="B29" t="s">
        <v>618</v>
      </c>
    </row>
    <row r="30" spans="1:2">
      <c r="A30" t="s">
        <v>619</v>
      </c>
      <c r="B30" t="s">
        <v>620</v>
      </c>
    </row>
    <row r="31" spans="1:2">
      <c r="A31" t="s">
        <v>621</v>
      </c>
      <c r="B31" t="s">
        <v>622</v>
      </c>
    </row>
    <row r="32" spans="1:2">
      <c r="A32" t="s">
        <v>623</v>
      </c>
      <c r="B32" t="s">
        <v>624</v>
      </c>
    </row>
    <row r="33" spans="1:2">
      <c r="A33" t="s">
        <v>625</v>
      </c>
      <c r="B33" t="s">
        <v>622</v>
      </c>
    </row>
    <row r="34" spans="1:2">
      <c r="A34" t="s">
        <v>626</v>
      </c>
      <c r="B34" t="s">
        <v>627</v>
      </c>
    </row>
    <row r="35" spans="1:2">
      <c r="A35" t="s">
        <v>628</v>
      </c>
      <c r="B35" t="s">
        <v>629</v>
      </c>
    </row>
    <row r="36" spans="1:2">
      <c r="A36" t="s">
        <v>630</v>
      </c>
      <c r="B36" t="s">
        <v>631</v>
      </c>
    </row>
    <row r="37" spans="1:2">
      <c r="A37" t="s">
        <v>632</v>
      </c>
      <c r="B37" t="s">
        <v>633</v>
      </c>
    </row>
    <row r="38" spans="1:2">
      <c r="A38" t="s">
        <v>634</v>
      </c>
      <c r="B38" t="s">
        <v>590</v>
      </c>
    </row>
    <row r="39" spans="1:2">
      <c r="A39" t="s">
        <v>635</v>
      </c>
      <c r="B39" t="s">
        <v>636</v>
      </c>
    </row>
    <row r="40" spans="1:2">
      <c r="A40" t="s">
        <v>637</v>
      </c>
      <c r="B40" t="s">
        <v>590</v>
      </c>
    </row>
    <row r="41" spans="1:2">
      <c r="A41" t="s">
        <v>638</v>
      </c>
      <c r="B41" t="s">
        <v>585</v>
      </c>
    </row>
    <row r="42" spans="1:2">
      <c r="A42" t="s">
        <v>639</v>
      </c>
      <c r="B42" t="s">
        <v>585</v>
      </c>
    </row>
    <row r="43" spans="1:2">
      <c r="A43" t="s">
        <v>640</v>
      </c>
      <c r="B43" t="s">
        <v>583</v>
      </c>
    </row>
    <row r="44" spans="1:2">
      <c r="A44" t="s">
        <v>641</v>
      </c>
      <c r="B44" t="s">
        <v>583</v>
      </c>
    </row>
    <row r="45" spans="1:2">
      <c r="A45" t="s">
        <v>642</v>
      </c>
      <c r="B45" t="s">
        <v>585</v>
      </c>
    </row>
    <row r="46" spans="1:2">
      <c r="A46" t="s">
        <v>643</v>
      </c>
      <c r="B46" t="s">
        <v>585</v>
      </c>
    </row>
    <row r="47" spans="1:2">
      <c r="A47" t="s">
        <v>644</v>
      </c>
      <c r="B47" t="s">
        <v>588</v>
      </c>
    </row>
    <row r="48" spans="1:2">
      <c r="A48" t="s">
        <v>645</v>
      </c>
      <c r="B48" t="s">
        <v>646</v>
      </c>
    </row>
    <row r="49" spans="1:2">
      <c r="A49" t="s">
        <v>647</v>
      </c>
      <c r="B49" t="s">
        <v>585</v>
      </c>
    </row>
    <row r="50" spans="1:2">
      <c r="A50" t="s">
        <v>648</v>
      </c>
      <c r="B50" t="s">
        <v>585</v>
      </c>
    </row>
    <row r="51" spans="1:2">
      <c r="A51" t="s">
        <v>649</v>
      </c>
      <c r="B51" t="s">
        <v>588</v>
      </c>
    </row>
    <row r="52" spans="1:2">
      <c r="A52" t="s">
        <v>650</v>
      </c>
      <c r="B52" t="s">
        <v>585</v>
      </c>
    </row>
    <row r="53" spans="1:2">
      <c r="A53" t="s">
        <v>651</v>
      </c>
      <c r="B53" t="s">
        <v>592</v>
      </c>
    </row>
    <row r="54" spans="1:2">
      <c r="A54" t="s">
        <v>652</v>
      </c>
      <c r="B54" t="s">
        <v>608</v>
      </c>
    </row>
    <row r="55" spans="1:2">
      <c r="A55" t="s">
        <v>653</v>
      </c>
      <c r="B55" t="s">
        <v>608</v>
      </c>
    </row>
    <row r="56" spans="1:2">
      <c r="A56" t="s">
        <v>654</v>
      </c>
      <c r="B56" t="s">
        <v>592</v>
      </c>
    </row>
    <row r="57" spans="1:2">
      <c r="A57" t="s">
        <v>655</v>
      </c>
      <c r="B57" t="s">
        <v>592</v>
      </c>
    </row>
    <row r="58" spans="1:2">
      <c r="A58" t="s">
        <v>656</v>
      </c>
      <c r="B58" t="s">
        <v>657</v>
      </c>
    </row>
    <row r="59" spans="1:2">
      <c r="A59" t="s">
        <v>658</v>
      </c>
      <c r="B59" t="s">
        <v>581</v>
      </c>
    </row>
    <row r="60" spans="1:2">
      <c r="A60" t="s">
        <v>659</v>
      </c>
      <c r="B60" t="s">
        <v>581</v>
      </c>
    </row>
    <row r="61" spans="1:2">
      <c r="A61" t="s">
        <v>660</v>
      </c>
      <c r="B61" t="s">
        <v>661</v>
      </c>
    </row>
    <row r="62" spans="1:2">
      <c r="A62" t="s">
        <v>662</v>
      </c>
      <c r="B62" t="s">
        <v>599</v>
      </c>
    </row>
    <row r="63" spans="1:2">
      <c r="A63" t="s">
        <v>663</v>
      </c>
      <c r="B63" t="s">
        <v>664</v>
      </c>
    </row>
    <row r="64" spans="1:2">
      <c r="A64" t="s">
        <v>665</v>
      </c>
      <c r="B64" t="s">
        <v>666</v>
      </c>
    </row>
    <row r="65" spans="1:2">
      <c r="A65" t="s">
        <v>667</v>
      </c>
      <c r="B65" t="s">
        <v>646</v>
      </c>
    </row>
    <row r="66" spans="1:2">
      <c r="A66" t="s">
        <v>668</v>
      </c>
      <c r="B66" t="s">
        <v>585</v>
      </c>
    </row>
    <row r="67" spans="1:2">
      <c r="A67" t="s">
        <v>669</v>
      </c>
      <c r="B67" t="s">
        <v>583</v>
      </c>
    </row>
    <row r="68" spans="1:2">
      <c r="A68" t="s">
        <v>670</v>
      </c>
      <c r="B68" t="s">
        <v>585</v>
      </c>
    </row>
    <row r="69" spans="1:2">
      <c r="A69" t="s">
        <v>671</v>
      </c>
      <c r="B69" t="s">
        <v>585</v>
      </c>
    </row>
    <row r="70" spans="1:2">
      <c r="A70" t="s">
        <v>672</v>
      </c>
      <c r="B70" t="s">
        <v>585</v>
      </c>
    </row>
    <row r="71" spans="1:2">
      <c r="A71" t="s">
        <v>673</v>
      </c>
      <c r="B71" t="s">
        <v>674</v>
      </c>
    </row>
    <row r="72" spans="1:2">
      <c r="A72" t="s">
        <v>675</v>
      </c>
      <c r="B72" t="s">
        <v>676</v>
      </c>
    </row>
    <row r="73" spans="1:2">
      <c r="A73" t="s">
        <v>677</v>
      </c>
      <c r="B73" t="s">
        <v>678</v>
      </c>
    </row>
    <row r="74" spans="1:2">
      <c r="A74" t="s">
        <v>679</v>
      </c>
      <c r="B74" t="s">
        <v>680</v>
      </c>
    </row>
    <row r="75" spans="1:2">
      <c r="A75" t="s">
        <v>681</v>
      </c>
      <c r="B75" t="s">
        <v>682</v>
      </c>
    </row>
    <row r="76" spans="1:2">
      <c r="A76" t="s">
        <v>683</v>
      </c>
      <c r="B76" t="s">
        <v>684</v>
      </c>
    </row>
    <row r="77" spans="1:2">
      <c r="A77" t="s">
        <v>685</v>
      </c>
      <c r="B77" t="s">
        <v>686</v>
      </c>
    </row>
    <row r="78" spans="1:2">
      <c r="A78" t="s">
        <v>687</v>
      </c>
      <c r="B78" t="s">
        <v>646</v>
      </c>
    </row>
    <row r="79" spans="1:2">
      <c r="A79" t="s">
        <v>688</v>
      </c>
      <c r="B79" t="s">
        <v>585</v>
      </c>
    </row>
    <row r="80" spans="1:2">
      <c r="A80" t="s">
        <v>689</v>
      </c>
      <c r="B80" t="s">
        <v>646</v>
      </c>
    </row>
    <row r="81" spans="1:2">
      <c r="A81" t="s">
        <v>690</v>
      </c>
      <c r="B81" t="s">
        <v>646</v>
      </c>
    </row>
    <row r="82" spans="1:2">
      <c r="A82" t="s">
        <v>691</v>
      </c>
      <c r="B82" t="s">
        <v>583</v>
      </c>
    </row>
    <row r="83" spans="1:2">
      <c r="A83" t="s">
        <v>692</v>
      </c>
      <c r="B83" t="s">
        <v>693</v>
      </c>
    </row>
    <row r="84" spans="1:2">
      <c r="A84" t="s">
        <v>694</v>
      </c>
      <c r="B84" t="s">
        <v>695</v>
      </c>
    </row>
    <row r="85" spans="1:2">
      <c r="A85" t="s">
        <v>696</v>
      </c>
      <c r="B85" t="s">
        <v>595</v>
      </c>
    </row>
    <row r="86" spans="1:2">
      <c r="A86" t="s">
        <v>697</v>
      </c>
      <c r="B86" t="s">
        <v>698</v>
      </c>
    </row>
    <row r="87" spans="1:2">
      <c r="A87" t="s">
        <v>699</v>
      </c>
      <c r="B87" t="s">
        <v>595</v>
      </c>
    </row>
    <row r="88" spans="1:2">
      <c r="A88" t="s">
        <v>700</v>
      </c>
      <c r="B88" t="s">
        <v>595</v>
      </c>
    </row>
  </sheetData>
  <sheetProtection algorithmName="SHA-512" hashValue="QMWne/Ktu7vll+Y3BaGhnCOvjJilXwRHkFIT+UDtmSYKMb83XkJS5TXxq4O3ah/x2CFxFPZDax6oFVHOYb2+iQ==" saltValue="uOge9ebVZPL8IWUxlXvERw==" spinCount="100000" sheet="1" objects="1" scenarios="1" autoFilter="0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59" t="s">
        <v>525</v>
      </c>
    </row>
  </sheetData>
  <sheetProtection algorithmName="SHA-512" hashValue="412QGaC5SPlA6W3VAJD/hq5oAp1q6SS+bIGZheu7p00f5pXQwGWxQW0+cVTf38pvnErI7/2XMNdDsOMvC7j/Rw==" saltValue="BeDpmMMaZH9dy4pIfC4Wkg==" spinCount="100000" sheet="1" objects="1" scenarios="1" autoFilter="0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59" t="s">
        <v>526</v>
      </c>
    </row>
  </sheetData>
  <sheetProtection algorithmName="SHA-512" hashValue="/X6a5XTANgXUUhDIH1xjr8xuGSfSp9YHPtRsVZy6fW/YmMYilbxXfJ8SrDINOme/trbPvhHkIlFsZx3gnpJ0Aw==" saltValue="ul+QEjjgrVC0dXk3X3kVdQ==" spinCount="100000" sheet="1" objects="1" scenarios="1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2026-05-17T00:29:42Z</dcterms:modified>
  <dc:language>en-US</dc:language>
</cp:coreProperties>
</file>