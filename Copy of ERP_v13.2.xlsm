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ropbox\Logistics.Public.Sector.Refactor\"/>
    </mc:Choice>
  </mc:AlternateContent>
  <xr:revisionPtr revIDLastSave="0" documentId="8_{818014B5-910D-4F7B-842D-3DB307B89AD5}" xr6:coauthVersionLast="36" xr6:coauthVersionMax="36" xr10:uidLastSave="{00000000-0000-0000-0000-000000000000}"/>
  <bookViews>
    <workbookView xWindow="0" yWindow="0" windowWidth="16380" windowHeight="8190" tabRatio="500" firstSheet="15" activeTab="15" xr2:uid="{00000000-000D-0000-FFFF-FFFF00000000}"/>
  </bookViews>
  <sheets>
    <sheet name="ACCUEIL" sheetId="1" r:id="rId1"/>
    <sheet name="ARTICLES" sheetId="2" r:id="rId2"/>
    <sheet name="System_Lists" sheetId="27" state="veryHidden" r:id="rId3"/>
    <sheet name="FOURNISSEURS" sheetId="3" r:id="rId4"/>
    <sheet name="CONVENTIONS" sheetId="4" r:id="rId5"/>
    <sheet name="MOUVEMENTS" sheetId="5" r:id="rId6"/>
    <sheet name="TABLEAU DE BORD" sheetId="6" r:id="rId7"/>
    <sheet name="ALERTE_DASHBOARD" sheetId="7" r:id="rId8"/>
    <sheet name="INVENTAIRE" sheetId="8" r:id="rId9"/>
    <sheet name="RAPPORTS" sheetId="9" r:id="rId10"/>
    <sheet name="CALCULS_EOQ" sheetId="10" r:id="rId11"/>
    <sheet name="HISTORIQUE" sheetId="11" r:id="rId12"/>
    <sheet name="BON_RECEPTION" sheetId="12" r:id="rId13"/>
    <sheet name="BON_SORTIE" sheetId="13" r:id="rId14"/>
    <sheet name="BON_COMMANDE" sheetId="14" r:id="rId15"/>
    <sheet name="DA_DEMANDE_ACHAT" sheetId="15" r:id="rId16"/>
    <sheet name="GUIDE" sheetId="16" r:id="rId17"/>
    <sheet name="VBA_MODULES" sheetId="17" r:id="rId18"/>
    <sheet name="AUDIT_LOG" sheetId="18" r:id="rId19"/>
    <sheet name="DASHBOARD" sheetId="24" r:id="rId20"/>
    <sheet name="FORM_INPUT" sheetId="25" r:id="rId21"/>
    <sheet name="BORDEREAU_COMMANDE" sheetId="38" r:id="rId22"/>
    <sheet name="STAGING_BUFFER" sheetId="43" r:id="rId23"/>
    <sheet name="SYS_STRINGS" sheetId="44" r:id="rId24"/>
    <sheet name="RECEIPT_TAG" sheetId="45" r:id="rId25"/>
    <sheet name="TEMPLATE_BON" sheetId="46" r:id="rId26"/>
  </sheets>
  <functionGroups builtInGroupCount="19"/>
  <definedNames>
    <definedName name="TAG_CODE">#REF!</definedName>
    <definedName name="TAG_DATE">#REF!</definedName>
    <definedName name="TAG_DESC">#REF!</definedName>
    <definedName name="TAG_ID">#REF!</definedName>
    <definedName name="TAG_QR">#REF!</definedName>
    <definedName name="TAG_QTY">#REF!</definedName>
    <definedName name="TAG_REF">#REF!</definedName>
    <definedName name="TAG_TYPE">#REF!</definedName>
  </definedNames>
  <calcPr calcId="191029" iterateDelta="1E-4"/>
</workbook>
</file>

<file path=xl/calcChain.xml><?xml version="1.0" encoding="utf-8"?>
<calcChain xmlns="http://schemas.openxmlformats.org/spreadsheetml/2006/main">
  <c r="G13" i="38" l="1"/>
  <c r="H24" i="15" l="1"/>
  <c r="D24" i="15"/>
  <c r="C24" i="15"/>
  <c r="H23" i="15"/>
  <c r="D23" i="15"/>
  <c r="C23" i="15"/>
  <c r="H22" i="15"/>
  <c r="D22" i="15"/>
  <c r="C22" i="15"/>
  <c r="H21" i="15"/>
  <c r="D21" i="15"/>
  <c r="C21" i="15"/>
  <c r="H20" i="15"/>
  <c r="D20" i="15"/>
  <c r="C20" i="15"/>
  <c r="H19" i="15"/>
  <c r="D19" i="15"/>
  <c r="C19" i="15"/>
  <c r="H18" i="15"/>
  <c r="D18" i="15"/>
  <c r="C18" i="15"/>
  <c r="H17" i="15"/>
  <c r="D17" i="15"/>
  <c r="C17" i="15"/>
  <c r="D8" i="15"/>
  <c r="G24" i="14"/>
  <c r="H24" i="14" s="1"/>
  <c r="D24" i="14"/>
  <c r="C24" i="14"/>
  <c r="G23" i="14"/>
  <c r="H23" i="14" s="1"/>
  <c r="D23" i="14"/>
  <c r="C23" i="14"/>
  <c r="G22" i="14"/>
  <c r="H22" i="14" s="1"/>
  <c r="D22" i="14"/>
  <c r="C22" i="14"/>
  <c r="G21" i="14"/>
  <c r="H21" i="14" s="1"/>
  <c r="D21" i="14"/>
  <c r="C21" i="14"/>
  <c r="G20" i="14"/>
  <c r="H20" i="14" s="1"/>
  <c r="D20" i="14"/>
  <c r="C20" i="14"/>
  <c r="G19" i="14"/>
  <c r="H19" i="14" s="1"/>
  <c r="D19" i="14"/>
  <c r="C19" i="14"/>
  <c r="G18" i="14"/>
  <c r="H18" i="14" s="1"/>
  <c r="D18" i="14"/>
  <c r="C18" i="14"/>
  <c r="G17" i="14"/>
  <c r="H17" i="14" s="1"/>
  <c r="D17" i="14"/>
  <c r="C17" i="14"/>
  <c r="D8" i="14"/>
  <c r="G20" i="13"/>
  <c r="H20" i="13" s="1"/>
  <c r="D20" i="13"/>
  <c r="C20" i="13"/>
  <c r="G19" i="13"/>
  <c r="H19" i="13" s="1"/>
  <c r="D19" i="13"/>
  <c r="C19" i="13"/>
  <c r="G18" i="13"/>
  <c r="H18" i="13" s="1"/>
  <c r="D18" i="13"/>
  <c r="C18" i="13"/>
  <c r="G17" i="13"/>
  <c r="H17" i="13" s="1"/>
  <c r="D17" i="13"/>
  <c r="C17" i="13"/>
  <c r="G16" i="13"/>
  <c r="H16" i="13" s="1"/>
  <c r="D16" i="13"/>
  <c r="C16" i="13"/>
  <c r="G15" i="13"/>
  <c r="H15" i="13" s="1"/>
  <c r="D15" i="13"/>
  <c r="C15" i="13"/>
  <c r="D8" i="13"/>
  <c r="G21" i="12"/>
  <c r="H21" i="12" s="1"/>
  <c r="D21" i="12"/>
  <c r="C21" i="12"/>
  <c r="G20" i="12"/>
  <c r="H20" i="12" s="1"/>
  <c r="D20" i="12"/>
  <c r="C20" i="12"/>
  <c r="G19" i="12"/>
  <c r="H19" i="12" s="1"/>
  <c r="D19" i="12"/>
  <c r="C19" i="12"/>
  <c r="G18" i="12"/>
  <c r="H18" i="12" s="1"/>
  <c r="D18" i="12"/>
  <c r="C18" i="12"/>
  <c r="G17" i="12"/>
  <c r="H17" i="12" s="1"/>
  <c r="D17" i="12"/>
  <c r="C17" i="12"/>
  <c r="G16" i="12"/>
  <c r="H16" i="12" s="1"/>
  <c r="D16" i="12"/>
  <c r="C16" i="12"/>
  <c r="G15" i="12"/>
  <c r="H15" i="12" s="1"/>
  <c r="D15" i="12"/>
  <c r="C15" i="12"/>
  <c r="G14" i="12"/>
  <c r="H14" i="12" s="1"/>
  <c r="D14" i="12"/>
  <c r="C14" i="12"/>
  <c r="D8" i="12"/>
  <c r="C13" i="10"/>
  <c r="C11" i="10"/>
  <c r="C15" i="10" s="1"/>
  <c r="E75" i="9"/>
  <c r="D75" i="9"/>
  <c r="C75" i="9"/>
  <c r="B75" i="9"/>
  <c r="E74" i="9"/>
  <c r="D74" i="9"/>
  <c r="C74" i="9"/>
  <c r="B74" i="9"/>
  <c r="E73" i="9"/>
  <c r="D73" i="9"/>
  <c r="C73" i="9"/>
  <c r="B73" i="9"/>
  <c r="E72" i="9"/>
  <c r="D72" i="9"/>
  <c r="C72" i="9"/>
  <c r="B72" i="9"/>
  <c r="E71" i="9"/>
  <c r="D71" i="9"/>
  <c r="C71" i="9"/>
  <c r="B71" i="9"/>
  <c r="E70" i="9"/>
  <c r="D70" i="9"/>
  <c r="C70" i="9"/>
  <c r="B70" i="9"/>
  <c r="E69" i="9"/>
  <c r="D69" i="9"/>
  <c r="C69" i="9"/>
  <c r="B69" i="9"/>
  <c r="E68" i="9"/>
  <c r="D68" i="9"/>
  <c r="C68" i="9"/>
  <c r="B68" i="9"/>
  <c r="E67" i="9"/>
  <c r="D67" i="9"/>
  <c r="C67" i="9"/>
  <c r="B67" i="9"/>
  <c r="E66" i="9"/>
  <c r="D66" i="9"/>
  <c r="C66" i="9"/>
  <c r="B66" i="9"/>
  <c r="E65" i="9"/>
  <c r="D65" i="9"/>
  <c r="C65" i="9"/>
  <c r="B65" i="9"/>
  <c r="E64" i="9"/>
  <c r="D64" i="9"/>
  <c r="D76" i="9" s="1"/>
  <c r="C64" i="9"/>
  <c r="B64" i="9"/>
  <c r="E56" i="9"/>
  <c r="D56" i="9"/>
  <c r="C56" i="9"/>
  <c r="B56" i="9"/>
  <c r="E55" i="9"/>
  <c r="D55" i="9"/>
  <c r="C55" i="9"/>
  <c r="B55" i="9"/>
  <c r="E54" i="9"/>
  <c r="D54" i="9"/>
  <c r="C54" i="9"/>
  <c r="B54" i="9"/>
  <c r="E53" i="9"/>
  <c r="D53" i="9"/>
  <c r="C53" i="9"/>
  <c r="B53" i="9"/>
  <c r="E52" i="9"/>
  <c r="D52" i="9"/>
  <c r="C52" i="9"/>
  <c r="B52" i="9"/>
  <c r="E51" i="9"/>
  <c r="D51" i="9"/>
  <c r="C51" i="9"/>
  <c r="B51" i="9"/>
  <c r="E50" i="9"/>
  <c r="D50" i="9"/>
  <c r="C50" i="9"/>
  <c r="B50" i="9"/>
  <c r="E49" i="9"/>
  <c r="D49" i="9"/>
  <c r="C49" i="9"/>
  <c r="B49" i="9"/>
  <c r="E48" i="9"/>
  <c r="D48" i="9"/>
  <c r="C48" i="9"/>
  <c r="B48" i="9"/>
  <c r="E47" i="9"/>
  <c r="D47" i="9"/>
  <c r="C47" i="9"/>
  <c r="B47" i="9"/>
  <c r="E46" i="9"/>
  <c r="D46" i="9"/>
  <c r="C46" i="9"/>
  <c r="B46" i="9"/>
  <c r="E45" i="9"/>
  <c r="E57" i="9" s="1"/>
  <c r="D45" i="9"/>
  <c r="C45" i="9"/>
  <c r="B45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D24" i="9"/>
  <c r="B24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C8" i="9"/>
  <c r="B8" i="9"/>
  <c r="C7" i="9"/>
  <c r="B7" i="9"/>
  <c r="D5" i="9"/>
  <c r="B5" i="9"/>
  <c r="G14" i="8"/>
  <c r="C14" i="8"/>
  <c r="E14" i="8" s="1"/>
  <c r="F14" i="8" s="1"/>
  <c r="B14" i="8"/>
  <c r="G13" i="8"/>
  <c r="C13" i="8"/>
  <c r="E13" i="8" s="1"/>
  <c r="F13" i="8" s="1"/>
  <c r="B13" i="8"/>
  <c r="G12" i="8"/>
  <c r="C12" i="8"/>
  <c r="E12" i="8" s="1"/>
  <c r="F12" i="8" s="1"/>
  <c r="B12" i="8"/>
  <c r="G11" i="8"/>
  <c r="C11" i="8"/>
  <c r="E11" i="8" s="1"/>
  <c r="F11" i="8" s="1"/>
  <c r="B11" i="8"/>
  <c r="G10" i="8"/>
  <c r="C10" i="8"/>
  <c r="E10" i="8" s="1"/>
  <c r="F10" i="8" s="1"/>
  <c r="B10" i="8"/>
  <c r="G9" i="8"/>
  <c r="C9" i="8"/>
  <c r="E9" i="8" s="1"/>
  <c r="F9" i="8" s="1"/>
  <c r="B9" i="8"/>
  <c r="G8" i="8"/>
  <c r="C8" i="8"/>
  <c r="E8" i="8" s="1"/>
  <c r="F8" i="8" s="1"/>
  <c r="B8" i="8"/>
  <c r="G7" i="8"/>
  <c r="C7" i="8"/>
  <c r="E7" i="8" s="1"/>
  <c r="F7" i="8" s="1"/>
  <c r="B7" i="8"/>
  <c r="G6" i="8"/>
  <c r="C6" i="8"/>
  <c r="E6" i="8" s="1"/>
  <c r="F6" i="8" s="1"/>
  <c r="B6" i="8"/>
  <c r="G5" i="8"/>
  <c r="C5" i="8"/>
  <c r="E5" i="8" s="1"/>
  <c r="F5" i="8" s="1"/>
  <c r="B5" i="8"/>
  <c r="G4" i="8"/>
  <c r="C4" i="8"/>
  <c r="E4" i="8" s="1"/>
  <c r="F4" i="8" s="1"/>
  <c r="B4" i="8"/>
  <c r="G3" i="8"/>
  <c r="C3" i="8"/>
  <c r="E3" i="8" s="1"/>
  <c r="F3" i="8" s="1"/>
  <c r="B3" i="8"/>
  <c r="A23" i="7"/>
  <c r="A22" i="7"/>
  <c r="A21" i="7"/>
  <c r="A20" i="7"/>
  <c r="A19" i="7"/>
  <c r="A18" i="7"/>
  <c r="A17" i="7"/>
  <c r="A16" i="7"/>
  <c r="A15" i="7"/>
  <c r="A14" i="7"/>
  <c r="A13" i="7"/>
  <c r="A12" i="7"/>
  <c r="G15" i="6"/>
  <c r="E23" i="7" s="1"/>
  <c r="E15" i="6"/>
  <c r="D15" i="6"/>
  <c r="C15" i="6"/>
  <c r="C23" i="7" s="1"/>
  <c r="B15" i="6"/>
  <c r="B23" i="7" s="1"/>
  <c r="G14" i="6"/>
  <c r="E22" i="7" s="1"/>
  <c r="E14" i="6"/>
  <c r="D14" i="6"/>
  <c r="C14" i="6"/>
  <c r="C22" i="7" s="1"/>
  <c r="B14" i="6"/>
  <c r="B22" i="7" s="1"/>
  <c r="G13" i="6"/>
  <c r="E21" i="7" s="1"/>
  <c r="E13" i="6"/>
  <c r="D13" i="6"/>
  <c r="C13" i="6"/>
  <c r="C21" i="7" s="1"/>
  <c r="B13" i="6"/>
  <c r="B21" i="7" s="1"/>
  <c r="G12" i="6"/>
  <c r="E20" i="7" s="1"/>
  <c r="E12" i="6"/>
  <c r="D12" i="6"/>
  <c r="C12" i="6"/>
  <c r="C20" i="7" s="1"/>
  <c r="B12" i="6"/>
  <c r="B20" i="7" s="1"/>
  <c r="G11" i="6"/>
  <c r="E19" i="7" s="1"/>
  <c r="E11" i="6"/>
  <c r="D11" i="6"/>
  <c r="C11" i="6"/>
  <c r="C19" i="7" s="1"/>
  <c r="B11" i="6"/>
  <c r="B19" i="7" s="1"/>
  <c r="G10" i="6"/>
  <c r="E18" i="7" s="1"/>
  <c r="E10" i="6"/>
  <c r="D10" i="6"/>
  <c r="C10" i="6"/>
  <c r="C18" i="7" s="1"/>
  <c r="B10" i="6"/>
  <c r="B18" i="7" s="1"/>
  <c r="G9" i="6"/>
  <c r="E17" i="7" s="1"/>
  <c r="E9" i="6"/>
  <c r="D9" i="6"/>
  <c r="C9" i="6"/>
  <c r="C17" i="7" s="1"/>
  <c r="B9" i="6"/>
  <c r="B17" i="7" s="1"/>
  <c r="G8" i="6"/>
  <c r="E16" i="7" s="1"/>
  <c r="E8" i="6"/>
  <c r="D8" i="6"/>
  <c r="C8" i="6"/>
  <c r="C16" i="7" s="1"/>
  <c r="B8" i="6"/>
  <c r="B16" i="7" s="1"/>
  <c r="G7" i="6"/>
  <c r="E15" i="7" s="1"/>
  <c r="E7" i="6"/>
  <c r="D7" i="6"/>
  <c r="C7" i="6"/>
  <c r="C15" i="7" s="1"/>
  <c r="B7" i="6"/>
  <c r="B15" i="7" s="1"/>
  <c r="G6" i="6"/>
  <c r="E14" i="7" s="1"/>
  <c r="E6" i="6"/>
  <c r="D6" i="6"/>
  <c r="C6" i="6"/>
  <c r="C14" i="7" s="1"/>
  <c r="B6" i="6"/>
  <c r="B14" i="7" s="1"/>
  <c r="N5" i="6"/>
  <c r="G5" i="6"/>
  <c r="E5" i="6"/>
  <c r="D5" i="6"/>
  <c r="C5" i="6"/>
  <c r="C13" i="7" s="1"/>
  <c r="B5" i="6"/>
  <c r="B13" i="7" s="1"/>
  <c r="G4" i="6"/>
  <c r="J4" i="6" s="1"/>
  <c r="F12" i="7" s="1"/>
  <c r="E4" i="6"/>
  <c r="D4" i="6"/>
  <c r="C4" i="6"/>
  <c r="C12" i="7" s="1"/>
  <c r="B4" i="6"/>
  <c r="B12" i="7" s="1"/>
  <c r="H12" i="6"/>
  <c r="H20" i="7" s="1"/>
  <c r="E76" i="9" l="1"/>
  <c r="F7" i="6"/>
  <c r="F9" i="6"/>
  <c r="F11" i="6"/>
  <c r="F13" i="6"/>
  <c r="F15" i="6"/>
  <c r="D23" i="7" s="1"/>
  <c r="F5" i="6"/>
  <c r="D13" i="7" s="1"/>
  <c r="F6" i="6"/>
  <c r="F8" i="6"/>
  <c r="F10" i="6"/>
  <c r="D18" i="7" s="1"/>
  <c r="F12" i="6"/>
  <c r="F14" i="6"/>
  <c r="D22" i="7" s="1"/>
  <c r="F47" i="9"/>
  <c r="F48" i="9"/>
  <c r="H48" i="9" s="1"/>
  <c r="F49" i="9"/>
  <c r="F51" i="9"/>
  <c r="G51" i="9" s="1"/>
  <c r="F52" i="9"/>
  <c r="H52" i="9" s="1"/>
  <c r="F53" i="9"/>
  <c r="G53" i="9" s="1"/>
  <c r="F55" i="9"/>
  <c r="F56" i="9"/>
  <c r="G56" i="9" s="1"/>
  <c r="F65" i="9"/>
  <c r="F66" i="9"/>
  <c r="H66" i="9" s="1"/>
  <c r="F67" i="9"/>
  <c r="F68" i="9"/>
  <c r="H68" i="9" s="1"/>
  <c r="F69" i="9"/>
  <c r="F70" i="9"/>
  <c r="H70" i="9" s="1"/>
  <c r="F71" i="9"/>
  <c r="F72" i="9"/>
  <c r="H72" i="9" s="1"/>
  <c r="F73" i="9"/>
  <c r="F74" i="9"/>
  <c r="H74" i="9" s="1"/>
  <c r="F75" i="9"/>
  <c r="J6" i="6"/>
  <c r="F14" i="7" s="1"/>
  <c r="J7" i="6"/>
  <c r="F15" i="7" s="1"/>
  <c r="J8" i="6"/>
  <c r="F16" i="7" s="1"/>
  <c r="J9" i="6"/>
  <c r="F17" i="7" s="1"/>
  <c r="J10" i="6"/>
  <c r="F18" i="7" s="1"/>
  <c r="J11" i="6"/>
  <c r="F19" i="7" s="1"/>
  <c r="J12" i="6"/>
  <c r="F20" i="7" s="1"/>
  <c r="J13" i="6"/>
  <c r="F21" i="7" s="1"/>
  <c r="J14" i="6"/>
  <c r="F22" i="7" s="1"/>
  <c r="J15" i="6"/>
  <c r="F23" i="7" s="1"/>
  <c r="H25" i="14"/>
  <c r="H22" i="12"/>
  <c r="H21" i="13"/>
  <c r="E16" i="9"/>
  <c r="E35" i="9"/>
  <c r="D17" i="9"/>
  <c r="D36" i="9"/>
  <c r="D9" i="9"/>
  <c r="D13" i="9"/>
  <c r="D28" i="9"/>
  <c r="D32" i="9"/>
  <c r="E8" i="9"/>
  <c r="E12" i="9"/>
  <c r="E27" i="9"/>
  <c r="E31" i="9"/>
  <c r="D14" i="7"/>
  <c r="D16" i="7"/>
  <c r="K9" i="6"/>
  <c r="D17" i="7"/>
  <c r="D19" i="7"/>
  <c r="D20" i="7"/>
  <c r="I12" i="6"/>
  <c r="I20" i="7" s="1"/>
  <c r="D21" i="7"/>
  <c r="K13" i="6"/>
  <c r="H5" i="6"/>
  <c r="H13" i="7" s="1"/>
  <c r="H8" i="6"/>
  <c r="H16" i="7" s="1"/>
  <c r="H4" i="6"/>
  <c r="H12" i="7" s="1"/>
  <c r="E13" i="7"/>
  <c r="J5" i="6"/>
  <c r="F13" i="7" s="1"/>
  <c r="H10" i="6"/>
  <c r="H18" i="7" s="1"/>
  <c r="H14" i="6"/>
  <c r="H22" i="7" s="1"/>
  <c r="H13" i="6"/>
  <c r="H21" i="7" s="1"/>
  <c r="F4" i="6"/>
  <c r="I5" i="6"/>
  <c r="I13" i="7" s="1"/>
  <c r="E12" i="7"/>
  <c r="H11" i="6"/>
  <c r="H19" i="7" s="1"/>
  <c r="H15" i="6"/>
  <c r="H23" i="7" s="1"/>
  <c r="H9" i="6"/>
  <c r="H17" i="7" s="1"/>
  <c r="H7" i="6"/>
  <c r="H15" i="7" s="1"/>
  <c r="H6" i="6"/>
  <c r="H14" i="7" s="1"/>
  <c r="D18" i="9"/>
  <c r="E17" i="9"/>
  <c r="E18" i="9"/>
  <c r="D16" i="9"/>
  <c r="E15" i="9"/>
  <c r="D14" i="9"/>
  <c r="E13" i="9"/>
  <c r="D12" i="9"/>
  <c r="E11" i="9"/>
  <c r="D10" i="9"/>
  <c r="E9" i="9"/>
  <c r="D8" i="9"/>
  <c r="E7" i="9"/>
  <c r="D7" i="9"/>
  <c r="E10" i="9"/>
  <c r="D11" i="9"/>
  <c r="E14" i="9"/>
  <c r="D15" i="9"/>
  <c r="G47" i="9"/>
  <c r="H47" i="9"/>
  <c r="G49" i="9"/>
  <c r="H49" i="9"/>
  <c r="G52" i="9"/>
  <c r="H55" i="9"/>
  <c r="G55" i="9"/>
  <c r="G65" i="9"/>
  <c r="H65" i="9"/>
  <c r="G67" i="9"/>
  <c r="H67" i="9"/>
  <c r="G69" i="9"/>
  <c r="H69" i="9"/>
  <c r="G71" i="9"/>
  <c r="H71" i="9"/>
  <c r="G72" i="9"/>
  <c r="G73" i="9"/>
  <c r="H73" i="9"/>
  <c r="G75" i="9"/>
  <c r="H75" i="9"/>
  <c r="D37" i="9"/>
  <c r="E36" i="9"/>
  <c r="D35" i="9"/>
  <c r="E34" i="9"/>
  <c r="D33" i="9"/>
  <c r="E32" i="9"/>
  <c r="D31" i="9"/>
  <c r="E30" i="9"/>
  <c r="D29" i="9"/>
  <c r="E28" i="9"/>
  <c r="D27" i="9"/>
  <c r="E26" i="9"/>
  <c r="D26" i="9"/>
  <c r="E29" i="9"/>
  <c r="D30" i="9"/>
  <c r="E33" i="9"/>
  <c r="D34" i="9"/>
  <c r="E37" i="9"/>
  <c r="D57" i="9"/>
  <c r="F45" i="9"/>
  <c r="F46" i="9"/>
  <c r="F50" i="9"/>
  <c r="F54" i="9"/>
  <c r="C12" i="10"/>
  <c r="C14" i="10"/>
  <c r="C16" i="10" s="1"/>
  <c r="F64" i="9"/>
  <c r="K5" i="6" l="1"/>
  <c r="K11" i="6"/>
  <c r="K19" i="7" s="1"/>
  <c r="K7" i="6"/>
  <c r="G15" i="7" s="1"/>
  <c r="H56" i="9"/>
  <c r="H53" i="9"/>
  <c r="F31" i="9"/>
  <c r="H31" i="9" s="1"/>
  <c r="G68" i="9"/>
  <c r="K15" i="6"/>
  <c r="G23" i="7" s="1"/>
  <c r="F16" i="9"/>
  <c r="G16" i="9" s="1"/>
  <c r="F17" i="9"/>
  <c r="G17" i="9" s="1"/>
  <c r="F8" i="9"/>
  <c r="H8" i="9" s="1"/>
  <c r="G74" i="9"/>
  <c r="G70" i="9"/>
  <c r="G66" i="9"/>
  <c r="H51" i="9"/>
  <c r="K14" i="6"/>
  <c r="J22" i="7" s="1"/>
  <c r="D15" i="7"/>
  <c r="F28" i="9"/>
  <c r="H28" i="9" s="1"/>
  <c r="G48" i="9"/>
  <c r="F35" i="9"/>
  <c r="H35" i="9" s="1"/>
  <c r="F13" i="9"/>
  <c r="H13" i="9" s="1"/>
  <c r="K12" i="6"/>
  <c r="J20" i="7" s="1"/>
  <c r="K10" i="6"/>
  <c r="K18" i="7" s="1"/>
  <c r="K8" i="6"/>
  <c r="K16" i="7" s="1"/>
  <c r="K6" i="6"/>
  <c r="J14" i="7" s="1"/>
  <c r="F32" i="9"/>
  <c r="G32" i="9" s="1"/>
  <c r="F36" i="9"/>
  <c r="H36" i="9" s="1"/>
  <c r="F15" i="9"/>
  <c r="G15" i="9" s="1"/>
  <c r="F11" i="9"/>
  <c r="G11" i="9" s="1"/>
  <c r="F12" i="9"/>
  <c r="H12" i="9" s="1"/>
  <c r="F34" i="9"/>
  <c r="G34" i="9" s="1"/>
  <c r="F30" i="9"/>
  <c r="H30" i="9" s="1"/>
  <c r="F27" i="9"/>
  <c r="G27" i="9" s="1"/>
  <c r="F9" i="9"/>
  <c r="G9" i="9" s="1"/>
  <c r="G13" i="9"/>
  <c r="G28" i="9"/>
  <c r="H54" i="9"/>
  <c r="G54" i="9"/>
  <c r="H46" i="9"/>
  <c r="G46" i="9"/>
  <c r="F76" i="9"/>
  <c r="H64" i="9"/>
  <c r="G64" i="9"/>
  <c r="H50" i="9"/>
  <c r="G50" i="9"/>
  <c r="F57" i="9"/>
  <c r="G45" i="9"/>
  <c r="H45" i="9"/>
  <c r="E38" i="9"/>
  <c r="D19" i="9"/>
  <c r="F7" i="9"/>
  <c r="F10" i="9"/>
  <c r="F14" i="9"/>
  <c r="D12" i="7"/>
  <c r="K4" i="6"/>
  <c r="B12" i="1"/>
  <c r="F17" i="6"/>
  <c r="I4" i="6"/>
  <c r="K13" i="7"/>
  <c r="G13" i="7"/>
  <c r="J13" i="7"/>
  <c r="I15" i="6"/>
  <c r="I23" i="7" s="1"/>
  <c r="I13" i="6"/>
  <c r="I21" i="7" s="1"/>
  <c r="G19" i="7"/>
  <c r="K17" i="7"/>
  <c r="G17" i="7"/>
  <c r="J17" i="7"/>
  <c r="D38" i="9"/>
  <c r="F26" i="9"/>
  <c r="F29" i="9"/>
  <c r="F33" i="9"/>
  <c r="F37" i="9"/>
  <c r="E19" i="9"/>
  <c r="F18" i="9"/>
  <c r="J23" i="7"/>
  <c r="I14" i="6"/>
  <c r="I22" i="7" s="1"/>
  <c r="K21" i="7"/>
  <c r="G21" i="7"/>
  <c r="J21" i="7"/>
  <c r="I11" i="6"/>
  <c r="I19" i="7" s="1"/>
  <c r="I10" i="6"/>
  <c r="I18" i="7" s="1"/>
  <c r="I9" i="6"/>
  <c r="I17" i="7" s="1"/>
  <c r="I8" i="6"/>
  <c r="I16" i="7" s="1"/>
  <c r="I7" i="6"/>
  <c r="I15" i="7" s="1"/>
  <c r="I6" i="6"/>
  <c r="I14" i="7" s="1"/>
  <c r="K15" i="7" l="1"/>
  <c r="K23" i="7"/>
  <c r="J19" i="7"/>
  <c r="K22" i="7"/>
  <c r="G76" i="9"/>
  <c r="J15" i="7"/>
  <c r="G31" i="9"/>
  <c r="H16" i="9"/>
  <c r="G8" i="9"/>
  <c r="G16" i="7"/>
  <c r="G22" i="7"/>
  <c r="H17" i="9"/>
  <c r="H32" i="9"/>
  <c r="K14" i="7"/>
  <c r="G18" i="7"/>
  <c r="G35" i="9"/>
  <c r="J16" i="7"/>
  <c r="K20" i="7"/>
  <c r="G12" i="9"/>
  <c r="H15" i="9"/>
  <c r="H11" i="9"/>
  <c r="G14" i="7"/>
  <c r="J18" i="7"/>
  <c r="G36" i="9"/>
  <c r="G30" i="9"/>
  <c r="G20" i="7"/>
  <c r="G57" i="9"/>
  <c r="H27" i="9"/>
  <c r="H34" i="9"/>
  <c r="H9" i="9"/>
  <c r="H18" i="9"/>
  <c r="G18" i="9"/>
  <c r="H37" i="9"/>
  <c r="G37" i="9"/>
  <c r="H29" i="9"/>
  <c r="G29" i="9"/>
  <c r="I17" i="6"/>
  <c r="I12" i="7"/>
  <c r="H10" i="9"/>
  <c r="G10" i="9"/>
  <c r="H33" i="9"/>
  <c r="G33" i="9"/>
  <c r="G26" i="9"/>
  <c r="H26" i="9"/>
  <c r="F38" i="9"/>
  <c r="J12" i="7"/>
  <c r="J8" i="7"/>
  <c r="D8" i="7"/>
  <c r="J7" i="7"/>
  <c r="D7" i="7"/>
  <c r="B15" i="1"/>
  <c r="B13" i="1"/>
  <c r="A8" i="7"/>
  <c r="A7" i="7"/>
  <c r="K12" i="7"/>
  <c r="G12" i="7"/>
  <c r="G8" i="7"/>
  <c r="G7" i="7"/>
  <c r="B14" i="1"/>
  <c r="H14" i="9"/>
  <c r="G14" i="9"/>
  <c r="G7" i="9"/>
  <c r="F19" i="9"/>
  <c r="H7" i="9"/>
  <c r="G19" i="9" l="1"/>
  <c r="G38" i="9"/>
</calcChain>
</file>

<file path=xl/sharedStrings.xml><?xml version="1.0" encoding="utf-8"?>
<sst xmlns="http://schemas.openxmlformats.org/spreadsheetml/2006/main" count="1351" uniqueCount="805">
  <si>
    <t>نظام ERP — مخزن مديرية التربية — ولاية البيض</t>
  </si>
  <si>
    <t>ERP_Academie_v9  |  Excel 2010 Compatible  |  VLOOKUP + SUMPRODUCT</t>
  </si>
  <si>
    <t>المؤسسة</t>
  </si>
  <si>
    <t>مديرية التربية لولاية البيض</t>
  </si>
  <si>
    <t>المصلحة</t>
  </si>
  <si>
    <t>مصلحة الإدارة والوسائل العامة</t>
  </si>
  <si>
    <t>المسؤول</t>
  </si>
  <si>
    <t>ماحي كمال عبد الغني — TAG1801</t>
  </si>
  <si>
    <t>المؤطرة</t>
  </si>
  <si>
    <t>دهيني ميمونة (مصلحة الميزانية)</t>
  </si>
  <si>
    <t>فترة الرصد</t>
  </si>
  <si>
    <t>38 يوم عمل (01/02 – 09/03/2026)</t>
  </si>
  <si>
    <t>الإصدار</t>
  </si>
  <si>
    <t>v9  |  avril 2026  [build v10]</t>
  </si>
  <si>
    <t>مؤشرات الأداء الرئيسية  (تُحسب آلياً من MOUVEMENTS)</t>
  </si>
  <si>
    <t>إجمالي قيمة المخزون (دج)</t>
  </si>
  <si>
    <t>مرجع Wilson: ART-001</t>
  </si>
  <si>
    <t>مواد في حالة RUPTURE</t>
  </si>
  <si>
    <t>12 مادة</t>
  </si>
  <si>
    <t>مواد تحتاج طلبية عاجلة</t>
  </si>
  <si>
    <t>دخول + خروج</t>
  </si>
  <si>
    <t>مواد في حالة تنبيه ~ ALERTE</t>
  </si>
  <si>
    <t>تنبيه فوري</t>
  </si>
  <si>
    <t>WORKFLOW — Raccourcis VBA (ALT+F11 → Macros → Exécuter)</t>
  </si>
  <si>
    <t>① AjouterMouvement</t>
  </si>
  <si>
    <t>Lance le formulaire de saisie (UserForm frmDataEntry)</t>
  </si>
  <si>
    <t>② VerifierAlertes</t>
  </si>
  <si>
    <t>Affiche une MsgBox avec tous les articles en alerte ou rupture</t>
  </si>
  <si>
    <t>③ RafraichirTableauBord</t>
  </si>
  <si>
    <t>Force le recalcul + navigue vers le Tableau de Bord</t>
  </si>
  <si>
    <t>④ GenererBonReception</t>
  </si>
  <si>
    <t>Exporte le dernier bon de réception en PDF horodaté</t>
  </si>
  <si>
    <t>⑤ GenererBonSortie</t>
  </si>
  <si>
    <t>Exporte le dernier bon de sortie (وصل الخروج) en PDF horodaté</t>
  </si>
  <si>
    <t>⑥ GenererDA</t>
  </si>
  <si>
    <t>Crée et exporte une Demande d'Achat (طلب الشراء) vierge en PDF</t>
  </si>
  <si>
    <t>⑦ GenererBC</t>
  </si>
  <si>
    <t>Crée et exporte un Bon de Commande (أمر الشراء) en PDF</t>
  </si>
  <si>
    <t>مسار حفظ ملفات PDF</t>
  </si>
  <si>
    <t>مخرجات (Output)</t>
  </si>
  <si>
    <t>[مجلد الملف] / PDF_SORTIES /</t>
  </si>
  <si>
    <t>BS + BC + DA</t>
  </si>
  <si>
    <t>مدخلات (Input/Scan)</t>
  </si>
  <si>
    <t>[مجلد الملف] / PDF_ENTREES /</t>
  </si>
  <si>
    <t>BR + وثائق الموردين الممسوحة</t>
  </si>
  <si>
    <t>انشئ هذين المجلدين بجوار ملف ERP مباشرة. الماكرو يحفظ فيهما تلقائياً.</t>
  </si>
  <si>
    <t>CATALOGUE DES ARTICLES  —  مديرية التربية — البيض  [v8.1 | 12 articles | Catégorie + Alias]</t>
  </si>
  <si>
    <t>Code Article</t>
  </si>
  <si>
    <t>Unité</t>
  </si>
  <si>
    <t>Stock Min</t>
  </si>
  <si>
    <t>Prix Unit. (DA)</t>
  </si>
  <si>
    <t>Fournisseur</t>
  </si>
  <si>
    <t>ART-001</t>
  </si>
  <si>
    <t>A</t>
  </si>
  <si>
    <t>ENAP Alger</t>
  </si>
  <si>
    <t>ART-002</t>
  </si>
  <si>
    <t>B</t>
  </si>
  <si>
    <t>Bureautique Oran</t>
  </si>
  <si>
    <t>ART-003</t>
  </si>
  <si>
    <t>ART-004</t>
  </si>
  <si>
    <t>Bureau Plus</t>
  </si>
  <si>
    <t>ART-005</t>
  </si>
  <si>
    <t>Agrafeuse de bureau</t>
  </si>
  <si>
    <t>ART-006</t>
  </si>
  <si>
    <t>ART-007</t>
  </si>
  <si>
    <t>Registre grand format 5m</t>
  </si>
  <si>
    <t>ART-008</t>
  </si>
  <si>
    <t>ART-009</t>
  </si>
  <si>
    <t>ART-010</t>
  </si>
  <si>
    <t>ART-011</t>
  </si>
  <si>
    <t>ART-012</t>
  </si>
  <si>
    <t>CATALOGUE DES FOURNISSEURS  —  Évaluation pondérée (note /10)</t>
  </si>
  <si>
    <t>Code</t>
  </si>
  <si>
    <t>Nom abrégé</t>
  </si>
  <si>
    <t>Raison sociale</t>
  </si>
  <si>
    <t>Wilaya</t>
  </si>
  <si>
    <t>Téléphone</t>
  </si>
  <si>
    <t>Classe</t>
  </si>
  <si>
    <t>Délai (j)</t>
  </si>
  <si>
    <t>Note /100</t>
  </si>
  <si>
    <t>Spécialité</t>
  </si>
  <si>
    <t>F-001</t>
  </si>
  <si>
    <t>F-002</t>
  </si>
  <si>
    <t>F-003</t>
  </si>
  <si>
    <t>CONVENTIONS — قواعد التسمية والترميز | مديرية التربية — ولاية البيض</t>
  </si>
  <si>
    <t>هذه الورقة تُوثِّق الاصطلاحات المعتمدة في النظام لضمان الاتساق بين جميع الوثائق والمستخدمين.  |  لا تُعدِّل هذه الأرقام بعد البدء بالاستخدام الفعلي.</t>
  </si>
  <si>
    <t>▸  أولاً — ترقيم الوثائق الإدارية</t>
  </si>
  <si>
    <t>القاعدة العامة: رمز الوثيقة — السنة — الرقم التسلسلي</t>
  </si>
  <si>
    <t>DA</t>
  </si>
  <si>
    <t>DA-SSSS-NNN</t>
  </si>
  <si>
    <t>DA-2026-001</t>
  </si>
  <si>
    <t>قاعدة ثابتة / Format :</t>
  </si>
  <si>
    <t>طلب الاحتياج الداخلي — يصدر عن المصلحة الطالبة قبل أي عملية شراء. SSSS=السنة. NNN=رقم متسلسل يبدأ من 001 كل سنة.</t>
  </si>
  <si>
    <t>BC</t>
  </si>
  <si>
    <t>BC-SSSS-NNN</t>
  </si>
  <si>
    <t>BC-2026-007</t>
  </si>
  <si>
    <t>أمر الشراء — يصدر عن المديرية للمورد بعد اعتماد DA. يُحال دائماً لرقم DA في الخانة المخصصة.</t>
  </si>
  <si>
    <t>BR</t>
  </si>
  <si>
    <t>BR-SSSS-NNN</t>
  </si>
  <si>
    <t>BR-2026-003</t>
  </si>
  <si>
    <t>وصل الاستلام — يُحرَّر عند وصول البضاعة من المورد. يُحال لرقم BC المقابل. يُحفَظ في ملف اللوازم.</t>
  </si>
  <si>
    <t>BS</t>
  </si>
  <si>
    <t>BS-SSSS-NNN</t>
  </si>
  <si>
    <t>BS-2026-012</t>
  </si>
  <si>
    <t>وصل الخروج/الصرف — يُحرَّر عند تسليم المواد للمصلحة الطالبة. يُحال لرقم DA عند الإمكان.</t>
  </si>
  <si>
    <t>BC_Comp</t>
  </si>
  <si>
    <t>BC-2026-007-C</t>
  </si>
  <si>
    <t>—</t>
  </si>
  <si>
    <t>إضافة حرف C (Complément) لأوامر الشراء التكميلية لنفس الطلبية — نادر الاستخدام.</t>
  </si>
  <si>
    <t>▸  ثانياً — ترميز المواد (Code Article)</t>
  </si>
  <si>
    <t>ART</t>
  </si>
  <si>
    <t>ART-NNN</t>
  </si>
  <si>
    <t>كل مادة تأخذ رمزاً فريداً لا يتغير أبداً بعد تسجيلها في النظام. NNN يبدأ من 001 ويزيد بـ 1 لكل مادة جديدة. لا تُعيد استخدام رمز مادة محذوفة.</t>
  </si>
  <si>
    <t>INC</t>
  </si>
  <si>
    <t>INC-01</t>
  </si>
  <si>
    <t>للمواد غير المعرَّفة أو التي لم تُصنَّف بعد. تُعالَج قبل أي عملية إدخال رسمية.</t>
  </si>
  <si>
    <t>▸  ثالثاً — هرمية الفئات (Catégories)</t>
  </si>
  <si>
    <t>1</t>
  </si>
  <si>
    <t>لوازم مكتبية</t>
  </si>
  <si>
    <t>Fournitures Bureau</t>
  </si>
  <si>
    <t>ورق الطباعة</t>
  </si>
  <si>
    <t>ورق — أقلام — ملفات — دفاتر — سجلات إدارية</t>
  </si>
  <si>
    <t>2</t>
  </si>
  <si>
    <t>مستهلكات إعلام آلي</t>
  </si>
  <si>
    <t>Consommables IT</t>
  </si>
  <si>
    <t>حبر وتونر</t>
  </si>
  <si>
    <t>تونر الطابعة — خراطيش الحبر — بكرة الفاكس</t>
  </si>
  <si>
    <t>3</t>
  </si>
  <si>
    <t>أرشيف وتخزين</t>
  </si>
  <si>
    <t>Archivage &amp; Classement</t>
  </si>
  <si>
    <t>علب وملفات</t>
  </si>
  <si>
    <t>علب الأرشيف — الملفات الكرتونية — ملفات A4</t>
  </si>
  <si>
    <t>4</t>
  </si>
  <si>
    <t>أدوات مكتبية</t>
  </si>
  <si>
    <t>Matériel Bureau</t>
  </si>
  <si>
    <t>تدبيس وربط</t>
  </si>
  <si>
    <t>الدباسة — دبابيس — مشابك — ختم ومساحة</t>
  </si>
  <si>
    <t>5</t>
  </si>
  <si>
    <t>أدوات الكتابة</t>
  </si>
  <si>
    <t>Écriture &amp; Dessin</t>
  </si>
  <si>
    <t>أقلام</t>
  </si>
  <si>
    <t>قلم جاف — قلم تحديد — قلم ماجيك — ممحاة</t>
  </si>
  <si>
    <t>6</t>
  </si>
  <si>
    <t>سجلات إدارية</t>
  </si>
  <si>
    <t>Registres Administratifs</t>
  </si>
  <si>
    <t>دفاتر وسجلات</t>
  </si>
  <si>
    <t>سجل 5م — دفتر كبير — دفتر حضور</t>
  </si>
  <si>
    <t>▸  رابعاً — قواعد التسمية الرسمية (قاعدة ذهبية)</t>
  </si>
  <si>
    <t>★</t>
  </si>
  <si>
    <t>التسمية الرسمية (FR): مُحددة، معيارية، تشمل المواصفة التقنية</t>
  </si>
  <si>
    <t>مثال صحيح: "Rame papier A4 80g/m²"  |  خاطئ: "ورق أبيض" أو "Rame A4"</t>
  </si>
  <si>
    <t>التسمية الرسمية (AR): تُكتَب مرة واحدة فقط في ورقة ARTICLES — لا يُكتَب الاسم يدوياً في أي وثيقة أخرى</t>
  </si>
  <si>
    <t>الاسم يُجلَب تلقائياً بـ VLOOKUP من رمز المادة</t>
  </si>
  <si>
    <t>الأسماء البديلة (Alias): تُوثَّق في العمود 13 من ARTICLES للاسترشاد — لا تُستخدَم للإدخال</t>
  </si>
  <si>
    <t>مثال: ART-001 → alias: "Rame A4 | papier blanc | ورق مكتبي" — كلها خاطئة للإدخال</t>
  </si>
  <si>
    <t>الوحدة: تُحدَّد مرة واحدة في ARTICLES — رزمة / وحدة / علبة / رولو — لا تخلط بين رزمة وقطعة</t>
  </si>
  <si>
    <t>مثال: ART-001 وحدته Rame (رزمة 500 ورقة) وليس "ورقة" أو "حزمة"</t>
  </si>
  <si>
    <t>ERP_Academie_v9  |  مديرية التربية — ولاية البيض  |  ماحي كمال عبد الغني — TAG1801  |  02/04/2026</t>
  </si>
  <si>
    <t>TAG1801 — CNEPD/INSFP El Bayadh</t>
  </si>
  <si>
    <t>Date</t>
  </si>
  <si>
    <t>Désignation (auto)</t>
  </si>
  <si>
    <t>Type
IN/OUT</t>
  </si>
  <si>
    <t>Quantité</t>
  </si>
  <si>
    <t>Prix Unit. (DA)
[AUTO-VLOOKUP]</t>
  </si>
  <si>
    <t>Valeur (DA)</t>
  </si>
  <si>
    <t>Réf. Doc</t>
  </si>
  <si>
    <t>Prix Cat.
(VLOOKUP col I)</t>
  </si>
  <si>
    <t>Stock Net
(IN−OUT col J)</t>
  </si>
  <si>
    <t>Valeur IN
Cumulée (K)</t>
  </si>
  <si>
    <t>CMUP Exact
(L=K÷MAX(1,ΣIN))
[OPT-02]</t>
  </si>
  <si>
    <t>Notes</t>
  </si>
  <si>
    <t>IN</t>
  </si>
  <si>
    <t>OUT</t>
  </si>
  <si>
    <t>TABLEAU DE BORD  —  ÉTAT DU STOCK + STATUTS ROP  [v7 | 12 articles | OPT-01 range | OPT-02 CMUP | Excel 2010]</t>
  </si>
  <si>
    <t>SECTION 1  —  ÉTAT DU STOCK EN TEMPS RÉEL  (ROP dynamique par article  |  38 j obs.  |  LT = 2 j)</t>
  </si>
  <si>
    <t>Désignation</t>
  </si>
  <si>
    <t>ABC</t>
  </si>
  <si>
    <t>Total IN</t>
  </si>
  <si>
    <t>Total OUT</t>
  </si>
  <si>
    <t>STOCK ACTUEL</t>
  </si>
  <si>
    <t>CMUP (DA)</t>
  </si>
  <si>
    <t>Valeur Stock (DA)</t>
  </si>
  <si>
    <t>ROP [OPT-01]</t>
  </si>
  <si>
    <t>Statut</t>
  </si>
  <si>
    <t>PARAMÈTRES</t>
  </si>
  <si>
    <t>Valeur</t>
  </si>
  <si>
    <t>Jours observation (fixe)</t>
  </si>
  <si>
    <t>Période réf. (jours ouvrés)</t>
  </si>
  <si>
    <t>Délai livraison LT (jours)</t>
  </si>
  <si>
    <t>TOTAUX</t>
  </si>
  <si>
    <t>LÉGENDE:  OK = stock suffisant  |  ~ ALERTE = stock &lt; 125% du ROP  |  &gt;&gt; COMMANDER = stock ≤ ROP  |  !! RUPTURE = stock nul  |  ROP = Stock_Min + (ΣOuts/38j) × 2j  |  CMUP = K÷MAX(1,ΣIN) [OPT-02]</t>
  </si>
  <si>
    <t>ALERTE_DASHBOARD  —  Sentinelle de Stock  [NEW v8 | auto-actualisé par formules]</t>
  </si>
  <si>
    <t>Les indicateurs ci-dessous se mettent à jour automatiquement à chaque modification de MOUVEMENTS.</t>
  </si>
  <si>
    <t>Dernière vérification : [Mise à jour par VBA VerifierAlertes — voir colonne O du Guide]</t>
  </si>
  <si>
    <t>RÉSUMÉ DES ALERTES — COMPTEURS EN TEMPS RÉEL</t>
  </si>
  <si>
    <t>!! RUPTURES</t>
  </si>
  <si>
    <t>&gt;&gt; À COMMANDER</t>
  </si>
  <si>
    <t>~ EN ALERTE</t>
  </si>
  <si>
    <t>✔ NORMAUX</t>
  </si>
  <si>
    <t>DÉTAIL PAR ARTICLE — ÉTAT COMPLET</t>
  </si>
  <si>
    <t>Stock Actuel</t>
  </si>
  <si>
    <t>ROP</t>
  </si>
  <si>
    <t>Priorité</t>
  </si>
  <si>
    <t>Action recommandée</t>
  </si>
  <si>
    <t>📌  Ce tableau se recalcule automatiquement. Pour forcer: ALT+F8 → RafraichirTableauBord | Pour envoyer alerte MsgBox: ALT+F8 → VerifierAlertes</t>
  </si>
  <si>
    <t>INVENTAIRE PERMANENT  —  Écart Physique vs Comptable  [Jrد الدائم]</t>
  </si>
  <si>
    <t>Stock Comptable
(Depuis MOUVEMENTS)</t>
  </si>
  <si>
    <t>Stock Physique
(Saisie manuelle)</t>
  </si>
  <si>
    <t>Écart
(Physique − Comptable)</t>
  </si>
  <si>
    <t>% Écart</t>
  </si>
  <si>
    <t>📌  Saisir le stock physique constaté (colonne D) lors de chaque opération d'inventaire.</t>
  </si>
  <si>
    <t>RAPPORTS — التقارير الدورية | مخزن مديرية التربية — ولاية البيض</t>
  </si>
  <si>
    <t>الأرقام تُحسَب تلقائياً من ورقة MOUVEMENTS. أدخل التواريخ في الخلايا المحددة بالإطار السميك لتصفية الفترة المطلوبة.</t>
  </si>
  <si>
    <t>▸  التقرير الأسبوعي  —  Rapport Hebdomadaire — Fréquence: chaque lundi</t>
  </si>
  <si>
    <t>من  /  Du :</t>
  </si>
  <si>
    <t>إلى  /  À :</t>
  </si>
  <si>
    <t>★ أدخل تواريخ الفترة في الخلايا B و D</t>
  </si>
  <si>
    <t>رمز المادة</t>
  </si>
  <si>
    <t>التسمية</t>
  </si>
  <si>
    <t>الفئة</t>
  </si>
  <si>
    <t>دخول
(IN)</t>
  </si>
  <si>
    <t>خروج
(OUT)</t>
  </si>
  <si>
    <t>الرصيد
(Net)</t>
  </si>
  <si>
    <t>القيمة
(DA)</t>
  </si>
  <si>
    <t>ملاحظة</t>
  </si>
  <si>
    <t>Total période</t>
  </si>
  <si>
    <t>📌  التقرير الأسبوعي يُطبَع كل اثنين ويُسلَّم لمسؤول الوسائل. يُركِّز على مواد الفئة A (ورق A4 + حبر الطابعة).</t>
  </si>
  <si>
    <t>▸  التقرير الشهري  —  Rapport Mensuel — Fréquence: fin de chaque mois</t>
  </si>
  <si>
    <t>📌  التقرير الشهري يُقدَّم لمصلحة الميزانية. يُقارَن رصيد نهاية الشهر بالرصيد الافتتاحي لقياس معدل الاستهلاك.</t>
  </si>
  <si>
    <t>▸  التقرير الفصلي (3 أشهر)  —  Rapport Trimestriel — Fréquence: janv / avr / juil / oct</t>
  </si>
  <si>
    <t>📌  التقرير الفصلي يشمل جميع الفئات (A+B+C). يُستخدَم لتقدير احتياجات الشراء للفصل القادم وإعداد طلبيات DA.</t>
  </si>
  <si>
    <t>▸  التقرير السداسي (6 أشهر)  —  Rapport Semestriel — Fréquence: juin / décembre</t>
  </si>
  <si>
    <t>📌  التقرير السداسي يُقدَّم في الاجتماع الإداري نصف السنوي. يُركِّز على مطابقة الجرد المحاسبي بالجرد الفيزيائي (راجع ورقة INVENTAIRE).</t>
  </si>
  <si>
    <t>MODÈLE DE WILSON — EOQ  [OPT-03 | D Auto-annualisé | ART-001 | Excel 2010]</t>
  </si>
  <si>
    <t>D</t>
  </si>
  <si>
    <t>Demande annuelle ART-001  [AUTO annualisé ×250 j]</t>
  </si>
  <si>
    <t>unités/an</t>
  </si>
  <si>
    <t>CL</t>
  </si>
  <si>
    <t>Coût passation par commande (DA)  [modifiable]</t>
  </si>
  <si>
    <t>DA/cmd</t>
  </si>
  <si>
    <t>PU</t>
  </si>
  <si>
    <t>Prix unitaire ART-001 (DA)  [confirmé terrain]</t>
  </si>
  <si>
    <t>DA/rame</t>
  </si>
  <si>
    <t>t</t>
  </si>
  <si>
    <t>Taux de possession annuel</t>
  </si>
  <si>
    <t>%</t>
  </si>
  <si>
    <t>SS</t>
  </si>
  <si>
    <t>Stock de sécurité (unités)  [modifiable]</t>
  </si>
  <si>
    <t>unités</t>
  </si>
  <si>
    <t>LT</t>
  </si>
  <si>
    <t>Délai livraison Oran→Bayadh (jours ouvrés)</t>
  </si>
  <si>
    <t>jours</t>
  </si>
  <si>
    <t>RÉSULTATS DU MODÈLE  —  Q*, N, ROP, CVT</t>
  </si>
  <si>
    <t>EOQ</t>
  </si>
  <si>
    <t>Quantité économique Q* = √(2·D·CL / Cs)  où Cs = PU·t</t>
  </si>
  <si>
    <t>N</t>
  </si>
  <si>
    <t>Nombre de commandes par an  N = D / Q*</t>
  </si>
  <si>
    <t>cmd/an</t>
  </si>
  <si>
    <t>Point de réappro  ROP = SS + CMJ·LT  [CMJ=D/250]</t>
  </si>
  <si>
    <t>Cp</t>
  </si>
  <si>
    <t>Coût de passation annuel  Cp = (D/Q*)·CL</t>
  </si>
  <si>
    <t>DA/an</t>
  </si>
  <si>
    <t>Cd</t>
  </si>
  <si>
    <t>Coût de détention annuel  Cd = (Q*/2+SS)·Cs</t>
  </si>
  <si>
    <t>CVT</t>
  </si>
  <si>
    <t>Coût Variable Total  CVT = Cp + Cd</t>
  </si>
  <si>
    <t>📌  EOQ est calculé pour ART-001 (رزمة A4) uniquement, article de classe A.  D est auto-annualisé depuis MOUVEMENTS (38j obs. × 250j ouvrables).  Valeurs attendues : EOQ ≈ 60 rames | ROP ≈ 216 rames | CVT ≈ 4817 DA/an</t>
  </si>
  <si>
    <t>HISTORIQUE DES COMMANDES  —  سجل الطلبيات  [Bon de Commande]</t>
  </si>
  <si>
    <t>N° BC</t>
  </si>
  <si>
    <t>N° DA (Origine)</t>
  </si>
  <si>
    <t>Date commande</t>
  </si>
  <si>
    <t>Qté commandée</t>
  </si>
  <si>
    <t>Qté livrée</t>
  </si>
  <si>
    <t>BC-001</t>
  </si>
  <si>
    <t>DA-2025-001</t>
  </si>
  <si>
    <t>2025-12-15</t>
  </si>
  <si>
    <t>✔ Livré</t>
  </si>
  <si>
    <t>BC-002</t>
  </si>
  <si>
    <t>2026-01-28</t>
  </si>
  <si>
    <t>BC-003</t>
  </si>
  <si>
    <t>BC-004</t>
  </si>
  <si>
    <t>DA-2026-002</t>
  </si>
  <si>
    <t>2026-03-09</t>
  </si>
  <si>
    <t>⏳ En attente</t>
  </si>
  <si>
    <t>BC-005</t>
  </si>
  <si>
    <t>الجمهورية الجزائرية الديمقراطية الشعبية</t>
  </si>
  <si>
    <t>وزارة التربية الوطنية  |  مديرية التربية — ولاية البيض</t>
  </si>
  <si>
    <t>مصلحة الإدارة والوسائل العامة  —  مخزن المديرية</t>
  </si>
  <si>
    <t>وصل الاستلام  —  BON DE RÉCEPTION</t>
  </si>
  <si>
    <t>رقم الوصل  /  N° Bon de Réception :</t>
  </si>
  <si>
    <t>★  مثال — Exemple :  BR-2026-001   (BR = Bon Réception  |  2026 = année  |  001 = numéro ordre)</t>
  </si>
  <si>
    <t>تاريخ الاستلام  /  Date réception :</t>
  </si>
  <si>
    <t>المورد  /  Fournisseur :</t>
  </si>
  <si>
    <t>★  مثال — Exemple :  BC-2026-001   — يرتبط بأمر الشراء الذي أنشأ هذا الاستلام</t>
  </si>
  <si>
    <t>#</t>
  </si>
  <si>
    <t>Code
Article</t>
  </si>
  <si>
    <t>Désignation  /  التسمية</t>
  </si>
  <si>
    <t>Qté
Demandée</t>
  </si>
  <si>
    <t>Qté
Servie / Livrée</t>
  </si>
  <si>
    <t>Prix Unit.
(DA)</t>
  </si>
  <si>
    <t>Valeur
(DA)</t>
  </si>
  <si>
    <t>TOTAL  (DA)  |  المجموع الإجمالي</t>
  </si>
  <si>
    <t>★  الخلايا الصفراء للإدخال اليدوي  |  عمود B: أدخل الرمز (ART-001...) — تتعبأ التسمية والسعر تلقائياً</t>
  </si>
  <si>
    <t>ملاحظات  /  Observations :</t>
  </si>
  <si>
    <t>المستلِم (أمين المخزن)
Magasinier</t>
  </si>
  <si>
    <t>المسؤول عن المادة
Responsable Matériel</t>
  </si>
  <si>
    <t xml:space="preserve">مصلحة الميزانية
Visa Budget
</t>
  </si>
  <si>
    <t>الإمضاء والختم  /  Signature &amp; Cachet</t>
  </si>
  <si>
    <t>★  للطباعة بنصف الصفحة (A5): ضبط منطقة الطباعة من Page Layout → Print Area → الصفوف 1 إلى 22</t>
  </si>
  <si>
    <t>وصل الخروج (الصرف)  —  BON DE SORTIE</t>
  </si>
  <si>
    <t>رقم وصل الخروج  /  N° Bon de Sortie :</t>
  </si>
  <si>
    <t>★  مثال — Exemple :  BS-2026-001   (BS = Bon Sortie  |  001 = numéro ordre séquentiel)</t>
  </si>
  <si>
    <t>تاريخ الصرف  /  Date sortie :</t>
  </si>
  <si>
    <t>المصلحة الطالبة  /  Service demandeur :</t>
  </si>
  <si>
    <t>★  مثال: مصلحة الرواتب  |  مصلحة الامتحانات  |  مكتب المدير  |  مصلحة التعليم</t>
  </si>
  <si>
    <t>رقم طلب الشراء المرجعي (DA) :</t>
  </si>
  <si>
    <t>★  مثال: DA-2026-003  — رقم طلب الشراء الداخلي الذي أنشأ هذا الخروج (اختياري إن لم يكن متوفراً)</t>
  </si>
  <si>
    <t>★  للطباعة بنصف الصفحة (A5) لإصدار مادة واحدة: Print Area → الصفوف 1 إلى 24</t>
  </si>
  <si>
    <t xml:space="preserve">المستلِم
Bénéficiaire
</t>
  </si>
  <si>
    <t xml:space="preserve">أمين المخزن
Magasinier
</t>
  </si>
  <si>
    <t xml:space="preserve">مسؤول الوسائل + ختم
Responsable + Cachet
</t>
  </si>
  <si>
    <t>★  يُعبَّأ هذا الوصل في نسختين: نسخة للمصلحة المستفيدة + نسخة للمخزن — الختم إلزامي لإتمام الدورة المستندية</t>
  </si>
  <si>
    <t>أمر الشراء  —  BON DE COMMANDE (BC)</t>
  </si>
  <si>
    <t>رقم أمر الشراء  /  N° Bon de Commande :</t>
  </si>
  <si>
    <t>★  مثال — Exemple :  BC-2026-001   (BC = Bon Commande  |  001 = n° séquentiel)</t>
  </si>
  <si>
    <t>تاريخ الطلبية  /  Date commande :</t>
  </si>
  <si>
    <t>رقم طلب الاحتياج المنشئ / N° DA (Origine) :</t>
  </si>
  <si>
    <t>★  مثال: ENAP Alger  |  Bureautique Center Oran  |  Bureau Plus Mascara — انظر ورقة FOURNISSEURS</t>
  </si>
  <si>
    <t>طلب الشراء المرجعي  /  Réf. DA :</t>
  </si>
  <si>
    <t>★  مثال: DA-2026-002  — رقم طلب الشراء الداخلي الذي استوجب إصدار هذا الأمر</t>
  </si>
  <si>
    <t>طريقة الدفع  /  Mode de règlement :</t>
  </si>
  <si>
    <t>★  مثال: تحويل بنكي  |  شيك  |  خزينة الولاية — وفق الإجراءات المحاسبية المعتمدة</t>
  </si>
  <si>
    <t>شروط التسليم  /  Conditions de livraison :</t>
  </si>
  <si>
    <t xml:space="preserve">المسؤول عن المادة
Responsable Matériel
</t>
  </si>
  <si>
    <t xml:space="preserve">المدير / المقتصد
Directeur / Intendant
</t>
  </si>
  <si>
    <t xml:space="preserve">ختم وإمضاء المدير
Cachet + Signature Directeur
</t>
  </si>
  <si>
    <t>★  يُرسَل أمر الشراء للمورد في نسختين — أصل للمورد، نسخة للمصلحة المالية</t>
  </si>
  <si>
    <t>طلب الاحتياج من المواد (DA)  —  DEMANDE D'ACHAT / D'APPROVISIONNEMENT</t>
  </si>
  <si>
    <t>رقم الطلب  /  N° DA :</t>
  </si>
  <si>
    <t>★  DA-2026-001   (DA = Demande d'Achat  |  numéro séquentiel)</t>
  </si>
  <si>
    <t>التاريخ  /  Date :</t>
  </si>
  <si>
    <t>★  مثال: مصلحة الرواتب  |  مكتب المدير  |  مصلحة الامتحانات</t>
  </si>
  <si>
    <t>المسؤول عن المصلحة  /  Responsable :</t>
  </si>
  <si>
    <t>★  الاسم الكامل + الصفة الوظيفية</t>
  </si>
  <si>
    <t>الغرض  /  Objet / Motif :</t>
  </si>
  <si>
    <t>★  مثال: تموين احتياجات الطباعة لشهر أفريل 2026  |  تجهيز قاعة الامتحانات</t>
  </si>
  <si>
    <t>Quantité
Demandée</t>
  </si>
  <si>
    <t>Quantité
Approuvée</t>
  </si>
  <si>
    <t>Observations</t>
  </si>
  <si>
    <t>Disponib.
Stock</t>
  </si>
  <si>
    <t>ملاحظة للمصلحة الطالبة: تُعبَّأ الخانات البيضاء (رمز المادة + الكمية المطلوبة + الغرض) وتُرسل هذه الورقة إلى مصلحة الوسائل العامة.
ملاحظة للمخزن: الخانة (الكمية المعتمدة) والخانة (المخزون الحالي) تُعبَّأن بعد التحقق من الرصيد الفعلي في النظام.
الدورة المستندية: DA → (إن متوفر) BS  |  DA → (غير متوفر) BC → BR → BS</t>
  </si>
  <si>
    <t xml:space="preserve">توقيع المصلحة الطالبة
Signature du Service
</t>
  </si>
  <si>
    <t xml:space="preserve">اعتماد مسؤول المخزن
Visa Magasinier
</t>
  </si>
  <si>
    <t xml:space="preserve">مصادقة المدير
Visa Directeur
</t>
  </si>
  <si>
    <t>GUIDE D'UTILISATION  —  دليل الاستخدام  |  ERP_Academie_v8  [v7 + Automation]</t>
  </si>
  <si>
    <t>SECTION</t>
  </si>
  <si>
    <t>CORRECTIONS v7 vs v6  (bugs résolus)</t>
  </si>
  <si>
    <t>✔</t>
  </si>
  <si>
    <t>OPT-01  Range ARTICLES étendu à 12 articles (lignes 3-14). Toutes les formules VLOOKUP utilisent $A$3:$G$500</t>
  </si>
  <si>
    <t>OPT-02  CMUP colonne L : dénominateur protégé par MAX(1,…) → aucune erreur DIV/0 possible</t>
  </si>
  <si>
    <t>OPT-03  Calcul Wilson (EOQ) déplacé dans la feuille CALCULS_EOQ (était dans TABLEAU DE BORD)</t>
  </si>
  <si>
    <t>FIX-01  Préfixe MOUVEMENTS! supprimé dans les formules de la feuille MOUVEMENTS (référence circulaire évitée)</t>
  </si>
  <si>
    <t>FIX-02  Colonne J MOUVEMENTS renommée «Stock Net (IN−OUT)» — label correct</t>
  </si>
  <si>
    <t>FIX-03  5 feuilles manquantes ajoutées: ACCUEIL, FOURNISSEURS, INVENTAIRE, CALCULS_EOQ, HISTORIQUE</t>
  </si>
  <si>
    <t>FIX-04  Catalogue: 12 articles conformes à l'analyse ABC du terrain (vs 8 dans v6)</t>
  </si>
  <si>
    <t>FIX-05  Registre: 29 mouvements depuis données réelles des bطاقات المخزون</t>
  </si>
  <si>
    <t>COMPATIBILITÉ EXCEL 2010 / WINDOWS 7</t>
  </si>
  <si>
    <t>Aucune fonction moderne (XLOOKUP, UNIQUE, FILTER, tableaux dynamiques)</t>
  </si>
  <si>
    <t>VLOOKUP, SUMIFS, SUMPRODUCT, IFERROR, MAX uniquement</t>
  </si>
  <si>
    <t>LOOKUP(2,1/(array=val),result) pour trouver la dernière valeur CMUP par article</t>
  </si>
  <si>
    <t>VBA — MACROS À AJOUTER MANUELLEMENT (ALT+F11)</t>
  </si>
  <si>
    <t>►</t>
  </si>
  <si>
    <t>Sub AjouterMouvement() — Demande code, type, qté, ref → insère ligne en MOUVEMENTS, rafraîchit TDB</t>
  </si>
  <si>
    <t>Sub VerifierAlertes() — Boucle sur TABLEAU DE BORD col K, MsgBox si COMMANDER ou RUPTURE</t>
  </si>
  <si>
    <t>Sub RafraichirTableauBord() — Force recalcul (Application.Calculate), met à jour date ACCUEIL</t>
  </si>
  <si>
    <t>COMMENT AJOUTER UN MOUVEMENT</t>
  </si>
  <si>
    <t>1.</t>
  </si>
  <si>
    <t>Aller dans la feuille MOUVEMENTS</t>
  </si>
  <si>
    <t>2.</t>
  </si>
  <si>
    <t>Saisir la date (col A), le code article (col B), IN/OUT (col D), quantité (col E), réf. doc (col H)</t>
  </si>
  <si>
    <t>3.</t>
  </si>
  <si>
    <t>Les colonnes C, F, G, I, J, K, L se calculent automatiquement</t>
  </si>
  <si>
    <t>4.</t>
  </si>
  <si>
    <t>Le TABLEAU DE BORD se met à jour dès que vous revenez sur cet onglet</t>
  </si>
  <si>
    <t>PARAMÈTRES AJUSTABLES (TABLEAU DE BORD, colonnes M-N)</t>
  </si>
  <si>
    <t>N4</t>
  </si>
  <si>
    <t>Jours d'observation = 38 jours (période terrain 01/02 – 09/03/2026). Modifier si nouvelle période.</t>
  </si>
  <si>
    <t>N6</t>
  </si>
  <si>
    <t>Lead Time = 2 jours (Oran → El Bayadh). Modifier si délai change.</t>
  </si>
  <si>
    <t>CALCULS_EOQ — WILSON</t>
  </si>
  <si>
    <t>C3</t>
  </si>
  <si>
    <t>D = Demande annuelle ART-001 (calculée auto depuis MOUVEMENTS)</t>
  </si>
  <si>
    <t>C4</t>
  </si>
  <si>
    <t>CL = 50 DA par commande (modifiable)</t>
  </si>
  <si>
    <t>C5</t>
  </si>
  <si>
    <t>PU = 400 DA/rame (confirmé terrain — NE PAS changer)</t>
  </si>
  <si>
    <t>C6</t>
  </si>
  <si>
    <t>t = 20% taux de possession (standard secteur public)</t>
  </si>
  <si>
    <t>C7</t>
  </si>
  <si>
    <t>SS = 200 rames (stock de sécurité — modifiable)</t>
  </si>
  <si>
    <t>C8</t>
  </si>
  <si>
    <t>LT = 2 jours (modifiable)</t>
  </si>
  <si>
    <t>MÉMOIRE — Références mذكرة تخرج</t>
  </si>
  <si>
    <t>§</t>
  </si>
  <si>
    <t>Chapitre 3, §3.2 : Tableau ABC → ART-001 = 72.2% de la valeur totale</t>
  </si>
  <si>
    <t>Chapitre 3, §3.3 : CMUP = K ÷ MAX(1,ΣIN) → formule colonne L, MOUVEMENTS</t>
  </si>
  <si>
    <t>Chapitre 3, §3.4 : Wilson EOQ ≈ 60 rames | ROP ≈ 216 rames | CVT ≈ 4817 DA/an</t>
  </si>
  <si>
    <t>Chapitre 4, §4.2 : 9 feuilles, 12 articles, VLOOKUP+SUMPRODUCT, Excel 2010</t>
  </si>
  <si>
    <t>NOUVELLES FEUILLES v8 (depuis analyse Gemini)</t>
  </si>
  <si>
    <t>ALERTE_DASHBOARD  — Sentinelle formule: 4 KPIs (ruptures, commander, alerte, OK) + table détail</t>
  </si>
  <si>
    <t>BON_RECEPTION     — Template A4 imprimable: header institutionnel + VLOOKUP auto + QR placeholder + PDF VBA</t>
  </si>
  <si>
    <t>AUDIT_LOG         — Journal fantôme pré-formaté pour VBA JournaliserAction()</t>
  </si>
  <si>
    <t>VBA_MODULES       — Code complet production-ready à coller dans ALT+F11 (4 modules + UserForm)</t>
  </si>
  <si>
    <t>WORKFLOW COMPLET v8</t>
  </si>
  <si>
    <t>Ouvrir le fichier → Workbook_Open vérifie les ruptures automatiquement</t>
  </si>
  <si>
    <t>ALT+F8 → AjouterMouvement → frmDataEntry s'ouvre (ComboBox filtrés par classe ABC)</t>
  </si>
  <si>
    <t>Sélectionner article, type IN/OUT, quantité, N° doc → ✔ Enregistrer</t>
  </si>
  <si>
    <t>La macro valide le stock (bloque si OUT &gt; stock actuel), écrit dans MOUVEMENTS, recalcule</t>
  </si>
  <si>
    <t>5.</t>
  </si>
  <si>
    <t>ALERTE_DASHBOARD et TABLEAU DE BORD se mettent à jour automatiquement</t>
  </si>
  <si>
    <t>6.</t>
  </si>
  <si>
    <t>ALT+F8 → GenererBonReception → PDF exporté avec nom horodaté</t>
  </si>
  <si>
    <t>7.</t>
  </si>
  <si>
    <t>AUDIT_LOG reçoit silencieusement chaque action</t>
  </si>
  <si>
    <t>مجلدات PDF المُوصى بها — PDF Archive Folders</t>
  </si>
  <si>
    <t>PDF_SORTIES</t>
  </si>
  <si>
    <t>BS + BC + DA — يُولَّد تلقائياً بالماكرو عند كل طباعة وصل</t>
  </si>
  <si>
    <t>PDF_ENTREES</t>
  </si>
  <si>
    <t>BR + وثائق الموردين — يُحمَّل يدوياً أو من الماكرو عند الاستلام</t>
  </si>
  <si>
    <t>انشئ هذين المجلدين بجوار ملف ERP. الاسم ثابت لا يتغير حتى يعمل الماكرو صحيحاً.</t>
  </si>
  <si>
    <t>TAG1801 — CNEPD/INSFP El Bayadh — Mahi Kamel Abdelghani — avril 2026</t>
  </si>
  <si>
    <t>VBA_MODULES  —  Code source complet v8.1  |  Gemini-refined  |  ALT+F11 → Module → Coller</t>
  </si>
  <si>
    <t>══ MODULE 1 — MAIN_MACROS  ══  Insert → Module, Name it 'MAIN_MACROS'</t>
  </si>
  <si>
    <t>Sub AjouterMouvement()</t>
  </si>
  <si>
    <t>' Launch the data entry UserForm
frmDataEntry.Show
End Sub</t>
  </si>
  <si>
    <t>Sub VerifierAlertes()</t>
  </si>
  <si>
    <t>Dim ws As Worksheet, msg As String, rupt As String, cmd As String
Set ws = ThisWorkbook.Sheets("TABLEAU DE BORD")
Dim i As Integer
For i = 4 To 15
    Dim code As String, st As String, desig As String
    code = ws.Cells(i,1).Value : st = ws.Cells(i,11).Value : desig = ws.Cells(i,2).Value
    If code &lt;&gt; "" Then
        If st = "!! RUPTURE"   Then rupt = rupt &amp; "  !! " &amp; code &amp; " — " &amp; desig &amp; Chr(13)
        If st = "&gt;&gt; COMMANDER" Then cmd  = cmd  &amp; "  &gt;&gt; " &amp; code &amp; " — " &amp; desig &amp; Chr(13)
    End If
Next i
If rupt = "" And cmd = "" Then
    MsgBox "OK — All items at satisfactory level.", vbInformation, "ERP v8.1"
Else
    If rupt &lt;&gt; "" Then msg = msg &amp; "=== RUPTURES ===" &amp; Chr(13) &amp; rupt &amp; Chr(13)
    If cmd  &lt;&gt; "" Then msg = msg &amp; "=== TO ORDER ===" &amp; Chr(13) &amp; cmd
    MsgBox msg, vbExclamation, "STOCK ALERTS — ERP v8.1"
End If
On Error Resume Next
ThisWorkbook.Sheets("ALERTE_DASHBOARD").Range("C3").Value = "Last check: " &amp; Format(Now(),"DD/MM/YYYY HH:MM")
End Sub</t>
  </si>
  <si>
    <t>Sub RafraichirTableauBord()</t>
  </si>
  <si>
    <t>Application.ScreenUpdating = False
Application.Calculate
Application.ScreenUpdating = True
ThisWorkbook.Sheets("TABLEAU DE BORD").Activate
MsgBox "Recalculation complete — " &amp; Format(Now(),"DD/MM/YYYY HH:MM"), vbInformation, "ERP v8.1"
End Sub</t>
  </si>
  <si>
    <t>Sub GenererBonReception()</t>
  </si>
  <si>
    <t>Dim wsMouv As Worksheet, wsBon As Worksheet
Set wsMouv = ThisWorkbook.Sheets("MOUVEMENTS")
Set wsBon  = ThisWorkbook.Sheets("BON_RECEPTION")
Dim r As Long, code As String, ref As String, qty As Long
For r = wsMouv.Cells(wsMouv.Rows.Count,"A").End(xlUp).Row To 3 Step -1
    If wsMouv.Cells(r,4).Value = "IN" Then
        code = wsMouv.Cells(r,2).Value
        qty  = wsMouv.Cells(r,5).Value
        ref  = wsMouv.Cells(r,8).Value
        Exit For
    End If
Next r
If code = "" Then MsgBox "No IN movement found.", vbInformation : Exit Sub
wsBon.Range("E6").Value = ref
wsBon.Range("B12").Value = code
wsBon.Range("F12").Value = qty
Dim pdfPath As String
pdfPath = ThisWorkbook.Path &amp; "\BR_" &amp; ref &amp; "_" &amp; Format(Date,"YYYYMMDD") &amp; ".pdf"
wsBon.ExportAsFixedFormat Type:=xlTypePDF, Filename:=pdfPath, Quality:=xlQualityStandard, OpenAfterPublish:=True
Call JournaliserAction("PDF_BR", ref &amp; " → " &amp; pdfPath)
MsgBox "PDF exported:" &amp; Chr(13) &amp; pdfPath, vbInformation, "ERP v8.1"
End Sub</t>
  </si>
  <si>
    <t>Sub GenererBonSortie()</t>
  </si>
  <si>
    <t>' NEW v8.1 — generates a BON_SORTIE PDF for the last OUT movement
Dim wsMouv As Worksheet, wsBon As Worksheet
Set wsMouv = ThisWorkbook.Sheets("MOUVEMENTS")
Set wsBon  = ThisWorkbook.Sheets("BON_SORTIE")
Dim r As Long, code As String, ref As String, qty As Long
For r = wsMouv.Cells(wsMouv.Rows.Count,"A").End(xlUp).Row To 3 Step -1
    If wsMouv.Cells(r,4).Value = "OUT" Then
        code = wsMouv.Cells(r,2).Value
        qty  = wsMouv.Cells(r,5).Value
        ref  = wsMouv.Cells(r,8).Value
        Exit For
    End If
Next r
If code = "" Then MsgBox "No OUT movement found.", vbInformation : Exit Sub
wsBon.Range("E6").Value = ref
wsBon.Range("B12").Value = code
wsBon.Range("F12").Value = qty
Dim pdfPath As String
pdfPath = ThisWorkbook.Path &amp; "\BS_" &amp; ref &amp; "_" &amp; Format(Date,"YYYYMMDD") &amp; ".pdf"
wsBon.ExportAsFixedFormat Type:=xlTypePDF, Filename:=pdfPath, Quality:=xlQualityStandard, OpenAfterPublish:=True
Call JournaliserAction("PDF_BS", ref &amp; " → " &amp; pdfPath)
MsgBox "Bon de Sortie PDF exported:" &amp; Chr(13) &amp; pdfPath, vbInformation, "ERP v8.1"
End Sub</t>
  </si>
  <si>
    <t>Sub JournaliserAction(ActionType As String, Details As String)</t>
  </si>
  <si>
    <t>On Error GoTo ErrHandler
Dim wsA As Worksheet, lr As Long
Set wsA = ThisWorkbook.Sheets("AUDIT_LOG")
lr = wsA.Cells(wsA.Rows.Count,"A").End(xlUp).Row + 1
wsA.Cells(lr,1).Value = Now() : wsA.Cells(lr,1).NumberFormat = "DD/MM/YYYY HH:MM:SS"
wsA.Cells(lr,2).Value = Environ("USERNAME")
wsA.Cells(lr,3).Value = ActionType
wsA.Cells(lr,4).Value = Details
wsA.Cells(lr,5).Value = Application.UserName
Exit Sub
ErrHandler:  ' Silent fail
End Sub</t>
  </si>
  <si>
    <t>Sub ProcesserTransaction(TypeMvt As String, CodeArt As String, Qty As Long, RefDoc As String, Notes As String)</t>
  </si>
  <si>
    <t>Dim ws As Worksheet
Set ws = ThisWorkbook.Sheets("MOUVEMENTS")
Dim lr As Long : lr = ws.Cells(ws.Rows.Count,"A").End(xlUp).Row + 1
' --- VALIDATION: block negative stock on OUT ---
If TypeMvt = "OUT" Then
    Dim sIN As Long, sOUT As Long
    sIN  = Application.WorksheetFunction.SumIfs(ws.Range("E3:E500"),ws.Range("B3:B500"),CodeArt,ws.Range("D3:D500"),"IN")
    sOUT = Application.WorksheetFunction.SumIfs(ws.Range("E3:E500"),ws.Range("B3:B500"),CodeArt,ws.Range("D3:D500"),"OUT")
    If Qty &gt; (sIN - sOUT) Then
        MsgBox "Stock insuffisant!" &amp; Chr(13) &amp; "Actuel: " &amp; (sIN-sOUT) &amp; " | Requested: " &amp; Qty, vbCritical, "Sortie refusee"
        Exit Sub
    End If
End If
' --- WRITE static values ---
ws.Cells(lr,1).Value = Date : ws.Cells(lr,2).Value = CodeArt
ws.Cells(lr,4).Value = TypeMvt : ws.Cells(lr,5).Value = Qty
ws.Cells(lr,8).Value = RefDoc  : ws.Cells(lr,13).Value = Notes
' --- COPY expanding SUMPRODUCT formulas from previous row ---
Dim pr As Long : pr = lr - 1
If pr &gt;= 3 Then
    Dim fJ As String, fK As String, fL As String
    fJ = Replace(Replace(ws.Cells(pr,10).Formula, "$B"&amp;pr, "$B"&amp;lr), "$D"&amp;pr, "$D"&amp;lr)
    fJ = Replace(fJ, "$E"&amp;pr, "$E"&amp;lr)
    fK = Replace(Replace(ws.Cells(pr,11).Formula, "$B"&amp;pr, "$B"&amp;lr), "$D"&amp;pr, "$D"&amp;lr)
    fK = Replace(Replace(fK, "$E"&amp;pr, "$E"&amp;lr), "$F"&amp;pr, "$F"&amp;lr)
    fL = Replace(Replace(ws.Cells(pr,12).Formula, "$B"&amp;pr, "$B"&amp;lr), "$D"&amp;pr, "$D"&amp;lr)
    fL = Replace(fL, "$E"&amp;pr, "$E"&amp;lr)
    ws.Cells(lr,3).Formula  = ws.Cells(pr,3).Formula
    ws.Cells(lr,6).Formula  = ws.Cells(pr,6).Formula
    ws.Cells(lr,7).Formula  = "=E" &amp; lr &amp; "*F" &amp; lr
    ws.Cells(lr,9).Formula  = ws.Cells(pr,9).Formula
    ws.Cells(lr,10).Formula = fJ
    ws.Cells(lr,11).Formula = fK
    ws.Cells(lr,12).Formula = fL
End If
Call JournaliserAction("MOUVEMENT_" &amp; TypeMvt, CodeArt &amp; " | Qty:" &amp; Qty &amp; " | Ref:" &amp; RefDoc)
Application.Calculate
MsgBox "Recorded: " &amp; TypeMvt &amp; " | " &amp; CodeArt &amp; " | Qty: " &amp; Qty, vbInformation, "ERP v8.1"
End Sub</t>
  </si>
  <si>
    <t>══ MODULE 2 — THISWORKBOOK EVENTS  ══  Double-click ThisWorkbook in VBAProject</t>
  </si>
  <si>
    <t>Private Sub Workbook_Open()</t>
  </si>
  <si>
    <t>On Error Resume Next
Application.Calculate
ThisWorkbook.Sheets("ALERTE_DASHBOARD").Range("C3").Value = "Opened: " &amp; Format(Now(),"DD/MM/YYYY HH:MM")
Dim ws As Worksheet : Set ws = ThisWorkbook.Sheets("TABLEAU DE BORD")
Dim nRupt As Integer
nRupt = Application.WorksheetFunction.CountIf(ws.Range("K4:K15"),"!! RUPTURE")
If nRupt &gt; 0 Then
    MsgBox nRupt &amp; " RUPTURE(s) detected at startup!" &amp; Chr(13) &amp; "Check ALERTE_DASHBOARD.", vbExclamation, "ERP v8.1"
End If
On Error GoTo 0
End Sub</t>
  </si>
  <si>
    <t>══ MODULE 3 — MOUVEMENTS SHEET EVENT  ══  Double-click Feuille MOUVEMENTS</t>
  </si>
  <si>
    <t>Private Sub Worksheet_Change(ByVal Target As Range)</t>
  </si>
  <si>
    <t>If Not Intersect(Target, Me.Range("A3:H500")) Is Nothing Then
    If Target.Rows.Count = 1 And Target.Columns.Count = 1 Then
        Call JournaliserAction("CELL_EDIT","MOUVEMENTS " &amp; Target.Address &amp; " -&gt; " &amp; CStr(Target.Value))
    End If
End If
End Sub</t>
  </si>
  <si>
    <t>══ MODULE 4 — frmDataEntry UserForm  ══  FULL GEMINI-REFINED RTL VERSION</t>
  </si>
  <si>
    <t>frmDataEntry — CONTROLS REQUIRED (Properties window F4)</t>
  </si>
  <si>
    <t xml:space="preserve">UserForm properties:
  Name        = frmDataEntry
  Caption     = ERP v8.1 — Saisie Mouvement | إضافة حركة مخزون
  BackColor   = &amp;H00FFFFFF&amp;   (white — not default grey)
  Width       = 340
  Height      = 380
Controls to add (all TextAlign = 3-fmTextAlignRight, all fonts = Traditional Arabic 11):
  [Frame1]        Caption="نوع الحركة"    Top=10  Left=10  Width=315  Height=55
    cmbTypeTransaction (ComboBox) Width=290 Height=22 Top=20 Left=12
  [Frame2]        Caption="تفاصيل المادة"  Top=70  Left=10  Width=315  Height=120
    Label: "الفئة"       Top=15  Left=200
    cmbCategorie (ComboBox)       Top=12  Left=10  Width=185
    Label: "الصنف / Article"  Top=50  Left=200
    cmbArticle  (ComboBox)        Top=47  Left=10  Width=185
    lblStockActuel (Label)        Top=80  Left=10  Width=290  Height=24
       — shows real-time stock in green/orange/red
  [Frame3]        Caption="بيانات الحركة"  Top=196 Left=10  Width=315  Height=110
    Label: "الكمية"    Top=15  Left=240
    txtQuantite (TextBox)         Top=12  Left=10  Width=220
    Label: "رقم الوصل ★" Top=45  Left=240
    txtNumeroBon (TextBox)        Top=42  Left=10  Width=220
    Label: "ملاحظات"   Top=75  Left=240
    txtNotes    (TextBox)         Top=72  Left=10  Width=220
  btnSubmit   (CommandButton)  Caption="✔ تسجيل"  Top=314  Left=10   Width=150  BackColor=green
  btnFermer   (CommandButton)  Caption="✗ إغلاق"  Top=314  Left=175  Width=150  BackColor=grey
</t>
  </si>
  <si>
    <t>frmDataEntry — UserForm_Initialize  (double-click form background)</t>
  </si>
  <si>
    <t>Private Sub UserForm_Initialize()
    ' ── Type dropdown ──
    cmbTypeTransaction.Clear
    cmbTypeTransaction.AddItem "IN  — دخول (استلام)"
    cmbTypeTransaction.AddItem "OUT — خروج (إصدار)"
    cmbTypeTransaction.ListIndex = 0
    cmbTypeTransaction.TextAlign = 3   ' fmTextAlignRight
    ' ── Category dropdown — built from ARTICLES col 11 (Catégorie) ──
    ' NEW v8.1: uses Catégorie column instead of ABC class
    cmbCategorie.Clear
    Dim wsA As Worksheet : Set wsA = ThisWorkbook.Sheets("ARTICLES")
    Dim cats As New Collection
    On Error Resume Next
    Dim i As Integer
    For i = 3 To 20
        If wsA.Cells(i,1).Value = "" Then Exit For
        Dim cat As String : cat = wsA.Cells(i,11).Value  ' Catégorie col 11
        If cat &lt;&gt; "" Then cats.Add cat, cat              ' Collection deduplicates by key
    Next i
    On Error GoTo 0
    cmbCategorie.AddItem "All — جميع الأصناف"
    Dim c As Variant
    For Each c In cats
        cmbCategorie.AddItem c
    Next c
    cmbCategorie.ListIndex = 0
    cmbCategorie.TextAlign = 3
    ' ── Load all articles initially ──
    Call LoadArticlesByCategory("")
    Me.Caption = "ERP v8.1 — " &amp; Format(Date,"DD/MM/YYYY")
End Sub</t>
  </si>
  <si>
    <t>frmDataEntry — cmbCategorie_Change  (cascading dropdown logic)</t>
  </si>
  <si>
    <t>Private Sub cmbCategorie_Change()
    ' CASCADING DROPDOWN — Gemini architecture implemented
    Dim selected As String : selected = cmbCategorie.Value
    If selected = "All — جميع الأصناف" Or selected = "" Then
        Call LoadArticlesByCategory("")
    Else
        Call LoadArticlesByCategory(selected)
    End If
End Sub
Private Sub LoadArticlesByCategory(filterCat As String)
    cmbArticle.Clear
    Dim wsA As Worksheet : Set wsA = ThisWorkbook.Sheets("ARTICLES")
    Dim i As Integer
    For i = 3 To 20
        Dim code As String : code = wsA.Cells(i,1).Value
        If code = "" Then Exit For
        Dim cat As String : cat = wsA.Cells(i,11).Value   ' col 11 = Catégorie
        If filterCat = "" Or cat = filterCat Then
            ' Display: "ART-001 | رزمة ورق A4 80غ"
            cmbArticle.AddItem code &amp; "  |  " &amp; wsA.Cells(i,3).Value  ' col 3 = Arabic name
        End If
    Next i
    If cmbArticle.ListCount &gt; 0 Then cmbArticle.ListIndex = 0
    cmbArticle.TextAlign = 3
    Call UpdateStockLabel
End Sub</t>
  </si>
  <si>
    <t>frmDataEntry — cmbArticle_Change  (real-time stock indicator)</t>
  </si>
  <si>
    <t>Private Sub cmbArticle_Change()
    Call UpdateStockLabel
End Sub
Private Sub cmbTypeTransaction_Change()
    Call UpdateStockLabel
End Sub
Private Sub UpdateStockLabel()
    ' REAL-TIME STOCK FEEDBACK — Gemini recommendation implemented
    If cmbArticle.ListCount = 0 Or Len(Trim(cmbArticle.Value)) &lt; 7 Then
        lblStockActuel.Caption = "Stock actuel : —"
        lblStockActuel.ForeColor = RGB(100,100,100)
        Exit Sub
    End If
    ' Extract the 7-character code from "ART-001  |  ..."
    Dim code As String : code = Trim(Left(cmbArticle.Value, 7))
    ' Lookup current stock from MOUVEMENTS using SUMIFS logic
    Dim wsMouv As Worksheet : Set wsMouv = ThisWorkbook.Sheets("MOUVEMENTS")
    Dim sIN As Long, sOUT As Long
    On Error Resume Next
    sIN  = Application.WorksheetFunction.SumIfs( _
               wsMouv.Range("E3:E500"), wsMouv.Range("B3:B500"), code, wsMouv.Range("D3:D500"), "IN")
    sOUT = Application.WorksheetFunction.SumIfs( _
               wsMouv.Range("E3:E500"), wsMouv.Range("B3:B500"), code, wsMouv.Range("D3:D500"), "OUT")
    On Error GoTo 0
    Dim net As Long : net = sIN - sOUT
    ' Also lookup ROP from TABLEAU DE BORD for context
    Dim rop As Long : rop = 0
    Dim wsTDB As Worksheet : Set wsTDB = ThisWorkbook.Sheets("TABLEAU DE BORD")
    Dim j As Integer
    For j = 4 To 15
        If Trim(wsTDB.Cells(j,1).Value) = code Then
            rop = wsTDB.Cells(j,10).Value : Exit For
        End If
    Next j
    ' Display with color coding
    Dim typeStr As String : typeStr = Left(cmbTypeTransaction.Value, 2)
    If net &lt;= 0 Then
        lblStockActuel.Caption = "Stock: " &amp; net &amp; " — !! RUPTURE"
        lblStockActuel.ForeColor = RGB(180,0,0)
    ElseIf net &lt;= rop Then
        lblStockActuel.Caption = "Stock: " &amp; net &amp; " — &gt;&gt; A COMMANDER (ROP=" &amp; rop &amp; ")"
        lblStockActuel.ForeColor = RGB(186,117,23)
    Else
        lblStockActuel.Caption = "Stock actuel : " &amp; net &amp; " unites  (ROP=" &amp; rop &amp; ")"
        lblStockActuel.ForeColor = RGB(31,107,46)
    End If
End Sub</t>
  </si>
  <si>
    <t>frmDataEntry — btnSubmit_Click  (full validation — Gemini pattern)</t>
  </si>
  <si>
    <t>Private Sub btnSubmit_Click()
    ' ── 1. Article validation ──
    If cmbArticle.ListCount = 0 Or cmbArticle.Value = "" Then
        MsgBox "Please select an article.", vbExclamation, "Input Error"
        cmbArticle.SetFocus : Exit Sub
    End If
    ' ── 2. Quantity validation ──
    If Not IsNumeric(txtQuantite.Value) Or CLng(txtQuantite.Value) &lt;= 0 Then
        MsgBox "Invalid quantity (integer &gt; 0 required).", vbExclamation, "Input Error"
        txtQuantite.SetFocus : Exit Sub
    End If
    ' ── 3. MANDATORY BON NUMBER — Gemini traceability lock ──
    ' This single check eliminates the zero-traceability problem found in the audit
    If Trim(txtNumeroBon.Value) = "" Then
        MsgBox "N° de document obligatoire (BR-xxx ou BS-xxx)." &amp; Chr(13) &amp; _
               "الرجاء إدخال رقم الوصل قبل المتابعة.", vbCritical, "Bon Number Required"
        txtNumeroBon.SetFocus : Exit Sub
    End If
    ' ── 4. Extract code and process ──
    Dim code As String : code = Trim(Left(cmbArticle.Value, 7))
    Dim typeStr As String
    typeStr = IIf(InStr(cmbTypeTransaction.Value,"IN") &gt; 0, "IN", "OUT")
    ' ── 5. Call the processor (includes negative-stock guard internally) ──
    Call ProcesserTransaction(typeStr, code, CLng(txtQuantite.Value), _
                              Trim(txtNumeroBon.Value), Trim(txtNotes.Value))
    ' ── 6. Reset for next entry (keep type and category selected) ──
    txtQuantite.Value = ""
    txtNumeroBon.Value = ""
    txtNotes.Value = ""
    Call UpdateStockLabel   ' refresh the stock indicator immediately
End Sub
Private Sub btnFermer_Click()
    Unload Me
End Sub</t>
  </si>
  <si>
    <t>══ INSTALLATION — 5 STEPS  ══</t>
  </si>
  <si>
    <t>STEP 1 — Save as .xlsm</t>
  </si>
  <si>
    <t>File → Save As → Excel Macro-Enabled Workbook (*.xlsm)
NAME IT: ERP_Academie_v8_1.xlsm
MANDATORY — macros will NOT run in .xlsx format.</t>
  </si>
  <si>
    <t>STEP 2 — Paste Module 1 (MAIN_MACROS)</t>
  </si>
  <si>
    <t>1. Open the file → press ALT+F11
2. In the VBAProject tree → right-click → Insert → Module
3. Rename it MAIN_MACROS (double-click the module name)
4. Copy all code from this sheet (MODULE 1 section above)
5. Paste into the module editor</t>
  </si>
  <si>
    <t>STEP 3 — Paste Workbook &amp; Sheet Events</t>
  </si>
  <si>
    <t>THISWORKBOOK:
  In VBAProject → double-click "ThisWorkbook"
  Paste MODULE 2 code (Workbook_Open)
MOUVEMENTS SHEET:
  In VBAProject → double-click the MOUVEMENTS sheet object
  Paste MODULE 3 code (Worksheet_Change)</t>
  </si>
  <si>
    <t>STEP 4 — Create frmDataEntry UserForm</t>
  </si>
  <si>
    <t>1. ALT+F11 → Insert → UserForm
2. In Properties (F4): Name = frmDataEntry
3. Build controls per the layout diagram above (MODULE 4 section)
4. Set UserForm BackColor to white (&amp;H00FFFFFF&amp;)
5. For every ComboBox and TextBox: TextAlign = 3 (fmTextAlignRight) for Arabic RTL
6. Double-click each control → paste the corresponding code block from MODULE 4</t>
  </si>
  <si>
    <t>STEP 5 — Test workflow</t>
  </si>
  <si>
    <t>TEST 1 — Try to submit with empty Bon number → system should BLOCK
TEST 2 — Try OUT quantity &gt; current stock → system should BLOCK  
TEST 3 — Select a category → Article dropdown should filter automatically
TEST 4 — Select ART-002 (Toner G030, stock=0) → label should show RED RUPTURE
TEST 5 — ALT+F8 → GenererBonReception → PDF should open from same folder
TEST 6 — ALT+F8 → GenererBonSortie → PDF should open from same folder  (NEW v8.1)
TEST 7 — Check AUDIT_LOG after any operation → entries should appear automatically</t>
  </si>
  <si>
    <t>KEY CHANGES v8 → v8.1 (SUMMARY)</t>
  </si>
  <si>
    <t>+  ARTICLES: 3 new columns added
   - Col 11: Catégorie principale  (8 categories for cascading dropdown)
   - Col 12: Sous-catégorie        (sub-categories for future UI hierarchy)
   - Col 13: Alias / Noms alternatifs  (fixes naming discrepancy problem)
+  BON_SORTIE sheet: A4 print template for goods EXIT (وصل خروج)
   - Matches 2023 archive document structure
   - VLOOKUP auto-fill on code entry
   - 3-zone signature block (beneficiary, storekeeper, supervisor+stamp)
+  VBA frmDataEntry: RTL-ready Arabic UserForm
   - Cascading dropdown: Catégorie → filters Article list
   - Real-time stock indicator (green/orange/red with ROP context)
   - Mandatory Bon number validation (fixes zero-traceability diagnostic finding)
   - Negative stock guard on OUT movements
   - GenererBonSortie() added for BS PDF export
FINE-TUNING ROADMAP (gradual):
  Phase 1 (now): Install the 5 steps above, test all 7 test cases
  Phase 2:       Add Catégorie to UserForm label for display (cosmetic)
  Phase 3:       Extend ARTICLES to 15 articles using real field data  
  Phase 4:       Map BON_SORTIE fields to actual 2023 archive photos
  Phase 5:       Add BON_COMMANDE template (the full procurement cycle)
  Phase 6:       HTML Arabic front-end interface (standalone .html file)</t>
  </si>
  <si>
    <t>══ ADDED v9 — GenererDA + GenererBC + DA workflow ══</t>
  </si>
  <si>
    <t>Sub GenererDA() + Sub GenererBC() + DA cycle documentation</t>
  </si>
  <si>
    <t>Sub GenererDA()
    ' Export blank DA form as PDF — user prints and gives to requesting department
    Dim wsDA As Worksheet
    Set wsDA = ThisWorkbook.Sheets("DA_DEMANDE_ACHAT")
    Dim pdfPath As String
    pdfPath = ThisWorkbook.Path &amp; "\DA_" &amp; Format(Date,"YYYYMMDD") &amp; "_" &amp; Format(Time,"HHMMSS") &amp; ".pdf"
    wsDA.ExportAsFixedFormat Type:=xlTypePDF, Filename:=pdfPath, Quality:=xlQualityStandard, OpenAfterPublish:=True
    Call JournaliserAction("PDF_DA", "Blank DA form → " &amp; pdfPath)
    MsgBox "DA form exported. Print it and give to the requesting department." &amp; Chr(13) &amp; pdfPath, vbInformation, "ERP v9"
End Sub
Sub GenererBC()
    ' Export blank BC form as PDF
    Dim wsBC As Worksheet
    Set wsBC = ThisWorkbook.Sheets("BON_COMMANDE")
    Dim pdfPath As String
    pdfPath = ThisWorkbook.Path &amp; "\BC_" &amp; Format(Date,"YYYYMMDD") &amp; "_" &amp; Format(Time,"HHMMSS") &amp; ".pdf"
    wsBC.ExportAsFixedFormat Type:=xlTypePDF, Filename:=pdfPath, Quality:=xlQualityStandard, OpenAfterPublish:=True
    Call JournaliserAction("PDF_BC", "BC form → " &amp; pdfPath)
    MsgBox "Bon de Commande exported." &amp; Chr(13) &amp; pdfPath, vbInformation, "ERP v9"
End Sub
' ── DA WORKFLOW CYCLE (documentary chain) ──
' Standard Algerian public procurement cycle (Dورة المستندية):
'
'  [Department need]
'       ↓
'   DA (Demande d'Achat)   ← department fills paper form, submits to warehouse
'       ↓
'   Warehouse checks stock (column H in DA form = current stock)
'       ↓
'   IF stock &gt;= needed:    → emit BS directly (no purchase needed)
'   IF stock &lt; needed:     → emit BC to supplier
'       ↓ (BC path)
'   Supplier delivers goods
'       ↓
'   BR (Bon de Réception)  → record IN movement in MOUVEMENTS
'       ↓
'   Stock updated automatically in TABLEAU DE BORD
'       ↓
'   emit BS to requesting department
'
' All document numbers follow CONVENTIONS sheet rules.
' Author: ماحي كمال عبد الغني — TAG1801</t>
  </si>
  <si>
    <t>AUDIT_LOG  —  Journal des Actions  [Ghost Logger | Écrit par VBA | Ne pas modifier manuellement]</t>
  </si>
  <si>
    <t>Toute modification de MOUVEMENTS est consignée automatiquement ici par la macro JournaliserAction().</t>
  </si>
  <si>
    <t>Horodatage</t>
  </si>
  <si>
    <t>Utilisateur Windows</t>
  </si>
  <si>
    <t>Type Action</t>
  </si>
  <si>
    <t>Détails</t>
  </si>
  <si>
    <t>Session Excel</t>
  </si>
  <si>
    <t>31/12/2025 08:00:00</t>
  </si>
  <si>
    <t>ADMIN</t>
  </si>
  <si>
    <t>MOUVEMENT_IN</t>
  </si>
  <si>
    <t>ART-001 | Qté: 405 | Réf: SI-2025</t>
  </si>
  <si>
    <t>Excel_v8</t>
  </si>
  <si>
    <t>01/02/2026 09:15:32</t>
  </si>
  <si>
    <t>ART-002 | Qté: 5 | Réf: BR-001</t>
  </si>
  <si>
    <t>05/02/2026 10:22:08</t>
  </si>
  <si>
    <t>MOUVEMENT_OUT</t>
  </si>
  <si>
    <t>ART-002 | Qté: 2 | Réf: BS-F1-001</t>
  </si>
  <si>
    <t>20/02/2026 11:05:44</t>
  </si>
  <si>
    <t>ART-002 | Qté: 3 | Réf: BS-F1-005 | !! Rupture G030</t>
  </si>
  <si>
    <t>09/03/2026 14:30:12</t>
  </si>
  <si>
    <t>ART-001 | Qté: 10 | Réf: BS-M1-005 | Dernier mouvement</t>
  </si>
  <si>
    <t>09/03/2026 14:30:15</t>
  </si>
  <si>
    <t>PDF_EXPORT</t>
  </si>
  <si>
    <t>Bon de Réception BR-001 → C:\Dropbox\BR_BR-001_20260209.pdf</t>
  </si>
  <si>
    <t>— Entrées suivantes générées par VBA —</t>
  </si>
  <si>
    <t>📌  VBA écrit automatiquement à partir de la ligne 11. NE PAS supprimer ce journal. Il constitue la traçabilité légale des opérations.</t>
  </si>
  <si>
    <t>Qté: 50</t>
  </si>
  <si>
    <t>Réf: Sous-chemise carton</t>
  </si>
  <si>
    <t>MSG_SUCCESS</t>
  </si>
  <si>
    <t>ERR_ART_NOT_FOUND</t>
  </si>
  <si>
    <t>RUPTURE</t>
  </si>
  <si>
    <t>ط¥ط¯ط®ط§ظ„ ط­ط±ظƒط© ط§ظ„ظ…ط®ط²ظˆظ† - Entry Form</t>
  </si>
  <si>
    <t>ط±ظ…ط² ط§ظ„ظ…ط§ط¯ط© (SKU):</t>
  </si>
  <si>
    <t>ظ†ظˆط¹ ط§ظ„ط­ط±ظƒط© (IN/OUT):</t>
  </si>
  <si>
    <t>ط§ظ„ظƒظ…ظٹط© (Quantity):</t>
  </si>
  <si>
    <t>ظ…ط±ط¬ط¹ ط§ظ„ظˆط«ظٹظ‚ط©:</t>
  </si>
  <si>
    <t>TXN_ID</t>
  </si>
  <si>
    <t>TIMESTAMP</t>
  </si>
  <si>
    <t>SKU</t>
  </si>
  <si>
    <t>TYPE</t>
  </si>
  <si>
    <t>QTY</t>
  </si>
  <si>
    <t>STATUS</t>
  </si>
  <si>
    <t>STRING_ID</t>
  </si>
  <si>
    <t>ARABIC_TEXT</t>
  </si>
  <si>
    <t>ERR_SYNC_ABSENT</t>
  </si>
  <si>
    <t>RECEIPT TAG</t>
  </si>
  <si>
    <t>DOCUMENT OFFICIEL</t>
  </si>
  <si>
    <t>BS-2026-2504-001</t>
  </si>
  <si>
    <t>Administrator</t>
  </si>
  <si>
    <t>Bon de Sortie</t>
  </si>
  <si>
    <t>Demande d'Achat</t>
  </si>
  <si>
    <t>Total Articles</t>
  </si>
  <si>
    <t>Articles en RUPTURE</t>
  </si>
  <si>
    <t>Articles en ALERTE</t>
  </si>
  <si>
    <t>Valeur Total Stock</t>
  </si>
  <si>
    <t>Rotation Moyenne (ITR)</t>
  </si>
  <si>
    <t>Designation</t>
  </si>
  <si>
    <t>Stock</t>
  </si>
  <si>
    <t>Jours Restants</t>
  </si>
  <si>
    <t>qty</t>
  </si>
  <si>
    <t>1.6 j</t>
  </si>
  <si>
    <t>15 j</t>
  </si>
  <si>
    <t>18.8 j</t>
  </si>
  <si>
    <t>20 j</t>
  </si>
  <si>
    <t>Nombre d'articles</t>
  </si>
  <si>
    <t>AX</t>
  </si>
  <si>
    <t>BX</t>
  </si>
  <si>
    <t>CX</t>
  </si>
  <si>
    <t>AY</t>
  </si>
  <si>
    <t>BY</t>
  </si>
  <si>
    <t>CY</t>
  </si>
  <si>
    <t>AZ</t>
  </si>
  <si>
    <t>BZ</t>
  </si>
  <si>
    <t>CZ</t>
  </si>
  <si>
    <t>Derniere actualisation : 26/04/2026 09:37:20</t>
  </si>
  <si>
    <t>Seuil ROP</t>
  </si>
  <si>
    <t>Suggestion (EOQ)</t>
  </si>
  <si>
    <t>Prix Unit.</t>
  </si>
  <si>
    <t>Total Estime (DZD)</t>
  </si>
  <si>
    <t>TOTAL ESTIMÉ :</t>
  </si>
  <si>
    <t>ART-013</t>
  </si>
  <si>
    <t>Encre pour Cachets</t>
  </si>
  <si>
    <t>Rame Papier A3</t>
  </si>
  <si>
    <t>Sous-Chemise</t>
  </si>
  <si>
    <t>Chemise</t>
  </si>
  <si>
    <t>Toner G030</t>
  </si>
  <si>
    <t>ART-014</t>
  </si>
  <si>
    <t>Classeur à Levier</t>
  </si>
  <si>
    <t>Registre 5 Mouvements</t>
  </si>
  <si>
    <t>Rouleau de Fax</t>
  </si>
  <si>
    <t>Agrafeuse</t>
  </si>
  <si>
    <t>ART-015</t>
  </si>
  <si>
    <t>Cartouche Toner (Générique)</t>
  </si>
  <si>
    <t>Encre Cachet</t>
  </si>
  <si>
    <t>BR-2026-2604-001</t>
  </si>
  <si>
    <t>BS-2026-2604-001</t>
  </si>
  <si>
    <t>DATE</t>
  </si>
  <si>
    <t>SYS_TITLE</t>
  </si>
  <si>
    <t>???? ??????????? - ????? ???????</t>
  </si>
  <si>
    <t>??? Python ??? ?????</t>
  </si>
  <si>
    <t>?????? ??? ??????</t>
  </si>
  <si>
    <t>?? ????? ?????</t>
  </si>
  <si>
    <t>BTN_SAVE</t>
  </si>
  <si>
    <t>???</t>
  </si>
  <si>
    <t>BTN_CANCEL</t>
  </si>
  <si>
    <t>?????</t>
  </si>
  <si>
    <t>BTN_REFRESH</t>
  </si>
  <si>
    <t>LBL_STOCK</t>
  </si>
  <si>
    <t>???????</t>
  </si>
  <si>
    <t>LBL_EOF</t>
  </si>
  <si>
    <t>????? ???????</t>
  </si>
  <si>
    <t>LBL_ARTICLE</t>
  </si>
  <si>
    <t>??????</t>
  </si>
  <si>
    <t>LBL_QUANTITY</t>
  </si>
  <si>
    <t>LBL_UNIT_PRICE</t>
  </si>
  <si>
    <t>????? ??????</t>
  </si>
  <si>
    <t>LBL_DATE</t>
  </si>
  <si>
    <t>LBL_TYPE</t>
  </si>
  <si>
    <t>MSG_CONFIRM_SAVE</t>
  </si>
  <si>
    <t>?? ???? ??????</t>
  </si>
  <si>
    <t>MSG_LOADING</t>
  </si>
  <si>
    <t>???? ???????...</t>
  </si>
  <si>
    <t>ERR_INVALID_DATA</t>
  </si>
  <si>
    <t>?????? ??? ?????</t>
  </si>
  <si>
    <t>MENU_STOCK</t>
  </si>
  <si>
    <t>MENU_MOUVEMENTS</t>
  </si>
  <si>
    <t>MENU_ARTICLES</t>
  </si>
  <si>
    <t>MENU_DASHBOARD</t>
  </si>
  <si>
    <t>???? ??????</t>
  </si>
  <si>
    <t>MENU_REPORTS</t>
  </si>
  <si>
    <t>????????</t>
  </si>
  <si>
    <t>MENU_SETTINGS</t>
  </si>
  <si>
    <t>?????????</t>
  </si>
  <si>
    <t>TYPE_ENTRY</t>
  </si>
  <si>
    <t>TYPE_EXIT</t>
  </si>
  <si>
    <t>TYPE_TRANSFER</t>
  </si>
  <si>
    <t>TYPE_ADJUST</t>
  </si>
  <si>
    <t>DASH_TOTAL_ITEMS</t>
  </si>
  <si>
    <t>?????? ??????</t>
  </si>
  <si>
    <t>DASH_TOTAL_VALUE</t>
  </si>
  <si>
    <t>?????? ?????????</t>
  </si>
  <si>
    <t>DASH_LOW_STOCK</t>
  </si>
  <si>
    <t>????? ?????</t>
  </si>
  <si>
    <t>DASH_OUT_OF_STOCK</t>
  </si>
  <si>
    <t>???? ???????</t>
  </si>
  <si>
    <t>DASH_NORMAL</t>
  </si>
  <si>
    <t>ALERT_LOW_STOCK</t>
  </si>
  <si>
    <t>?????: ??????? ?????</t>
  </si>
  <si>
    <t>ALERT_OUT_OF_STOCK</t>
  </si>
  <si>
    <t>?????: ???? ???????</t>
  </si>
  <si>
    <t>ALERT_REORDER</t>
  </si>
  <si>
    <t>?????: reached ???? ?????</t>
  </si>
  <si>
    <t>REPORT_MONTHLY</t>
  </si>
  <si>
    <t>??????? ??????</t>
  </si>
  <si>
    <t>REPORT_STOCK_CARD</t>
  </si>
  <si>
    <t>REPORT_LOW_STOCK</t>
  </si>
  <si>
    <t>????? ??????? ???????</t>
  </si>
  <si>
    <t>REPORT_MOVEMENTS</t>
  </si>
  <si>
    <t>ACTION_ADD</t>
  </si>
  <si>
    <t>ACTION_EDIT</t>
  </si>
  <si>
    <t>ACTION_DELETE</t>
  </si>
  <si>
    <t>ACTION_SEARCH</t>
  </si>
  <si>
    <t>ACTION_PRINT</t>
  </si>
  <si>
    <t>ACTION_EXPORT</t>
  </si>
  <si>
    <t>ACTION_IMPORT</t>
  </si>
  <si>
    <t>ACTION_CALCULATE</t>
  </si>
  <si>
    <t>????</t>
  </si>
  <si>
    <t>FIELD_CODE</t>
  </si>
  <si>
    <t>FIELD_NAME</t>
  </si>
  <si>
    <t>FIELD_DESIGNATION</t>
  </si>
  <si>
    <t>FIELD_CATEGORY</t>
  </si>
  <si>
    <t>FIELD_UNIT</t>
  </si>
  <si>
    <t>FIELD_MIN_STOCK</t>
  </si>
  <si>
    <t>FIELD_MAX_STOCK</t>
  </si>
  <si>
    <t>FIELD_SUPPLIER</t>
  </si>
  <si>
    <t>FIELD_REFERENCE</t>
  </si>
  <si>
    <t>MSG_CONFIRM_DELETE</t>
  </si>
  <si>
    <t>?? ??? ????? ?? ??????</t>
  </si>
  <si>
    <t>MSG_SAVE_SUCCESS</t>
  </si>
  <si>
    <t>MSG_DELETE_SUCCESS</t>
  </si>
  <si>
    <t>MSG_UPDATE_SUCCESS</t>
  </si>
  <si>
    <t>?? ??????? ?????</t>
  </si>
  <si>
    <t>MSG_NO_DATA</t>
  </si>
  <si>
    <t>MSG_SELECT_ITEM</t>
  </si>
  <si>
    <t>???? ?????? ????</t>
  </si>
  <si>
    <t>MSG_REQUIRED_FIELD</t>
  </si>
  <si>
    <t>??? ?????</t>
  </si>
  <si>
    <t>BTN_NEW</t>
  </si>
  <si>
    <t>BTN_EDIT</t>
  </si>
  <si>
    <t>BTN_DELETE</t>
  </si>
  <si>
    <t>BTN_CLOSE</t>
  </si>
  <si>
    <t>BTN_PRINT</t>
  </si>
  <si>
    <t>BTN_EXPORT</t>
  </si>
  <si>
    <t>BTN_CALCULATE_EOQ</t>
  </si>
  <si>
    <t>???? EOQ</t>
  </si>
  <si>
    <t>BTN_CALCULATE_CMUP</t>
  </si>
  <si>
    <t>???? CMUP</t>
  </si>
  <si>
    <t>ERR_REQUIRED</t>
  </si>
  <si>
    <t>??? ????? ?????</t>
  </si>
  <si>
    <t>ERR_NUMBER_ONLY</t>
  </si>
  <si>
    <t>??? ????? ???</t>
  </si>
  <si>
    <t>ERR_DUPLICATE</t>
  </si>
  <si>
    <t>??? ????? ????? ?????</t>
  </si>
  <si>
    <t>ERR_NEGATIVE_STOCK</t>
  </si>
  <si>
    <t>?? ???? ?? ???? ??????? ?????</t>
  </si>
  <si>
    <t>ERR_INSUFFICIENT_STOCK</t>
  </si>
  <si>
    <t>????? ??? ???</t>
  </si>
  <si>
    <t>UNIT_PIECE</t>
  </si>
  <si>
    <t>UNIT_BOX</t>
  </si>
  <si>
    <t>UNIT_PACK</t>
  </si>
  <si>
    <t>UNIT_REAM</t>
  </si>
  <si>
    <t>UNIT_LITER</t>
  </si>
  <si>
    <t>LABEL_EOQ</t>
  </si>
  <si>
    <t>?????? ?????? ?????</t>
  </si>
  <si>
    <t>LABEL_ROP</t>
  </si>
  <si>
    <t>???? ????? ?????</t>
  </si>
  <si>
    <t>LABEL_SAFETY_STOCK</t>
  </si>
  <si>
    <t>LABEL_LEAD_TIME</t>
  </si>
  <si>
    <t>??? ???????</t>
  </si>
  <si>
    <t>LABEL_DAILY_DEMAND</t>
  </si>
  <si>
    <t>LABEL_ANNUAL_DEMAND</t>
  </si>
  <si>
    <t>DA-2026-2604-001</t>
  </si>
  <si>
    <t>Toner imprimante G030 (noir)</t>
  </si>
  <si>
    <t>Informatique</t>
  </si>
  <si>
    <t>Fournitures d'impression</t>
  </si>
  <si>
    <t>Rame papier A4 80g/m2</t>
  </si>
  <si>
    <t>Papeterie standard</t>
  </si>
  <si>
    <t>Rame papier A3 80g/m2</t>
  </si>
  <si>
    <t>Papier grand format</t>
  </si>
  <si>
    <t>Boite archives carton</t>
  </si>
  <si>
    <t>Admin</t>
  </si>
  <si>
    <t>Archivage physique</t>
  </si>
  <si>
    <t>C</t>
  </si>
  <si>
    <t>Petit materiel</t>
  </si>
  <si>
    <t>Stylos bille boite/50</t>
  </si>
  <si>
    <t>Consommables ecriture</t>
  </si>
  <si>
    <t>Registres officiels</t>
  </si>
  <si>
    <t>Encre tampon</t>
  </si>
  <si>
    <t>Consommables tampon</t>
  </si>
  <si>
    <t>Sous-chemise carton</t>
  </si>
  <si>
    <t>Chemises classement</t>
  </si>
  <si>
    <t>Chemise cartonnee</t>
  </si>
  <si>
    <t>Chemises documents</t>
  </si>
  <si>
    <t>Rouleau papier fax</t>
  </si>
  <si>
    <t>Consommables fax</t>
  </si>
  <si>
    <t>Marqueur permanent noir</t>
  </si>
  <si>
    <t>Marquage etatiquetage</t>
  </si>
  <si>
    <t>Alger, Hydra</t>
  </si>
  <si>
    <t>021-XXX-XXXX</t>
  </si>
  <si>
    <t>RC-16/00-123456</t>
  </si>
  <si>
    <t>Art-001</t>
  </si>
  <si>
    <t>Oran, Es Senia</t>
  </si>
  <si>
    <t>041-XXX-XXXX</t>
  </si>
  <si>
    <t>RC-31/00-654321</t>
  </si>
  <si>
    <t>Art-002</t>
  </si>
  <si>
    <t>El Bayadh, Centre</t>
  </si>
  <si>
    <t>049-XXX-XXXX</t>
  </si>
  <si>
    <t>RC-32/00-789012</t>
  </si>
  <si>
    <t>Art-003</t>
  </si>
  <si>
    <t>BS-2026-0001</t>
  </si>
  <si>
    <t>Service Archives</t>
  </si>
  <si>
    <t>BS-2026-0002</t>
  </si>
  <si>
    <t>BS-2026-0003</t>
  </si>
  <si>
    <t>Service Comptabilite</t>
  </si>
  <si>
    <t>BS-2026-0004</t>
  </si>
  <si>
    <t>Service Informatique</t>
  </si>
  <si>
    <t>BS-2026-0005</t>
  </si>
  <si>
    <t>BS-2026-0006</t>
  </si>
  <si>
    <t>BR-2026-0001</t>
  </si>
  <si>
    <t>BR-2026-0002</t>
  </si>
  <si>
    <t>BS-2026-0007</t>
  </si>
  <si>
    <t>Service Juridique</t>
  </si>
  <si>
    <t>BS-2026-0008</t>
  </si>
  <si>
    <t>BS-2026-0009</t>
  </si>
  <si>
    <t>Direction</t>
  </si>
  <si>
    <t>BS-2026-0010</t>
  </si>
  <si>
    <t>BS-2026-0011</t>
  </si>
  <si>
    <t>BS-2026-0012</t>
  </si>
  <si>
    <t>BS-2026-0013</t>
  </si>
  <si>
    <t>BS-2026-0014</t>
  </si>
  <si>
    <t>BS-2026-0015</t>
  </si>
  <si>
    <t>BS-2026-0016</t>
  </si>
  <si>
    <t>BS-2026-0017</t>
  </si>
  <si>
    <t>BR-2026-0003</t>
  </si>
  <si>
    <t>BR-2026-0004</t>
  </si>
  <si>
    <t>BS-2026-0018</t>
  </si>
  <si>
    <t>BS-2026-0019</t>
  </si>
  <si>
    <t>BS-2026-0020</t>
  </si>
  <si>
    <t>BS-2026-0021</t>
  </si>
  <si>
    <t>BS-2026-0022</t>
  </si>
  <si>
    <t>BR-2026-0005</t>
  </si>
  <si>
    <t>BS-2026-0023</t>
  </si>
  <si>
    <t>BS-2026-0024</t>
  </si>
  <si>
    <t>BS-2026-0025</t>
  </si>
  <si>
    <t>BR-2026-0006</t>
  </si>
  <si>
    <t>BS-2026-0026</t>
  </si>
  <si>
    <t>BS-2026-0027</t>
  </si>
  <si>
    <t>BS-2026-0028</t>
  </si>
  <si>
    <t>BS-2026-0029</t>
  </si>
  <si>
    <t>BS-2026-0030</t>
  </si>
  <si>
    <t>BS-2026-0031</t>
  </si>
  <si>
    <t>BS-2026-0032</t>
  </si>
  <si>
    <t>BS-2026-0033</t>
  </si>
  <si>
    <t>BR-2026-0007</t>
  </si>
  <si>
    <t>BS-2026-0034</t>
  </si>
  <si>
    <t>BS-2026-0035</t>
  </si>
  <si>
    <t>BS-2026-0036</t>
  </si>
  <si>
    <t>BS-2026-0037</t>
  </si>
  <si>
    <t>BS-2026-0038</t>
  </si>
  <si>
    <t>BS-2026-0039</t>
  </si>
  <si>
    <t>BS-2026-0040</t>
  </si>
  <si>
    <t>BS-2026-0041</t>
  </si>
  <si>
    <t>BS-2026-0042</t>
  </si>
  <si>
    <t>BR-2026-0008</t>
  </si>
  <si>
    <t>BS-2026-0043</t>
  </si>
  <si>
    <t>BS-2026-0044</t>
  </si>
  <si>
    <t>BS-2026-0045</t>
  </si>
  <si>
    <t>BS-2026-0046</t>
  </si>
  <si>
    <t>BS-2026-0047</t>
  </si>
  <si>
    <t>BR-2026-0009</t>
  </si>
  <si>
    <t>BS-2026-0048</t>
  </si>
  <si>
    <t>BS-2026-0049</t>
  </si>
  <si>
    <t>BS-2026-0050</t>
  </si>
  <si>
    <t>BS-2026-0051</t>
  </si>
  <si>
    <t>BS-2026-0052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</si>
</sst>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\ [$DA]"/>
    <numFmt numFmtId="165" formatCode="0.0%"/>
    <numFmt numFmtId="166" formatCode="dd/mm/yyyy\ hh:mm:ss"/>
    <numFmt numFmtId="167" formatCode="yyyy\-mm\-dd"/>
    <numFmt numFmtId="168" formatCode="hh:mm:ss"/>
    <numFmt numFmtId="169" formatCode="#,##0.00\ &quot;DZD&quot;"/>
    <numFmt numFmtId="170" formatCode="0.00\ \x"/>
  </numFmts>
  <fonts count="72">
    <font>
      <sz val="11"/>
      <color theme="1"/>
      <name val="Calibri"/>
      <family val="2"/>
      <charset val="1"/>
    </font>
    <font>
      <b/>
      <sz val="16"/>
      <color rgb="FFFFFFFF"/>
      <name val="FreeSans"/>
      <family val="2"/>
      <charset val="1"/>
    </font>
    <font>
      <i/>
      <sz val="10"/>
      <color rgb="FFFFFFFF"/>
      <name val="Calibri"/>
      <charset val="1"/>
    </font>
    <font>
      <b/>
      <sz val="10"/>
      <color rgb="FF000000"/>
      <name val="FreeSans"/>
      <family val="2"/>
      <charset val="1"/>
    </font>
    <font>
      <sz val="11"/>
      <color theme="1"/>
      <name val="FreeSans"/>
      <family val="2"/>
      <charset val="1"/>
    </font>
    <font>
      <b/>
      <sz val="11"/>
      <color rgb="FFFFFFFF"/>
      <name val="FreeSans"/>
      <family val="2"/>
      <charset val="1"/>
    </font>
    <font>
      <b/>
      <sz val="10"/>
      <color rgb="FF000000"/>
      <name val="FreeSans"/>
      <family val="2"/>
    </font>
    <font>
      <b/>
      <sz val="10"/>
      <color rgb="FF000000"/>
      <name val="Calibri"/>
      <charset val="1"/>
    </font>
    <font>
      <b/>
      <sz val="11"/>
      <color rgb="FF000000"/>
      <name val="Calibri"/>
      <charset val="1"/>
    </font>
    <font>
      <i/>
      <sz val="9"/>
      <color rgb="FF555555"/>
      <name val="FreeSans"/>
      <family val="2"/>
      <charset val="1"/>
    </font>
    <font>
      <b/>
      <sz val="10"/>
      <color rgb="FF8B0000"/>
      <name val="FreeSans"/>
      <family val="2"/>
    </font>
    <font>
      <b/>
      <sz val="14"/>
      <color rgb="FF8B0000"/>
      <name val="Calibri"/>
      <charset val="1"/>
    </font>
    <font>
      <i/>
      <sz val="9"/>
      <color rgb="FF555555"/>
      <name val="Calibri"/>
      <charset val="1"/>
    </font>
    <font>
      <i/>
      <sz val="9"/>
      <color rgb="FF555555"/>
      <name val="FreeSans"/>
      <family val="2"/>
    </font>
    <font>
      <b/>
      <sz val="10"/>
      <color rgb="FF7B3F00"/>
      <name val="FreeSans"/>
      <family val="2"/>
    </font>
    <font>
      <b/>
      <sz val="14"/>
      <color rgb="FF7B3F00"/>
      <name val="Calibri"/>
      <charset val="1"/>
    </font>
    <font>
      <b/>
      <sz val="14"/>
      <color rgb="FF000000"/>
      <name val="Calibri"/>
      <charset val="1"/>
    </font>
    <font>
      <b/>
      <sz val="10"/>
      <color rgb="FFFFFFFF"/>
      <name val="Calibri"/>
      <charset val="1"/>
    </font>
    <font>
      <i/>
      <sz val="9"/>
      <color rgb="FF000000"/>
      <name val="Calibri"/>
      <charset val="1"/>
    </font>
    <font>
      <i/>
      <sz val="9"/>
      <color rgb="FF000000"/>
      <name val="FreeSans"/>
      <family val="2"/>
    </font>
    <font>
      <b/>
      <sz val="10"/>
      <color rgb="FF0C447C"/>
      <name val="FreeSans"/>
      <family val="2"/>
    </font>
    <font>
      <b/>
      <sz val="10"/>
      <color rgb="FF0C447C"/>
      <name val="Calibri"/>
      <charset val="1"/>
    </font>
    <font>
      <b/>
      <sz val="10"/>
      <color rgb="FF1A1A1A"/>
      <name val="FreeSans"/>
      <family val="2"/>
    </font>
    <font>
      <b/>
      <sz val="10"/>
      <color rgb="FF1A1A1A"/>
      <name val="Calibri"/>
      <charset val="1"/>
    </font>
    <font>
      <sz val="9"/>
      <color rgb="FF185FA5"/>
      <name val="Courier New"/>
      <charset val="1"/>
    </font>
    <font>
      <sz val="9"/>
      <color rgb="FF555555"/>
      <name val="Calibri"/>
      <charset val="1"/>
    </font>
    <font>
      <b/>
      <sz val="13"/>
      <color rgb="FFFFFFFF"/>
      <name val="Calibri"/>
      <charset val="1"/>
    </font>
    <font>
      <b/>
      <sz val="9"/>
      <color rgb="FFFFFFFF"/>
      <name val="Calibri"/>
      <charset val="1"/>
    </font>
    <font>
      <b/>
      <sz val="9"/>
      <color rgb="FFFFFFFF"/>
      <name val="FreeSans"/>
      <family val="2"/>
    </font>
    <font>
      <sz val="11"/>
      <color rgb="FF000000"/>
      <name val="Calibri"/>
      <charset val="1"/>
    </font>
    <font>
      <b/>
      <sz val="9"/>
      <color rgb="FF000000"/>
      <name val="FreeSans"/>
      <family val="2"/>
    </font>
    <font>
      <b/>
      <sz val="9"/>
      <color rgb="FF000000"/>
      <name val="Calibri"/>
      <charset val="1"/>
    </font>
    <font>
      <sz val="9"/>
      <color rgb="FF000000"/>
      <name val="FreeSans"/>
      <family val="2"/>
    </font>
    <font>
      <sz val="9"/>
      <color rgb="FF000000"/>
      <name val="Calibri"/>
      <charset val="1"/>
    </font>
    <font>
      <i/>
      <sz val="9"/>
      <color rgb="FF666666"/>
      <name val="Calibri"/>
      <charset val="1"/>
    </font>
    <font>
      <b/>
      <sz val="10"/>
      <color rgb="FF7B5800"/>
      <name val="Calibri"/>
      <charset val="1"/>
    </font>
    <font>
      <i/>
      <sz val="9"/>
      <color rgb="FF444444"/>
      <name val="Calibri"/>
      <charset val="1"/>
    </font>
    <font>
      <b/>
      <sz val="14"/>
      <color rgb="FF000000"/>
      <name val="FreeSans"/>
      <family val="2"/>
    </font>
    <font>
      <b/>
      <sz val="11"/>
      <color rgb="FFFFFFFF"/>
      <name val="FreeSans"/>
      <family val="2"/>
    </font>
    <font>
      <b/>
      <sz val="12"/>
      <color rgb="FF000000"/>
      <name val="Calibri"/>
      <charset val="1"/>
    </font>
    <font>
      <b/>
      <sz val="10"/>
      <color rgb="FF000000"/>
      <name val="Courier New"/>
      <charset val="1"/>
    </font>
    <font>
      <sz val="9"/>
      <color rgb="FF000000"/>
      <name val="Courier New"/>
      <charset val="1"/>
    </font>
    <font>
      <b/>
      <sz val="11"/>
      <color rgb="FFFFFFFF"/>
      <name val="Calibri"/>
      <charset val="1"/>
    </font>
    <font>
      <i/>
      <sz val="8"/>
      <color rgb="FF888888"/>
      <name val="Calibri"/>
      <charset val="1"/>
    </font>
    <font>
      <i/>
      <sz val="8"/>
      <color rgb="FF888888"/>
      <name val="FreeSans"/>
      <family val="2"/>
    </font>
    <font>
      <i/>
      <sz val="8"/>
      <color rgb="FFAAAAAA"/>
      <name val="Cambria"/>
      <charset val="1"/>
    </font>
    <font>
      <b/>
      <sz val="12"/>
      <color rgb="FFFFFFFF"/>
      <name val="Calibri"/>
      <charset val="1"/>
    </font>
    <font>
      <b/>
      <sz val="8"/>
      <color rgb="FFFFFFFF"/>
      <name val="Calibri"/>
      <charset val="1"/>
    </font>
    <font>
      <b/>
      <sz val="14"/>
      <color rgb="FFFFFFFF"/>
      <name val="Calibri"/>
      <charset val="1"/>
    </font>
    <font>
      <b/>
      <sz val="20"/>
      <color rgb="FF8B0000"/>
      <name val="Cambria"/>
      <charset val="1"/>
    </font>
    <font>
      <b/>
      <sz val="20"/>
      <color rgb="FFBF360C"/>
      <name val="Cambria"/>
      <charset val="1"/>
    </font>
    <font>
      <b/>
      <sz val="20"/>
      <color rgb="FF7B5800"/>
      <name val="Cambria"/>
      <charset val="1"/>
    </font>
    <font>
      <b/>
      <sz val="20"/>
      <color rgb="FF1B5E20"/>
      <name val="Cambria"/>
      <charset val="1"/>
    </font>
    <font>
      <i/>
      <sz val="8"/>
      <color rgb="FF555555"/>
      <name val="FreeSans"/>
      <family val="2"/>
    </font>
    <font>
      <i/>
      <sz val="8"/>
      <color rgb="FF555555"/>
      <name val="Calibri"/>
      <charset val="1"/>
    </font>
    <font>
      <i/>
      <sz val="9"/>
      <color rgb="FF444444"/>
      <name val="FreeSans"/>
      <family val="2"/>
    </font>
    <font>
      <sz val="10"/>
      <color rgb="FF000000"/>
      <name val="Calibri"/>
      <charset val="1"/>
    </font>
    <font>
      <b/>
      <sz val="11"/>
      <color rgb="FF000000"/>
      <name val="FreeSans"/>
      <family val="2"/>
    </font>
    <font>
      <b/>
      <sz val="10"/>
      <color rgb="FF7B5800"/>
      <name val="FreeSans"/>
      <family val="2"/>
    </font>
    <font>
      <b/>
      <sz val="9"/>
      <color rgb="FF0C447C"/>
      <name val="Courier New"/>
      <charset val="1"/>
    </font>
    <font>
      <sz val="9"/>
      <color rgb="FF1A1A1A"/>
      <name val="Calibri"/>
      <charset val="1"/>
    </font>
    <font>
      <i/>
      <sz val="9"/>
      <color rgb="FF37474F"/>
      <name val="FreeSans"/>
      <family val="2"/>
    </font>
    <font>
      <sz val="9"/>
      <name val="Courier New"/>
      <charset val="1"/>
    </font>
    <font>
      <i/>
      <sz val="9"/>
      <color rgb="FFFFFFFF"/>
      <name val="Calibri"/>
      <charset val="1"/>
    </font>
    <font>
      <b/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C80000"/>
      <name val="Calibri"/>
      <family val="2"/>
    </font>
    <font>
      <b/>
      <sz val="12"/>
      <color rgb="FFC86400"/>
      <name val="Calibri"/>
      <family val="2"/>
    </font>
    <font>
      <i/>
      <sz val="8"/>
      <color theme="1"/>
      <name val="Calibri"/>
      <family val="2"/>
    </font>
    <font>
      <b/>
      <sz val="12"/>
      <color rgb="FFFFFFFF"/>
      <name val="Calibri"/>
      <family val="2"/>
    </font>
  </fonts>
  <fills count="54">
    <fill>
      <patternFill patternType="none"/>
    </fill>
    <fill>
      <patternFill patternType="gray125"/>
    </fill>
    <fill>
      <patternFill patternType="solid">
        <fgColor rgb="FF176B30"/>
        <bgColor rgb="FF1C5B13"/>
      </patternFill>
    </fill>
    <fill>
      <patternFill patternType="darkGray">
        <fgColor rgb="FF1C5B13"/>
        <bgColor rgb="FF37474F"/>
      </patternFill>
    </fill>
    <fill>
      <patternFill patternType="solid">
        <fgColor rgb="FFEAF3DE"/>
        <bgColor rgb="FFE8F5E9"/>
      </patternFill>
    </fill>
    <fill>
      <patternFill patternType="solid">
        <fgColor rgb="FF0C3547"/>
        <bgColor rgb="FF2D3539"/>
      </patternFill>
    </fill>
    <fill>
      <patternFill patternType="solid">
        <fgColor rgb="FFE6F1FB"/>
        <bgColor rgb="FFE3F2FD"/>
      </patternFill>
    </fill>
    <fill>
      <patternFill patternType="solid">
        <fgColor rgb="FFFFF2CC"/>
        <bgColor rgb="FFFFF3CD"/>
      </patternFill>
    </fill>
    <fill>
      <patternFill patternType="solid">
        <fgColor rgb="FFFCEBEB"/>
        <bgColor rgb="FFFFEBEE"/>
      </patternFill>
    </fill>
    <fill>
      <patternFill patternType="solid">
        <fgColor rgb="FFFFD0D0"/>
        <bgColor rgb="FFFFE0B2"/>
      </patternFill>
    </fill>
    <fill>
      <patternFill patternType="solid">
        <fgColor rgb="FFFAEEDA"/>
        <bgColor rgb="FFFCEBEB"/>
      </patternFill>
    </fill>
    <fill>
      <patternFill patternType="solid">
        <fgColor rgb="FFFFE5B4"/>
        <bgColor rgb="FFFFE0B2"/>
      </patternFill>
    </fill>
    <fill>
      <patternFill patternType="solid">
        <fgColor rgb="FFFFFACD"/>
        <bgColor rgb="FFFFF3CD"/>
      </patternFill>
    </fill>
    <fill>
      <patternFill patternType="solid">
        <fgColor rgb="FF2F4858"/>
        <bgColor rgb="FF37474F"/>
      </patternFill>
    </fill>
    <fill>
      <patternFill patternType="solid">
        <fgColor rgb="FFF7F7F5"/>
        <bgColor rgb="FFF5F5F5"/>
      </patternFill>
    </fill>
    <fill>
      <patternFill patternType="solid">
        <fgColor rgb="FFFFF3CD"/>
        <bgColor rgb="FFFFF2CC"/>
      </patternFill>
    </fill>
    <fill>
      <patternFill patternType="solid">
        <fgColor rgb="FFF5EEF8"/>
        <bgColor rgb="FFF5F5F5"/>
      </patternFill>
    </fill>
    <fill>
      <patternFill patternType="solid">
        <fgColor rgb="FFFFFFFF"/>
        <bgColor rgb="FFFFFEF0"/>
      </patternFill>
    </fill>
    <fill>
      <patternFill patternType="solid">
        <fgColor rgb="FFF5F5F5"/>
        <bgColor rgb="FFF7F7F5"/>
      </patternFill>
    </fill>
    <fill>
      <patternFill patternType="solid">
        <fgColor rgb="FF37474F"/>
        <bgColor rgb="FF2F4858"/>
      </patternFill>
    </fill>
    <fill>
      <patternFill patternType="darkGray">
        <fgColor rgb="FF1C5B13"/>
        <bgColor rgb="FF176B30"/>
      </patternFill>
    </fill>
    <fill>
      <patternFill patternType="darkGray">
        <fgColor rgb="FF308334"/>
        <bgColor rgb="FF176B30"/>
      </patternFill>
    </fill>
    <fill>
      <patternFill patternType="solid">
        <fgColor rgb="FF4A148C"/>
        <bgColor rgb="FF4527A0"/>
      </patternFill>
    </fill>
    <fill>
      <patternFill patternType="darkGray">
        <fgColor rgb="FF0C4584"/>
        <bgColor rgb="FF1661B4"/>
      </patternFill>
    </fill>
    <fill>
      <patternFill patternType="solid">
        <fgColor rgb="FFBA7517"/>
        <bgColor rgb="FFB45309"/>
      </patternFill>
    </fill>
    <fill>
      <patternFill patternType="solid">
        <fgColor rgb="FF546E7A"/>
        <bgColor rgb="FF666666"/>
      </patternFill>
    </fill>
    <fill>
      <patternFill patternType="solid">
        <fgColor rgb="FF1661B4"/>
        <bgColor rgb="FF0C4584"/>
      </patternFill>
    </fill>
    <fill>
      <patternFill patternType="solid">
        <fgColor rgb="FF4527A0"/>
        <bgColor rgb="FF4A148C"/>
      </patternFill>
    </fill>
    <fill>
      <patternFill patternType="solid">
        <fgColor rgb="FF455A64"/>
        <bgColor rgb="FF555555"/>
      </patternFill>
    </fill>
    <fill>
      <patternFill patternType="solid">
        <fgColor rgb="FF7B1818"/>
        <bgColor rgb="FF8B1A1A"/>
      </patternFill>
    </fill>
    <fill>
      <patternFill patternType="solid">
        <fgColor rgb="FF0C4584"/>
        <bgColor rgb="FF0C3547"/>
      </patternFill>
    </fill>
    <fill>
      <patternFill patternType="solid">
        <fgColor rgb="FF8B1A1A"/>
        <bgColor rgb="FF7B1818"/>
      </patternFill>
    </fill>
    <fill>
      <patternFill patternType="solid">
        <fgColor rgb="FFE8F5E9"/>
        <bgColor rgb="FFEAF3DE"/>
      </patternFill>
    </fill>
    <fill>
      <patternFill patternType="solid">
        <fgColor rgb="FFFFEBEE"/>
        <bgColor rgb="FFFCEBEB"/>
      </patternFill>
    </fill>
    <fill>
      <patternFill patternType="solid">
        <fgColor rgb="FFE3F2FD"/>
        <bgColor rgb="FFE6F1FB"/>
      </patternFill>
    </fill>
    <fill>
      <patternFill patternType="solid">
        <fgColor rgb="FF8B0000"/>
        <bgColor rgb="FF8B1A1A"/>
      </patternFill>
    </fill>
    <fill>
      <patternFill patternType="solid">
        <fgColor rgb="FFA93226"/>
        <bgColor rgb="FFC52B15"/>
      </patternFill>
    </fill>
    <fill>
      <patternFill patternType="solid">
        <fgColor rgb="FF7B3F00"/>
        <bgColor rgb="FF7B5800"/>
      </patternFill>
    </fill>
    <fill>
      <patternFill patternType="solid">
        <fgColor rgb="FF806000"/>
        <bgColor rgb="FF7B5800"/>
      </patternFill>
    </fill>
    <fill>
      <patternFill patternType="solid">
        <fgColor rgb="FFFFE0B2"/>
        <bgColor rgb="FFFFE5B4"/>
      </patternFill>
    </fill>
    <fill>
      <patternFill patternType="solid">
        <fgColor rgb="FFFFFF99"/>
        <bgColor rgb="FFFFFACD"/>
      </patternFill>
    </fill>
    <fill>
      <patternFill patternType="solid">
        <fgColor rgb="FFD5F0C0"/>
        <bgColor rgb="FFEAF3DE"/>
      </patternFill>
    </fill>
    <fill>
      <patternFill patternType="mediumGray">
        <fgColor rgb="FF444444"/>
        <bgColor rgb="FF2D3539"/>
      </patternFill>
    </fill>
    <fill>
      <patternFill patternType="solid">
        <fgColor rgb="FF7B5800"/>
        <bgColor rgb="FF806000"/>
      </patternFill>
    </fill>
    <fill>
      <patternFill patternType="solid">
        <fgColor rgb="FFFFFEF0"/>
        <bgColor rgb="FFFFFBF0"/>
      </patternFill>
    </fill>
    <fill>
      <patternFill patternType="solid">
        <fgColor rgb="FF4A235A"/>
        <bgColor rgb="FF4E342E"/>
      </patternFill>
    </fill>
    <fill>
      <patternFill patternType="solid">
        <fgColor rgb="FF6C3483"/>
        <bgColor rgb="FF6A1B9A"/>
      </patternFill>
    </fill>
    <fill>
      <patternFill patternType="solid">
        <fgColor rgb="FF00467F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C8C8"/>
        <bgColor rgb="FF2D3539"/>
      </patternFill>
    </fill>
    <fill>
      <patternFill patternType="solid">
        <fgColor rgb="FFC8C8C8"/>
        <bgColor indexed="64"/>
      </patternFill>
    </fill>
  </fills>
  <borders count="30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888888"/>
      </left>
      <right style="medium">
        <color rgb="FF888888"/>
      </right>
      <top style="medium">
        <color rgb="FF888888"/>
      </top>
      <bottom style="medium">
        <color rgb="FF888888"/>
      </bottom>
      <diagonal/>
    </border>
    <border>
      <left style="medium">
        <color rgb="FF666666"/>
      </left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666666"/>
      </top>
      <bottom style="medium">
        <color rgb="FF666666"/>
      </bottom>
      <diagonal/>
    </border>
    <border>
      <left/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75">
    <xf numFmtId="0" fontId="0" fillId="0" borderId="0" xfId="0" applyAlignment="1"/>
    <xf numFmtId="0" fontId="0" fillId="0" borderId="0" xfId="0" applyAlignment="1"/>
    <xf numFmtId="0" fontId="3" fillId="4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6" fillId="6" borderId="1" xfId="0" applyFont="1" applyFill="1" applyBorder="1" applyAlignment="1">
      <alignment horizontal="right" vertical="center"/>
    </xf>
    <xf numFmtId="164" fontId="8" fillId="7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8" borderId="1" xfId="0" applyFont="1" applyFill="1" applyBorder="1" applyAlignment="1">
      <alignment horizontal="right" vertical="center"/>
    </xf>
    <xf numFmtId="0" fontId="11" fillId="9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4" fillId="10" borderId="1" xfId="0" applyFont="1" applyFill="1" applyBorder="1" applyAlignment="1">
      <alignment horizontal="right" vertical="center"/>
    </xf>
    <xf numFmtId="0" fontId="15" fillId="11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right" vertical="center"/>
    </xf>
    <xf numFmtId="0" fontId="16" fillId="12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/>
    </xf>
    <xf numFmtId="0" fontId="20" fillId="0" borderId="0" xfId="0" applyFont="1" applyAlignment="1"/>
    <xf numFmtId="0" fontId="22" fillId="0" borderId="0" xfId="0" applyFont="1" applyAlignment="1"/>
    <xf numFmtId="0" fontId="24" fillId="0" borderId="0" xfId="0" applyFont="1" applyAlignment="1"/>
    <xf numFmtId="0" fontId="25" fillId="0" borderId="0" xfId="0" applyFont="1" applyAlignment="1"/>
    <xf numFmtId="0" fontId="13" fillId="0" borderId="0" xfId="0" applyFont="1" applyAlignment="1"/>
    <xf numFmtId="0" fontId="27" fillId="2" borderId="3" xfId="0" applyFont="1" applyFill="1" applyBorder="1" applyAlignment="1">
      <alignment horizontal="center" vertical="center" wrapText="1" readingOrder="2"/>
    </xf>
    <xf numFmtId="164" fontId="29" fillId="8" borderId="1" xfId="0" applyNumberFormat="1" applyFont="1" applyFill="1" applyBorder="1" applyAlignment="1">
      <alignment horizontal="center" vertical="center"/>
    </xf>
    <xf numFmtId="164" fontId="29" fillId="10" borderId="1" xfId="0" applyNumberFormat="1" applyFont="1" applyFill="1" applyBorder="1" applyAlignment="1">
      <alignment horizontal="center" vertical="center"/>
    </xf>
    <xf numFmtId="164" fontId="29" fillId="4" borderId="1" xfId="0" applyNumberFormat="1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left" vertical="center"/>
    </xf>
    <xf numFmtId="0" fontId="39" fillId="18" borderId="2" xfId="0" applyFont="1" applyFill="1" applyBorder="1" applyAlignment="1">
      <alignment horizontal="center" vertical="center"/>
    </xf>
    <xf numFmtId="0" fontId="40" fillId="18" borderId="2" xfId="0" applyFont="1" applyFill="1" applyBorder="1" applyAlignment="1">
      <alignment horizontal="left" vertical="center"/>
    </xf>
    <xf numFmtId="0" fontId="41" fillId="18" borderId="2" xfId="0" applyFont="1" applyFill="1" applyBorder="1" applyAlignment="1">
      <alignment horizontal="left" vertical="center"/>
    </xf>
    <xf numFmtId="0" fontId="19" fillId="18" borderId="2" xfId="0" applyFont="1" applyFill="1" applyBorder="1" applyAlignment="1">
      <alignment horizontal="right" vertical="center"/>
    </xf>
    <xf numFmtId="0" fontId="32" fillId="18" borderId="2" xfId="0" applyFont="1" applyFill="1" applyBorder="1" applyAlignment="1">
      <alignment horizontal="left" vertical="center" wrapText="1"/>
    </xf>
    <xf numFmtId="0" fontId="39" fillId="0" borderId="2" xfId="0" applyFont="1" applyBorder="1" applyAlignment="1">
      <alignment horizontal="center" vertical="center"/>
    </xf>
    <xf numFmtId="0" fontId="40" fillId="0" borderId="2" xfId="0" applyFont="1" applyBorder="1" applyAlignment="1">
      <alignment horizontal="left" vertical="center"/>
    </xf>
    <xf numFmtId="0" fontId="41" fillId="0" borderId="2" xfId="0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 wrapText="1"/>
    </xf>
    <xf numFmtId="0" fontId="7" fillId="18" borderId="2" xfId="0" applyFon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left" vertical="center"/>
    </xf>
    <xf numFmtId="0" fontId="33" fillId="18" borderId="2" xfId="0" applyFont="1" applyFill="1" applyBorder="1" applyAlignment="1">
      <alignment horizontal="left" vertical="center"/>
    </xf>
    <xf numFmtId="0" fontId="19" fillId="18" borderId="2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33" fillId="0" borderId="2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/>
    </xf>
    <xf numFmtId="0" fontId="45" fillId="0" borderId="0" xfId="0" applyFont="1" applyAlignment="1"/>
    <xf numFmtId="0" fontId="47" fillId="19" borderId="3" xfId="0" applyFont="1" applyFill="1" applyBorder="1" applyAlignment="1">
      <alignment horizontal="center" vertical="center" wrapText="1" readingOrder="2"/>
    </xf>
    <xf numFmtId="0" fontId="47" fillId="20" borderId="3" xfId="0" applyFont="1" applyFill="1" applyBorder="1" applyAlignment="1">
      <alignment horizontal="center" vertical="center" wrapText="1" readingOrder="2"/>
    </xf>
    <xf numFmtId="0" fontId="47" fillId="21" borderId="3" xfId="0" applyFont="1" applyFill="1" applyBorder="1" applyAlignment="1">
      <alignment horizontal="center" vertical="center" wrapText="1" readingOrder="2"/>
    </xf>
    <xf numFmtId="0" fontId="47" fillId="22" borderId="3" xfId="0" applyFont="1" applyFill="1" applyBorder="1" applyAlignment="1">
      <alignment horizontal="center" vertical="center" wrapText="1" readingOrder="2"/>
    </xf>
    <xf numFmtId="0" fontId="47" fillId="23" borderId="3" xfId="0" applyFont="1" applyFill="1" applyBorder="1" applyAlignment="1">
      <alignment horizontal="center" vertical="center" wrapText="1" readingOrder="2"/>
    </xf>
    <xf numFmtId="0" fontId="47" fillId="24" borderId="3" xfId="0" applyFont="1" applyFill="1" applyBorder="1" applyAlignment="1">
      <alignment horizontal="center" vertical="center" wrapText="1" readingOrder="2"/>
    </xf>
    <xf numFmtId="0" fontId="47" fillId="25" borderId="3" xfId="0" applyFont="1" applyFill="1" applyBorder="1" applyAlignment="1">
      <alignment horizontal="center" vertical="center" wrapText="1" readingOrder="2"/>
    </xf>
    <xf numFmtId="0" fontId="47" fillId="26" borderId="3" xfId="0" applyFont="1" applyFill="1" applyBorder="1" applyAlignment="1">
      <alignment horizontal="center" vertical="center" wrapText="1" readingOrder="2"/>
    </xf>
    <xf numFmtId="0" fontId="47" fillId="27" borderId="3" xfId="0" applyFont="1" applyFill="1" applyBorder="1" applyAlignment="1">
      <alignment horizontal="center" vertical="center" wrapText="1" readingOrder="2"/>
    </xf>
    <xf numFmtId="0" fontId="47" fillId="28" borderId="3" xfId="0" applyFont="1" applyFill="1" applyBorder="1" applyAlignment="1">
      <alignment horizontal="center" vertical="center" wrapText="1" readingOrder="2"/>
    </xf>
    <xf numFmtId="3" fontId="0" fillId="4" borderId="1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center" vertical="center"/>
    </xf>
    <xf numFmtId="4" fontId="0" fillId="7" borderId="1" xfId="0" applyNumberFormat="1" applyFill="1" applyBorder="1" applyAlignment="1">
      <alignment horizontal="center" vertical="center"/>
    </xf>
    <xf numFmtId="3" fontId="0" fillId="10" borderId="1" xfId="0" applyNumberFormat="1" applyFill="1" applyBorder="1" applyAlignment="1">
      <alignment horizontal="center" vertical="center"/>
    </xf>
    <xf numFmtId="0" fontId="27" fillId="19" borderId="3" xfId="0" applyFont="1" applyFill="1" applyBorder="1" applyAlignment="1">
      <alignment horizontal="center" vertical="center" readingOrder="2"/>
    </xf>
    <xf numFmtId="0" fontId="27" fillId="20" borderId="3" xfId="0" applyFont="1" applyFill="1" applyBorder="1" applyAlignment="1">
      <alignment horizontal="center" vertical="center" readingOrder="2"/>
    </xf>
    <xf numFmtId="0" fontId="27" fillId="29" borderId="3" xfId="0" applyFont="1" applyFill="1" applyBorder="1" applyAlignment="1">
      <alignment horizontal="center" vertical="center" readingOrder="2"/>
    </xf>
    <xf numFmtId="0" fontId="27" fillId="30" borderId="3" xfId="0" applyFont="1" applyFill="1" applyBorder="1" applyAlignment="1">
      <alignment horizontal="center" vertical="center" readingOrder="2"/>
    </xf>
    <xf numFmtId="0" fontId="27" fillId="28" borderId="3" xfId="0" applyFont="1" applyFill="1" applyBorder="1" applyAlignment="1">
      <alignment horizontal="center" vertical="center" readingOrder="2"/>
    </xf>
    <xf numFmtId="0" fontId="27" fillId="22" borderId="3" xfId="0" applyFont="1" applyFill="1" applyBorder="1" applyAlignment="1">
      <alignment horizontal="center" vertical="center" readingOrder="2"/>
    </xf>
    <xf numFmtId="0" fontId="27" fillId="31" borderId="3" xfId="0" applyFont="1" applyFill="1" applyBorder="1" applyAlignment="1">
      <alignment horizontal="center" vertical="center" readingOrder="2"/>
    </xf>
    <xf numFmtId="0" fontId="17" fillId="13" borderId="3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3" fontId="0" fillId="32" borderId="1" xfId="0" applyNumberFormat="1" applyFill="1" applyBorder="1" applyAlignment="1">
      <alignment horizontal="center" vertical="center" readingOrder="2"/>
    </xf>
    <xf numFmtId="3" fontId="0" fillId="33" borderId="1" xfId="0" applyNumberFormat="1" applyFill="1" applyBorder="1" applyAlignment="1">
      <alignment horizontal="center" vertical="center" readingOrder="2"/>
    </xf>
    <xf numFmtId="3" fontId="21" fillId="34" borderId="1" xfId="0" applyNumberFormat="1" applyFont="1" applyFill="1" applyBorder="1" applyAlignment="1">
      <alignment horizontal="center" vertical="center" readingOrder="2"/>
    </xf>
    <xf numFmtId="3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3" fontId="8" fillId="6" borderId="1" xfId="0" applyNumberFormat="1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 readingOrder="2"/>
    </xf>
    <xf numFmtId="0" fontId="0" fillId="0" borderId="1" xfId="0" applyBorder="1" applyAlignment="1"/>
    <xf numFmtId="0" fontId="18" fillId="6" borderId="1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horizontal="center" vertical="center"/>
    </xf>
    <xf numFmtId="0" fontId="0" fillId="6" borderId="1" xfId="0" applyFill="1" applyBorder="1" applyAlignment="1"/>
    <xf numFmtId="164" fontId="8" fillId="6" borderId="1" xfId="0" applyNumberFormat="1" applyFont="1" applyFill="1" applyBorder="1" applyAlignment="1">
      <alignment horizontal="center" vertical="center"/>
    </xf>
    <xf numFmtId="0" fontId="17" fillId="35" borderId="4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 vertical="center"/>
    </xf>
    <xf numFmtId="3" fontId="0" fillId="17" borderId="1" xfId="0" applyNumberFormat="1" applyFill="1" applyBorder="1" applyAlignment="1">
      <alignment horizontal="center" vertical="center"/>
    </xf>
    <xf numFmtId="4" fontId="0" fillId="17" borderId="1" xfId="0" applyNumberFormat="1" applyFill="1" applyBorder="1" applyAlignment="1">
      <alignment horizontal="center" vertical="center"/>
    </xf>
    <xf numFmtId="164" fontId="0" fillId="17" borderId="1" xfId="0" applyNumberFormat="1" applyFill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0" fillId="14" borderId="1" xfId="0" applyFill="1" applyBorder="1" applyAlignment="1">
      <alignment horizontal="left" vertical="center"/>
    </xf>
    <xf numFmtId="0" fontId="0" fillId="14" borderId="1" xfId="0" applyFill="1" applyBorder="1" applyAlignment="1">
      <alignment horizontal="center" vertical="center"/>
    </xf>
    <xf numFmtId="4" fontId="0" fillId="14" borderId="1" xfId="0" applyNumberFormat="1" applyFill="1" applyBorder="1" applyAlignment="1">
      <alignment horizontal="center" vertical="center"/>
    </xf>
    <xf numFmtId="164" fontId="0" fillId="14" borderId="1" xfId="0" applyNumberFormat="1" applyFill="1" applyBorder="1" applyAlignment="1">
      <alignment horizontal="center" vertical="center"/>
    </xf>
    <xf numFmtId="0" fontId="17" fillId="37" borderId="3" xfId="0" applyFont="1" applyFill="1" applyBorder="1" applyAlignment="1">
      <alignment horizontal="center" vertical="center" wrapText="1"/>
    </xf>
    <xf numFmtId="0" fontId="8" fillId="17" borderId="1" xfId="0" applyFont="1" applyFill="1" applyBorder="1" applyAlignment="1">
      <alignment horizontal="center" vertical="center"/>
    </xf>
    <xf numFmtId="165" fontId="0" fillId="17" borderId="1" xfId="0" applyNumberForma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165" fontId="0" fillId="14" borderId="1" xfId="0" applyNumberForma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right" vertical="center"/>
    </xf>
    <xf numFmtId="14" fontId="23" fillId="40" borderId="5" xfId="0" applyNumberFormat="1" applyFont="1" applyFill="1" applyBorder="1" applyAlignment="1">
      <alignment horizontal="center" vertical="center" readingOrder="2"/>
    </xf>
    <xf numFmtId="0" fontId="6" fillId="18" borderId="2" xfId="0" applyFont="1" applyFill="1" applyBorder="1" applyAlignment="1">
      <alignment horizontal="center" vertical="center"/>
    </xf>
    <xf numFmtId="0" fontId="28" fillId="5" borderId="6" xfId="0" applyFont="1" applyFill="1" applyBorder="1" applyAlignment="1">
      <alignment horizontal="center" vertical="center" wrapText="1"/>
    </xf>
    <xf numFmtId="0" fontId="31" fillId="18" borderId="2" xfId="0" applyFont="1" applyFill="1" applyBorder="1" applyAlignment="1">
      <alignment horizontal="center" vertical="center"/>
    </xf>
    <xf numFmtId="0" fontId="33" fillId="18" borderId="2" xfId="0" applyFont="1" applyFill="1" applyBorder="1" applyAlignment="1">
      <alignment horizontal="center" vertical="center"/>
    </xf>
    <xf numFmtId="3" fontId="0" fillId="18" borderId="2" xfId="0" applyNumberFormat="1" applyFill="1" applyBorder="1" applyAlignment="1">
      <alignment horizontal="center" vertical="center"/>
    </xf>
    <xf numFmtId="3" fontId="7" fillId="18" borderId="2" xfId="0" applyNumberFormat="1" applyFont="1" applyFill="1" applyBorder="1" applyAlignment="1">
      <alignment horizontal="center" vertical="center"/>
    </xf>
    <xf numFmtId="0" fontId="31" fillId="17" borderId="2" xfId="0" applyFont="1" applyFill="1" applyBorder="1" applyAlignment="1">
      <alignment horizontal="center" vertical="center"/>
    </xf>
    <xf numFmtId="0" fontId="33" fillId="17" borderId="2" xfId="0" applyFont="1" applyFill="1" applyBorder="1" applyAlignment="1">
      <alignment horizontal="left" vertical="center"/>
    </xf>
    <xf numFmtId="0" fontId="33" fillId="17" borderId="2" xfId="0" applyFont="1" applyFill="1" applyBorder="1" applyAlignment="1">
      <alignment horizontal="center" vertical="center"/>
    </xf>
    <xf numFmtId="3" fontId="0" fillId="17" borderId="2" xfId="0" applyNumberFormat="1" applyFill="1" applyBorder="1" applyAlignment="1">
      <alignment horizontal="center" vertical="center"/>
    </xf>
    <xf numFmtId="3" fontId="7" fillId="17" borderId="2" xfId="0" applyNumberFormat="1" applyFont="1" applyFill="1" applyBorder="1" applyAlignment="1">
      <alignment horizontal="center" vertical="center"/>
    </xf>
    <xf numFmtId="0" fontId="7" fillId="18" borderId="6" xfId="0" applyFont="1" applyFill="1" applyBorder="1" applyAlignment="1">
      <alignment horizontal="center" vertical="center"/>
    </xf>
    <xf numFmtId="3" fontId="7" fillId="18" borderId="6" xfId="0" applyNumberFormat="1" applyFont="1" applyFill="1" applyBorder="1" applyAlignment="1">
      <alignment horizontal="center" vertical="center"/>
    </xf>
    <xf numFmtId="0" fontId="0" fillId="18" borderId="6" xfId="0" applyFill="1" applyBorder="1" applyAlignment="1"/>
    <xf numFmtId="14" fontId="0" fillId="40" borderId="5" xfId="0" applyNumberFormat="1" applyFill="1" applyBorder="1" applyAlignment="1">
      <alignment horizontal="center" vertical="center" readingOrder="2"/>
    </xf>
    <xf numFmtId="14" fontId="0" fillId="0" borderId="5" xfId="0" applyNumberFormat="1" applyBorder="1" applyAlignment="1">
      <alignment horizontal="center" vertical="center"/>
    </xf>
    <xf numFmtId="0" fontId="39" fillId="6" borderId="1" xfId="0" applyFont="1" applyFill="1" applyBorder="1" applyAlignment="1">
      <alignment horizontal="center" vertical="center"/>
    </xf>
    <xf numFmtId="0" fontId="56" fillId="0" borderId="1" xfId="0" applyFont="1" applyBorder="1" applyAlignment="1">
      <alignment horizontal="left" vertical="center"/>
    </xf>
    <xf numFmtId="3" fontId="39" fillId="7" borderId="1" xfId="0" applyNumberFormat="1" applyFont="1" applyFill="1" applyBorder="1" applyAlignment="1">
      <alignment horizontal="center" vertical="center"/>
    </xf>
    <xf numFmtId="4" fontId="39" fillId="7" borderId="1" xfId="0" applyNumberFormat="1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3" fontId="39" fillId="41" borderId="1" xfId="0" applyNumberFormat="1" applyFont="1" applyFill="1" applyBorder="1" applyAlignment="1">
      <alignment horizontal="center" vertical="center"/>
    </xf>
    <xf numFmtId="0" fontId="27" fillId="42" borderId="3" xfId="0" applyFont="1" applyFill="1" applyBorder="1" applyAlignment="1">
      <alignment horizontal="center" vertical="center" readingOrder="2"/>
    </xf>
    <xf numFmtId="0" fontId="27" fillId="43" borderId="0" xfId="0" applyFont="1" applyFill="1" applyAlignment="1">
      <alignment horizontal="center" vertical="center" readingOrder="2"/>
    </xf>
    <xf numFmtId="0" fontId="0" fillId="4" borderId="1" xfId="0" applyFill="1" applyBorder="1" applyAlignment="1">
      <alignment horizontal="center" vertical="center"/>
    </xf>
    <xf numFmtId="0" fontId="35" fillId="44" borderId="0" xfId="0" applyFont="1" applyFill="1" applyAlignment="1">
      <alignment horizontal="center" vertical="center" readingOrder="2"/>
    </xf>
    <xf numFmtId="0" fontId="0" fillId="10" borderId="1" xfId="0" applyFill="1" applyBorder="1" applyAlignment="1">
      <alignment horizontal="center" vertical="center"/>
    </xf>
    <xf numFmtId="0" fontId="31" fillId="18" borderId="6" xfId="0" applyFont="1" applyFill="1" applyBorder="1" applyAlignment="1">
      <alignment horizontal="center" vertical="center" wrapText="1"/>
    </xf>
    <xf numFmtId="0" fontId="18" fillId="17" borderId="2" xfId="0" applyFont="1" applyFill="1" applyBorder="1" applyAlignment="1">
      <alignment horizontal="center" vertical="center"/>
    </xf>
    <xf numFmtId="0" fontId="7" fillId="17" borderId="6" xfId="0" applyFont="1" applyFill="1" applyBorder="1" applyAlignment="1">
      <alignment horizontal="center" vertical="center"/>
    </xf>
    <xf numFmtId="0" fontId="0" fillId="17" borderId="2" xfId="0" applyFill="1" applyBorder="1" applyAlignment="1">
      <alignment horizontal="left" vertical="center"/>
    </xf>
    <xf numFmtId="0" fontId="0" fillId="17" borderId="2" xfId="0" applyFill="1" applyBorder="1" applyAlignment="1">
      <alignment horizontal="center" vertical="center"/>
    </xf>
    <xf numFmtId="3" fontId="0" fillId="17" borderId="6" xfId="0" applyNumberFormat="1" applyFill="1" applyBorder="1" applyAlignment="1">
      <alignment horizontal="center" vertical="center"/>
    </xf>
    <xf numFmtId="3" fontId="8" fillId="17" borderId="6" xfId="0" applyNumberFormat="1" applyFont="1" applyFill="1" applyBorder="1" applyAlignment="1">
      <alignment horizontal="center" vertical="center"/>
    </xf>
    <xf numFmtId="3" fontId="0" fillId="17" borderId="5" xfId="0" applyNumberForma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left" vertical="center" wrapText="1"/>
    </xf>
    <xf numFmtId="0" fontId="7" fillId="17" borderId="1" xfId="0" applyFont="1" applyFill="1" applyBorder="1" applyAlignment="1">
      <alignment horizontal="center" vertical="center"/>
    </xf>
    <xf numFmtId="0" fontId="56" fillId="17" borderId="1" xfId="0" applyFont="1" applyFill="1" applyBorder="1" applyAlignment="1">
      <alignment horizontal="left" vertical="center" wrapText="1"/>
    </xf>
    <xf numFmtId="0" fontId="56" fillId="14" borderId="1" xfId="0" applyFont="1" applyFill="1" applyBorder="1" applyAlignment="1">
      <alignment horizontal="left" vertical="center" wrapText="1"/>
    </xf>
    <xf numFmtId="0" fontId="17" fillId="4" borderId="1" xfId="0" applyFont="1" applyFill="1" applyBorder="1" applyAlignment="1">
      <alignment horizontal="center" vertical="center"/>
    </xf>
    <xf numFmtId="0" fontId="17" fillId="17" borderId="1" xfId="0" applyFont="1" applyFill="1" applyBorder="1" applyAlignment="1">
      <alignment horizontal="left" vertical="center" wrapText="1"/>
    </xf>
    <xf numFmtId="0" fontId="17" fillId="14" borderId="1" xfId="0" applyFont="1" applyFill="1" applyBorder="1" applyAlignment="1">
      <alignment horizontal="left" vertical="center" wrapText="1"/>
    </xf>
    <xf numFmtId="0" fontId="59" fillId="0" borderId="0" xfId="0" applyFont="1" applyAlignment="1"/>
    <xf numFmtId="0" fontId="60" fillId="0" borderId="0" xfId="0" applyFont="1" applyAlignment="1"/>
    <xf numFmtId="0" fontId="61" fillId="0" borderId="0" xfId="0" applyFont="1" applyAlignment="1"/>
    <xf numFmtId="0" fontId="7" fillId="6" borderId="1" xfId="0" applyFont="1" applyFill="1" applyBorder="1" applyAlignment="1">
      <alignment horizontal="left" vertical="center" wrapText="1"/>
    </xf>
    <xf numFmtId="0" fontId="62" fillId="14" borderId="1" xfId="0" applyFont="1" applyFill="1" applyBorder="1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 wrapText="1"/>
    </xf>
    <xf numFmtId="0" fontId="62" fillId="14" borderId="2" xfId="0" applyFont="1" applyFill="1" applyBorder="1" applyAlignment="1">
      <alignment horizontal="left" vertical="center" wrapText="1"/>
    </xf>
    <xf numFmtId="0" fontId="17" fillId="45" borderId="4" xfId="0" applyFont="1" applyFill="1" applyBorder="1" applyAlignment="1">
      <alignment horizontal="center" vertical="center" wrapText="1"/>
    </xf>
    <xf numFmtId="166" fontId="33" fillId="16" borderId="1" xfId="0" applyNumberFormat="1" applyFont="1" applyFill="1" applyBorder="1" applyAlignment="1">
      <alignment horizontal="left" vertical="center"/>
    </xf>
    <xf numFmtId="0" fontId="33" fillId="16" borderId="1" xfId="0" applyFont="1" applyFill="1" applyBorder="1" applyAlignment="1">
      <alignment horizontal="left" vertical="center"/>
    </xf>
    <xf numFmtId="0" fontId="18" fillId="16" borderId="1" xfId="0" applyFont="1" applyFill="1" applyBorder="1" applyAlignment="1">
      <alignment horizontal="left" vertical="center"/>
    </xf>
    <xf numFmtId="166" fontId="33" fillId="17" borderId="1" xfId="0" applyNumberFormat="1" applyFont="1" applyFill="1" applyBorder="1" applyAlignment="1">
      <alignment horizontal="left" vertical="center"/>
    </xf>
    <xf numFmtId="0" fontId="33" fillId="17" borderId="1" xfId="0" applyFont="1" applyFill="1" applyBorder="1" applyAlignment="1">
      <alignment horizontal="left" vertical="center"/>
    </xf>
    <xf numFmtId="0" fontId="18" fillId="17" borderId="1" xfId="0" applyFont="1" applyFill="1" applyBorder="1" applyAlignment="1">
      <alignment horizontal="left" vertical="center"/>
    </xf>
    <xf numFmtId="0" fontId="64" fillId="0" borderId="0" xfId="0" applyFont="1" applyAlignment="1"/>
    <xf numFmtId="14" fontId="0" fillId="0" borderId="0" xfId="0" applyNumberFormat="1" applyAlignment="1"/>
    <xf numFmtId="167" fontId="0" fillId="0" borderId="0" xfId="0" applyNumberFormat="1" applyAlignment="1"/>
    <xf numFmtId="168" fontId="0" fillId="0" borderId="0" xfId="0" applyNumberFormat="1" applyAlignment="1"/>
    <xf numFmtId="0" fontId="0" fillId="49" borderId="0" xfId="0" applyFill="1" applyAlignment="1"/>
    <xf numFmtId="170" fontId="0" fillId="49" borderId="0" xfId="0" applyNumberFormat="1" applyFill="1" applyAlignment="1"/>
    <xf numFmtId="0" fontId="64" fillId="49" borderId="0" xfId="0" applyFont="1" applyFill="1" applyAlignment="1">
      <alignment horizontal="right"/>
    </xf>
    <xf numFmtId="0" fontId="67" fillId="49" borderId="0" xfId="0" applyFont="1" applyFill="1" applyAlignment="1">
      <alignment horizontal="left"/>
    </xf>
    <xf numFmtId="0" fontId="68" fillId="49" borderId="0" xfId="0" applyFont="1" applyFill="1" applyAlignment="1">
      <alignment horizontal="left"/>
    </xf>
    <xf numFmtId="0" fontId="69" fillId="49" borderId="0" xfId="0" applyFont="1" applyFill="1" applyAlignment="1">
      <alignment horizontal="left"/>
    </xf>
    <xf numFmtId="169" fontId="67" fillId="49" borderId="0" xfId="0" applyNumberFormat="1" applyFont="1" applyFill="1" applyAlignment="1">
      <alignment horizontal="left"/>
    </xf>
    <xf numFmtId="0" fontId="65" fillId="47" borderId="0" xfId="0" applyFont="1" applyFill="1" applyAlignment="1"/>
    <xf numFmtId="0" fontId="65" fillId="47" borderId="0" xfId="0" applyFont="1" applyFill="1" applyAlignment="1">
      <alignment horizontal="center"/>
    </xf>
    <xf numFmtId="0" fontId="0" fillId="49" borderId="2" xfId="0" applyFill="1" applyBorder="1" applyAlignment="1"/>
    <xf numFmtId="0" fontId="70" fillId="49" borderId="0" xfId="0" applyFont="1" applyFill="1" applyAlignment="1"/>
    <xf numFmtId="0" fontId="0" fillId="0" borderId="0" xfId="0" applyFill="1" applyAlignment="1"/>
    <xf numFmtId="0" fontId="64" fillId="0" borderId="0" xfId="0" applyFont="1" applyFill="1" applyAlignment="1"/>
    <xf numFmtId="0" fontId="65" fillId="47" borderId="2" xfId="0" applyFont="1" applyFill="1" applyBorder="1" applyAlignment="1">
      <alignment horizontal="center"/>
    </xf>
    <xf numFmtId="0" fontId="0" fillId="50" borderId="2" xfId="0" applyFill="1" applyBorder="1" applyAlignment="1"/>
    <xf numFmtId="0" fontId="0" fillId="51" borderId="2" xfId="0" applyFill="1" applyBorder="1" applyAlignment="1"/>
    <xf numFmtId="169" fontId="0" fillId="50" borderId="2" xfId="0" applyNumberFormat="1" applyFill="1" applyBorder="1" applyAlignment="1"/>
    <xf numFmtId="169" fontId="0" fillId="51" borderId="2" xfId="0" applyNumberFormat="1" applyFill="1" applyBorder="1" applyAlignment="1"/>
    <xf numFmtId="169" fontId="64" fillId="0" borderId="0" xfId="0" applyNumberFormat="1" applyFont="1" applyFill="1" applyAlignment="1"/>
    <xf numFmtId="0" fontId="18" fillId="0" borderId="2" xfId="0" applyFont="1" applyBorder="1" applyAlignment="1">
      <alignment horizontal="left" vertical="center"/>
    </xf>
    <xf numFmtId="0" fontId="0" fillId="0" borderId="10" xfId="0" applyBorder="1"/>
    <xf numFmtId="0" fontId="18" fillId="0" borderId="1" xfId="0" applyFont="1" applyBorder="1" applyAlignment="1">
      <alignment horizontal="left" vertical="center"/>
    </xf>
    <xf numFmtId="0" fontId="0" fillId="0" borderId="9" xfId="0" applyBorder="1"/>
    <xf numFmtId="0" fontId="5" fillId="5" borderId="0" xfId="0" applyFont="1" applyFill="1" applyAlignment="1">
      <alignment horizontal="center" vertical="center"/>
    </xf>
    <xf numFmtId="0" fontId="0" fillId="0" borderId="0" xfId="0" applyAlignment="1"/>
    <xf numFmtId="0" fontId="1" fillId="2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65" fillId="48" borderId="0" xfId="0" applyFont="1" applyFill="1" applyAlignment="1"/>
    <xf numFmtId="0" fontId="26" fillId="5" borderId="0" xfId="0" applyFont="1" applyFill="1" applyAlignment="1">
      <alignment horizontal="center" vertical="center"/>
    </xf>
    <xf numFmtId="0" fontId="43" fillId="17" borderId="2" xfId="0" applyFont="1" applyFill="1" applyBorder="1" applyAlignment="1">
      <alignment horizontal="center" vertical="center"/>
    </xf>
    <xf numFmtId="0" fontId="0" fillId="0" borderId="15" xfId="0" applyBorder="1"/>
    <xf numFmtId="0" fontId="13" fillId="18" borderId="2" xfId="0" applyFont="1" applyFill="1" applyBorder="1" applyAlignment="1">
      <alignment horizontal="left" vertical="center" wrapText="1"/>
    </xf>
    <xf numFmtId="0" fontId="16" fillId="17" borderId="5" xfId="0" applyFont="1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38" fillId="13" borderId="6" xfId="0" applyFont="1" applyFill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30" fillId="18" borderId="2" xfId="0" applyFont="1" applyFill="1" applyBorder="1" applyAlignment="1">
      <alignment horizontal="left" vertical="center" wrapText="1"/>
    </xf>
    <xf numFmtId="0" fontId="30" fillId="0" borderId="2" xfId="0" applyFont="1" applyBorder="1" applyAlignment="1">
      <alignment horizontal="left" vertical="center" wrapText="1"/>
    </xf>
    <xf numFmtId="0" fontId="19" fillId="18" borderId="2" xfId="0" applyFont="1" applyFill="1" applyBorder="1" applyAlignment="1">
      <alignment horizontal="left" vertical="center" wrapText="1"/>
    </xf>
    <xf numFmtId="0" fontId="13" fillId="0" borderId="2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/>
    </xf>
    <xf numFmtId="0" fontId="0" fillId="0" borderId="7" xfId="0" applyBorder="1"/>
    <xf numFmtId="0" fontId="71" fillId="52" borderId="0" xfId="0" applyFont="1" applyFill="1" applyAlignment="1">
      <alignment horizontal="center" vertical="center"/>
    </xf>
    <xf numFmtId="0" fontId="64" fillId="53" borderId="0" xfId="0" applyFont="1" applyFill="1" applyAlignment="1"/>
    <xf numFmtId="0" fontId="36" fillId="14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6" borderId="8" xfId="0" applyFont="1" applyFill="1" applyBorder="1" applyAlignment="1">
      <alignment horizontal="center" vertical="center"/>
    </xf>
    <xf numFmtId="0" fontId="0" fillId="0" borderId="20" xfId="0" applyBorder="1"/>
    <xf numFmtId="0" fontId="34" fillId="14" borderId="0" xfId="0" applyFont="1" applyFill="1" applyAlignment="1">
      <alignment horizontal="center" vertical="center"/>
    </xf>
    <xf numFmtId="0" fontId="17" fillId="38" borderId="4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17" fillId="2" borderId="4" xfId="0" applyFont="1" applyFill="1" applyBorder="1" applyAlignment="1">
      <alignment horizontal="center" vertical="center"/>
    </xf>
    <xf numFmtId="0" fontId="18" fillId="14" borderId="1" xfId="0" applyFont="1" applyFill="1" applyBorder="1" applyAlignment="1">
      <alignment horizontal="center" vertical="center"/>
    </xf>
    <xf numFmtId="0" fontId="48" fillId="35" borderId="0" xfId="0" applyFont="1" applyFill="1" applyAlignment="1">
      <alignment horizontal="center" vertical="center"/>
    </xf>
    <xf numFmtId="0" fontId="50" fillId="39" borderId="4" xfId="0" applyFont="1" applyFill="1" applyBorder="1" applyAlignment="1">
      <alignment horizontal="center" vertical="center" readingOrder="2"/>
    </xf>
    <xf numFmtId="0" fontId="51" fillId="15" borderId="4" xfId="0" applyFont="1" applyFill="1" applyBorder="1" applyAlignment="1">
      <alignment horizontal="center" vertical="center" readingOrder="2"/>
    </xf>
    <xf numFmtId="0" fontId="42" fillId="35" borderId="0" xfId="0" applyFont="1" applyFill="1" applyAlignment="1">
      <alignment horizontal="center" vertical="center"/>
    </xf>
    <xf numFmtId="0" fontId="2" fillId="36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7" fillId="35" borderId="4" xfId="0" applyFont="1" applyFill="1" applyBorder="1" applyAlignment="1">
      <alignment horizontal="center" vertical="center"/>
    </xf>
    <xf numFmtId="0" fontId="52" fillId="4" borderId="4" xfId="0" applyFont="1" applyFill="1" applyBorder="1" applyAlignment="1">
      <alignment horizontal="center" vertical="center" readingOrder="2"/>
    </xf>
    <xf numFmtId="0" fontId="17" fillId="37" borderId="4" xfId="0" applyFont="1" applyFill="1" applyBorder="1" applyAlignment="1">
      <alignment horizontal="center" vertical="center"/>
    </xf>
    <xf numFmtId="0" fontId="49" fillId="8" borderId="4" xfId="0" applyFont="1" applyFill="1" applyBorder="1" applyAlignment="1">
      <alignment horizontal="center" vertical="center" readingOrder="2"/>
    </xf>
    <xf numFmtId="0" fontId="26" fillId="37" borderId="0" xfId="0" applyFont="1" applyFill="1" applyAlignment="1">
      <alignment horizontal="center" vertical="center"/>
    </xf>
    <xf numFmtId="0" fontId="38" fillId="2" borderId="6" xfId="0" applyFont="1" applyFill="1" applyBorder="1" applyAlignment="1">
      <alignment horizontal="left" vertical="center"/>
    </xf>
    <xf numFmtId="0" fontId="53" fillId="0" borderId="0" xfId="0" applyFont="1" applyAlignment="1">
      <alignment horizontal="left" vertical="center"/>
    </xf>
    <xf numFmtId="0" fontId="7" fillId="18" borderId="6" xfId="0" applyFont="1" applyFill="1" applyBorder="1" applyAlignment="1">
      <alignment horizontal="center" vertical="center"/>
    </xf>
    <xf numFmtId="0" fontId="19" fillId="18" borderId="2" xfId="0" applyFont="1" applyFill="1" applyBorder="1" applyAlignment="1">
      <alignment horizontal="left" vertical="center"/>
    </xf>
    <xf numFmtId="0" fontId="55" fillId="0" borderId="7" xfId="0" applyFont="1" applyBorder="1" applyAlignment="1">
      <alignment horizontal="left" vertical="center" wrapText="1"/>
    </xf>
    <xf numFmtId="0" fontId="26" fillId="13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 wrapText="1"/>
    </xf>
    <xf numFmtId="0" fontId="42" fillId="2" borderId="0" xfId="0" applyFont="1" applyFill="1" applyAlignment="1">
      <alignment horizontal="center" vertical="center"/>
    </xf>
    <xf numFmtId="0" fontId="56" fillId="17" borderId="6" xfId="0" applyFont="1" applyFill="1" applyBorder="1" applyAlignment="1"/>
    <xf numFmtId="0" fontId="6" fillId="18" borderId="2" xfId="0" applyFont="1" applyFill="1" applyBorder="1" applyAlignment="1">
      <alignment horizontal="right" vertical="center"/>
    </xf>
    <xf numFmtId="14" fontId="8" fillId="17" borderId="6" xfId="0" applyNumberFormat="1" applyFont="1" applyFill="1" applyBorder="1" applyAlignment="1"/>
    <xf numFmtId="0" fontId="53" fillId="17" borderId="7" xfId="0" applyFont="1" applyFill="1" applyBorder="1" applyAlignment="1">
      <alignment horizontal="left" vertical="center"/>
    </xf>
    <xf numFmtId="0" fontId="44" fillId="17" borderId="5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57" fillId="17" borderId="5" xfId="0" applyFont="1" applyFill="1" applyBorder="1" applyAlignment="1">
      <alignment horizontal="center" vertical="center"/>
    </xf>
    <xf numFmtId="0" fontId="30" fillId="18" borderId="6" xfId="0" applyFont="1" applyFill="1" applyBorder="1" applyAlignment="1">
      <alignment horizontal="center" vertical="center" wrapText="1"/>
    </xf>
    <xf numFmtId="0" fontId="8" fillId="17" borderId="6" xfId="0" applyFont="1" applyFill="1" applyBorder="1" applyAlignment="1"/>
    <xf numFmtId="0" fontId="19" fillId="17" borderId="2" xfId="0" applyFont="1" applyFill="1" applyBorder="1" applyAlignment="1">
      <alignment horizontal="center" vertical="center"/>
    </xf>
    <xf numFmtId="0" fontId="6" fillId="17" borderId="6" xfId="0" applyFont="1" applyFill="1" applyBorder="1" applyAlignment="1">
      <alignment horizontal="center" vertical="center"/>
    </xf>
    <xf numFmtId="0" fontId="37" fillId="17" borderId="5" xfId="0" applyFont="1" applyFill="1" applyBorder="1" applyAlignment="1">
      <alignment horizontal="center" vertical="center"/>
    </xf>
    <xf numFmtId="0" fontId="0" fillId="17" borderId="6" xfId="0" applyFill="1" applyBorder="1" applyAlignment="1"/>
    <xf numFmtId="0" fontId="0" fillId="0" borderId="16" xfId="0" applyBorder="1"/>
    <xf numFmtId="0" fontId="0" fillId="0" borderId="17" xfId="0" applyBorder="1"/>
    <xf numFmtId="0" fontId="0" fillId="0" borderId="25" xfId="0" applyBorder="1"/>
    <xf numFmtId="0" fontId="0" fillId="0" borderId="26" xfId="0" applyBorder="1"/>
    <xf numFmtId="0" fontId="30" fillId="18" borderId="2" xfId="0" applyFont="1" applyFill="1" applyBorder="1" applyAlignment="1">
      <alignment horizontal="right" vertical="center"/>
    </xf>
    <xf numFmtId="0" fontId="58" fillId="15" borderId="2" xfId="0" applyFont="1" applyFill="1" applyBorder="1" applyAlignment="1">
      <alignment horizontal="right" vertical="center"/>
    </xf>
    <xf numFmtId="0" fontId="19" fillId="18" borderId="6" xfId="0" applyFont="1" applyFill="1" applyBorder="1" applyAlignment="1">
      <alignment horizontal="left" vertical="center" wrapText="1"/>
    </xf>
    <xf numFmtId="0" fontId="0" fillId="0" borderId="23" xfId="0" applyBorder="1"/>
    <xf numFmtId="0" fontId="0" fillId="0" borderId="24" xfId="0" applyBorder="1"/>
    <xf numFmtId="0" fontId="54" fillId="17" borderId="7" xfId="0" applyFont="1" applyFill="1" applyBorder="1" applyAlignment="1">
      <alignment horizontal="left" vertical="center"/>
    </xf>
    <xf numFmtId="0" fontId="0" fillId="0" borderId="2" xfId="0" applyBorder="1" applyAlignment="1"/>
    <xf numFmtId="0" fontId="48" fillId="5" borderId="0" xfId="0" applyFont="1" applyFill="1" applyAlignment="1">
      <alignment horizontal="center" vertical="center"/>
    </xf>
    <xf numFmtId="0" fontId="42" fillId="5" borderId="6" xfId="0" applyFont="1" applyFill="1" applyBorder="1" applyAlignment="1">
      <alignment horizontal="center" vertical="center"/>
    </xf>
    <xf numFmtId="0" fontId="42" fillId="5" borderId="4" xfId="0" applyFont="1" applyFill="1" applyBorder="1" applyAlignment="1">
      <alignment horizontal="center" vertical="center"/>
    </xf>
    <xf numFmtId="0" fontId="63" fillId="46" borderId="0" xfId="0" applyFont="1" applyFill="1" applyAlignment="1">
      <alignment horizontal="center" vertical="center"/>
    </xf>
    <xf numFmtId="0" fontId="46" fillId="45" borderId="0" xfId="0" applyFont="1" applyFill="1" applyAlignment="1">
      <alignment horizontal="center" vertical="center"/>
    </xf>
    <xf numFmtId="0" fontId="18" fillId="16" borderId="0" xfId="0" applyFont="1" applyFill="1" applyAlignment="1">
      <alignment horizontal="center" vertical="center" wrapText="1"/>
    </xf>
    <xf numFmtId="0" fontId="66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52B15"/>
      <rgbColor rgb="FFFFFEF0"/>
      <rgbColor rgb="FF37474F"/>
      <rgbColor rgb="FFFFF2CC"/>
      <rgbColor rgb="FF7B3F00"/>
      <rgbColor rgb="FFF5F5F5"/>
      <rgbColor rgb="FF8B0000"/>
      <rgbColor rgb="FF176B30"/>
      <rgbColor rgb="FF4A235A"/>
      <rgbColor rgb="FF806000"/>
      <rgbColor rgb="FF6A1B9A"/>
      <rgbColor rgb="FF0C4584"/>
      <rgbColor rgb="FFC8C8C8"/>
      <rgbColor rgb="FF888888"/>
      <rgbColor rgb="FFF5EEF8"/>
      <rgbColor rgb="FF6C3483"/>
      <rgbColor rgb="FFFFFACD"/>
      <rgbColor rgb="FFE3F2FD"/>
      <rgbColor rgb="FF4A148C"/>
      <rgbColor rgb="FFB45309"/>
      <rgbColor rgb="FF1661B4"/>
      <rgbColor rgb="FFFFD0D0"/>
      <rgbColor rgb="FF2F4858"/>
      <rgbColor rgb="FFFFFBF0"/>
      <rgbColor rgb="FFFFF3CD"/>
      <rgbColor rgb="FFF7F7F5"/>
      <rgbColor rgb="FF8B1A1A"/>
      <rgbColor rgb="FF7B1818"/>
      <rgbColor rgb="FF1C5B13"/>
      <rgbColor rgb="FF444444"/>
      <rgbColor rgb="FFFFEBEE"/>
      <rgbColor rgb="FFE6F1FB"/>
      <rgbColor rgb="FFD5F0C0"/>
      <rgbColor rgb="FFFFFF99"/>
      <rgbColor rgb="FFE8F5E9"/>
      <rgbColor rgb="FFFFE5B4"/>
      <rgbColor rgb="FFFCEBEB"/>
      <rgbColor rgb="FFFFE0B2"/>
      <rgbColor rgb="FF455A64"/>
      <rgbColor rgb="FF555555"/>
      <rgbColor rgb="FFEAF3DE"/>
      <rgbColor rgb="FFFAEEDA"/>
      <rgbColor rgb="FF7B5800"/>
      <rgbColor rgb="FFBA7517"/>
      <rgbColor rgb="FF546E7A"/>
      <rgbColor rgb="FF666666"/>
      <rgbColor rgb="FF0C3547"/>
      <rgbColor rgb="FF308334"/>
      <rgbColor rgb="FF1A1A1A"/>
      <rgbColor rgb="FF4E342E"/>
      <rgbColor rgb="FFA93226"/>
      <rgbColor rgb="FFA0522D"/>
      <rgbColor rgb="FF4527A0"/>
      <rgbColor rgb="FF2D3539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10</xdr:row>
      <xdr:rowOff>47626</xdr:rowOff>
    </xdr:from>
    <xdr:to>
      <xdr:col>7</xdr:col>
      <xdr:colOff>114301</xdr:colOff>
      <xdr:row>12</xdr:row>
      <xdr:rowOff>1</xdr:rowOff>
    </xdr:to>
    <xdr:sp macro="[0]!RefreshDashboard" textlink="">
      <xdr:nvSpPr>
        <xdr:cNvPr id="2" name="Rectangle 1">
          <a:extLst>
            <a:ext uri="{FF2B5EF4-FFF2-40B4-BE49-F238E27FC236}">
              <a16:creationId xmlns:a16="http://schemas.microsoft.com/office/drawing/2014/main" id="{86141031-E0A2-447E-A6B6-D7A98CF494F4}"/>
            </a:ext>
          </a:extLst>
        </xdr:cNvPr>
        <xdr:cNvSpPr/>
      </xdr:nvSpPr>
      <xdr:spPr>
        <a:xfrm>
          <a:off x="6334125" y="2028826"/>
          <a:ext cx="2105026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🔄 Actualiser le Tableau de Bord</a:t>
          </a:r>
          <a:endParaRPr lang="en-US" b="1">
            <a:effectLst/>
          </a:endParaRP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6B2E"/>
  </sheetPr>
  <dimension ref="A1:C29"/>
  <sheetViews>
    <sheetView zoomScaleNormal="100" workbookViewId="0">
      <selection activeCell="E15" sqref="E15"/>
    </sheetView>
  </sheetViews>
  <sheetFormatPr defaultColWidth="8.7109375" defaultRowHeight="15"/>
  <cols>
    <col min="1" max="1" width="28" style="1" customWidth="1"/>
    <col min="2" max="2" width="38" style="1" customWidth="1"/>
    <col min="3" max="3" width="24" style="1" customWidth="1"/>
  </cols>
  <sheetData>
    <row r="1" spans="1:3" ht="36" customHeight="1">
      <c r="A1" s="188" t="s">
        <v>0</v>
      </c>
      <c r="B1" s="187"/>
      <c r="C1" s="187"/>
    </row>
    <row r="2" spans="1:3" ht="15" customHeight="1">
      <c r="A2" s="190" t="s">
        <v>1</v>
      </c>
      <c r="B2" s="187"/>
      <c r="C2" s="187"/>
    </row>
    <row r="3" spans="1:3" ht="7.5" customHeight="1"/>
    <row r="4" spans="1:3" ht="15" customHeight="1">
      <c r="A4" s="2" t="s">
        <v>2</v>
      </c>
      <c r="B4" s="3" t="s">
        <v>3</v>
      </c>
    </row>
    <row r="5" spans="1:3" ht="15" customHeight="1">
      <c r="A5" s="2" t="s">
        <v>4</v>
      </c>
      <c r="B5" s="3" t="s">
        <v>5</v>
      </c>
    </row>
    <row r="6" spans="1:3" ht="15" customHeight="1">
      <c r="A6" s="2" t="s">
        <v>6</v>
      </c>
      <c r="B6" s="3" t="s">
        <v>7</v>
      </c>
    </row>
    <row r="7" spans="1:3" ht="15" customHeight="1">
      <c r="A7" s="2" t="s">
        <v>8</v>
      </c>
      <c r="B7" s="3" t="s">
        <v>9</v>
      </c>
    </row>
    <row r="8" spans="1:3" ht="15" customHeight="1">
      <c r="A8" s="2" t="s">
        <v>10</v>
      </c>
      <c r="B8" s="4" t="s">
        <v>11</v>
      </c>
    </row>
    <row r="9" spans="1:3" ht="15" customHeight="1">
      <c r="A9" s="2" t="s">
        <v>12</v>
      </c>
      <c r="B9" s="4" t="s">
        <v>13</v>
      </c>
    </row>
    <row r="10" spans="1:3" ht="7.5" customHeight="1"/>
    <row r="11" spans="1:3" ht="14.25" customHeight="1">
      <c r="A11" s="186" t="s">
        <v>14</v>
      </c>
      <c r="B11" s="187"/>
      <c r="C11" s="187"/>
    </row>
    <row r="12" spans="1:3" ht="15" customHeight="1">
      <c r="A12" s="5" t="s">
        <v>15</v>
      </c>
      <c r="B12" s="6">
        <f>IFERROR(SUMPRODUCT('TABLEAU DE BORD'!$F$4:$F$15,'TABLEAU DE BORD'!$H$4:$H$15),0)</f>
        <v>0</v>
      </c>
      <c r="C12" s="7" t="s">
        <v>16</v>
      </c>
    </row>
    <row r="13" spans="1:3" ht="15" customHeight="1">
      <c r="A13" s="8" t="s">
        <v>17</v>
      </c>
      <c r="B13" s="9">
        <f>COUNTIF('TABLEAU DE BORD'!$K$4:$K$15,"!! RUPTURE")</f>
        <v>1</v>
      </c>
      <c r="C13" s="10" t="s">
        <v>18</v>
      </c>
    </row>
    <row r="14" spans="1:3" ht="15" customHeight="1">
      <c r="A14" s="11" t="s">
        <v>19</v>
      </c>
      <c r="B14" s="12">
        <f>COUNTIF('TABLEAU DE BORD'!$K$4:$K$15,"&gt;&gt; COMMANDER")</f>
        <v>11</v>
      </c>
      <c r="C14" s="7" t="s">
        <v>20</v>
      </c>
    </row>
    <row r="15" spans="1:3" ht="15" customHeight="1">
      <c r="A15" s="13" t="s">
        <v>21</v>
      </c>
      <c r="B15" s="14">
        <f>COUNTIF('TABLEAU DE BORD'!$K$4:$K$15,"~ ALERTE")</f>
        <v>0</v>
      </c>
      <c r="C15" s="7" t="s">
        <v>22</v>
      </c>
    </row>
    <row r="17" spans="1:3" ht="21.75" customHeight="1">
      <c r="A17" s="189" t="s">
        <v>23</v>
      </c>
      <c r="B17" s="187"/>
      <c r="C17" s="187"/>
    </row>
    <row r="18" spans="1:3" ht="18" customHeight="1">
      <c r="A18" s="15" t="s">
        <v>24</v>
      </c>
      <c r="B18" s="184" t="s">
        <v>25</v>
      </c>
      <c r="C18" s="185"/>
    </row>
    <row r="19" spans="1:3" ht="18" customHeight="1">
      <c r="A19" s="15" t="s">
        <v>26</v>
      </c>
      <c r="B19" s="184" t="s">
        <v>27</v>
      </c>
      <c r="C19" s="185"/>
    </row>
    <row r="20" spans="1:3" ht="18" customHeight="1">
      <c r="A20" s="15" t="s">
        <v>28</v>
      </c>
      <c r="B20" s="184" t="s">
        <v>29</v>
      </c>
      <c r="C20" s="185"/>
    </row>
    <row r="21" spans="1:3" ht="18" customHeight="1">
      <c r="A21" s="15" t="s">
        <v>30</v>
      </c>
      <c r="B21" s="184" t="s">
        <v>31</v>
      </c>
      <c r="C21" s="185"/>
    </row>
    <row r="22" spans="1:3" ht="18" customHeight="1">
      <c r="A22" s="16" t="s">
        <v>32</v>
      </c>
      <c r="B22" s="182" t="s">
        <v>33</v>
      </c>
      <c r="C22" s="183"/>
    </row>
    <row r="23" spans="1:3" ht="18" customHeight="1">
      <c r="A23" s="16" t="s">
        <v>34</v>
      </c>
      <c r="B23" s="182" t="s">
        <v>35</v>
      </c>
      <c r="C23" s="183"/>
    </row>
    <row r="24" spans="1:3" ht="18" customHeight="1">
      <c r="A24" s="16" t="s">
        <v>36</v>
      </c>
      <c r="B24" s="182" t="s">
        <v>37</v>
      </c>
      <c r="C24" s="183"/>
    </row>
    <row r="26" spans="1:3" ht="15" customHeight="1">
      <c r="A26" s="17" t="s">
        <v>38</v>
      </c>
    </row>
    <row r="27" spans="1:3" ht="15" customHeight="1">
      <c r="A27" s="18" t="s">
        <v>39</v>
      </c>
      <c r="B27" s="19" t="s">
        <v>40</v>
      </c>
      <c r="C27" s="20" t="s">
        <v>41</v>
      </c>
    </row>
    <row r="28" spans="1:3" ht="12.6" customHeight="1">
      <c r="A28" s="18" t="s">
        <v>42</v>
      </c>
      <c r="B28" s="19" t="s">
        <v>43</v>
      </c>
      <c r="C28" s="20" t="s">
        <v>44</v>
      </c>
    </row>
    <row r="29" spans="1:3" ht="15" customHeight="1">
      <c r="A29" s="21" t="s">
        <v>45</v>
      </c>
    </row>
  </sheetData>
  <sheetProtection algorithmName="SHA-512" hashValue="2Au77C8VWRCWCBzWGIbPFmN17BYy3CAxwLExOIOS8LtxGcORQ4VftUWN2C4Dgc6zNqlYDUpXJtNBBLkAVGYwYQ==" saltValue="r99ITe06KdAZT0DkVeImyw==" spinCount="100000" sheet="1" objects="1" scenarios="1" autoFilter="0"/>
  <mergeCells count="11">
    <mergeCell ref="B24:C24"/>
    <mergeCell ref="B21:C21"/>
    <mergeCell ref="A11:C11"/>
    <mergeCell ref="A1:C1"/>
    <mergeCell ref="B19:C19"/>
    <mergeCell ref="B20:C20"/>
    <mergeCell ref="A17:C17"/>
    <mergeCell ref="B23:C23"/>
    <mergeCell ref="B22:C22"/>
    <mergeCell ref="B18:C18"/>
    <mergeCell ref="A2:C2"/>
  </mergeCell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7AE60"/>
  </sheetPr>
  <dimension ref="A1:M13"/>
  <sheetViews>
    <sheetView zoomScaleNormal="100" workbookViewId="0">
      <pane ySplit="1" topLeftCell="A2" activePane="bottomLeft" state="frozen"/>
      <selection pane="bottomLeft" activeCell="B6" sqref="B6"/>
    </sheetView>
  </sheetViews>
  <sheetFormatPr defaultColWidth="8.7109375" defaultRowHeight="15"/>
  <cols>
    <col min="1" max="1" width="12.7109375" style="1" customWidth="1"/>
    <col min="2" max="2" width="30.7109375" style="1" customWidth="1"/>
    <col min="3" max="3" width="12.7109375" style="1" customWidth="1"/>
    <col min="4" max="4" width="15.7109375" style="1" customWidth="1"/>
    <col min="5" max="5" width="18.7109375" style="1" customWidth="1"/>
    <col min="6" max="6" width="12.7109375" style="1" customWidth="1"/>
    <col min="7" max="7" width="11" style="1" customWidth="1"/>
    <col min="8" max="8" width="14" style="1" customWidth="1"/>
    <col min="9" max="9" width="22" style="1" customWidth="1"/>
    <col min="10" max="10" width="14" style="1" customWidth="1"/>
    <col min="11" max="12" width="26" style="1" customWidth="1"/>
    <col min="13" max="13" width="46" style="1" customWidth="1"/>
  </cols>
  <sheetData>
    <row r="1" spans="1:13" ht="27.75" customHeight="1">
      <c r="A1" s="191" t="s">
        <v>46</v>
      </c>
      <c r="B1" s="187"/>
      <c r="C1" s="187"/>
      <c r="D1" s="187"/>
      <c r="E1" s="187"/>
      <c r="F1" s="187"/>
      <c r="G1" s="192"/>
      <c r="H1" s="192"/>
      <c r="I1" s="187"/>
      <c r="J1" s="187"/>
      <c r="K1" s="187"/>
      <c r="L1" s="187"/>
      <c r="M1" s="187"/>
    </row>
    <row r="2" spans="1:13">
      <c r="A2" s="1" t="s">
        <v>52</v>
      </c>
      <c r="B2" s="1" t="s">
        <v>702</v>
      </c>
      <c r="C2" s="1">
        <v>500</v>
      </c>
      <c r="E2" s="1" t="s">
        <v>703</v>
      </c>
      <c r="F2" s="1" t="s">
        <v>53</v>
      </c>
      <c r="G2" s="1">
        <v>500</v>
      </c>
      <c r="H2" s="1">
        <v>4500</v>
      </c>
      <c r="I2" s="1" t="s">
        <v>81</v>
      </c>
      <c r="J2" s="1">
        <v>200</v>
      </c>
      <c r="K2" s="1" t="s">
        <v>704</v>
      </c>
    </row>
    <row r="3" spans="1:13">
      <c r="A3" s="1" t="s">
        <v>55</v>
      </c>
      <c r="B3" s="1" t="s">
        <v>705</v>
      </c>
      <c r="C3" s="1">
        <v>822</v>
      </c>
      <c r="E3" s="1" t="s">
        <v>119</v>
      </c>
      <c r="F3" s="1" t="s">
        <v>53</v>
      </c>
      <c r="G3" s="1">
        <v>822</v>
      </c>
      <c r="H3" s="1">
        <v>850</v>
      </c>
      <c r="I3" s="1" t="s">
        <v>82</v>
      </c>
      <c r="J3" s="1">
        <v>100</v>
      </c>
      <c r="K3" s="1" t="s">
        <v>706</v>
      </c>
    </row>
    <row r="4" spans="1:13">
      <c r="A4" s="1" t="s">
        <v>58</v>
      </c>
      <c r="B4" s="1" t="s">
        <v>707</v>
      </c>
      <c r="C4" s="1">
        <v>433</v>
      </c>
      <c r="E4" s="1" t="s">
        <v>119</v>
      </c>
      <c r="F4" s="1" t="s">
        <v>56</v>
      </c>
      <c r="G4" s="1">
        <v>433</v>
      </c>
      <c r="H4" s="1">
        <v>1200</v>
      </c>
      <c r="I4" s="1" t="s">
        <v>82</v>
      </c>
      <c r="J4" s="1">
        <v>80</v>
      </c>
      <c r="K4" s="1" t="s">
        <v>708</v>
      </c>
    </row>
    <row r="5" spans="1:13">
      <c r="A5" s="1" t="s">
        <v>59</v>
      </c>
      <c r="B5" s="1" t="s">
        <v>709</v>
      </c>
      <c r="C5" s="1">
        <v>333</v>
      </c>
      <c r="E5" s="1" t="s">
        <v>710</v>
      </c>
      <c r="F5" s="1" t="s">
        <v>56</v>
      </c>
      <c r="G5" s="1">
        <v>333</v>
      </c>
      <c r="H5" s="1">
        <v>350</v>
      </c>
      <c r="I5" s="1" t="s">
        <v>83</v>
      </c>
      <c r="J5" s="1">
        <v>50</v>
      </c>
      <c r="K5" s="1" t="s">
        <v>711</v>
      </c>
    </row>
    <row r="6" spans="1:13">
      <c r="A6" s="1" t="s">
        <v>61</v>
      </c>
      <c r="B6" s="1" t="s">
        <v>62</v>
      </c>
      <c r="C6" s="1">
        <v>170</v>
      </c>
      <c r="E6" s="1" t="s">
        <v>119</v>
      </c>
      <c r="F6" s="1" t="s">
        <v>712</v>
      </c>
      <c r="G6" s="1">
        <v>170</v>
      </c>
      <c r="H6" s="1">
        <v>280</v>
      </c>
      <c r="I6" s="1" t="s">
        <v>83</v>
      </c>
      <c r="J6" s="1">
        <v>30</v>
      </c>
      <c r="K6" s="1" t="s">
        <v>713</v>
      </c>
    </row>
    <row r="7" spans="1:13">
      <c r="A7" s="1" t="s">
        <v>63</v>
      </c>
      <c r="B7" s="1" t="s">
        <v>714</v>
      </c>
      <c r="C7" s="1">
        <v>498</v>
      </c>
      <c r="E7" s="1" t="s">
        <v>119</v>
      </c>
      <c r="F7" s="1" t="s">
        <v>56</v>
      </c>
      <c r="G7" s="1">
        <v>498</v>
      </c>
      <c r="H7" s="1">
        <v>420</v>
      </c>
      <c r="I7" s="1" t="s">
        <v>82</v>
      </c>
      <c r="J7" s="1">
        <v>60</v>
      </c>
      <c r="K7" s="1" t="s">
        <v>715</v>
      </c>
    </row>
    <row r="8" spans="1:13">
      <c r="A8" s="1" t="s">
        <v>64</v>
      </c>
      <c r="B8" s="1" t="s">
        <v>65</v>
      </c>
      <c r="C8" s="1">
        <v>176</v>
      </c>
      <c r="E8" s="1" t="s">
        <v>710</v>
      </c>
      <c r="F8" s="1" t="s">
        <v>712</v>
      </c>
      <c r="G8" s="1">
        <v>176</v>
      </c>
      <c r="H8" s="1">
        <v>680</v>
      </c>
      <c r="I8" s="1" t="s">
        <v>83</v>
      </c>
      <c r="J8" s="1">
        <v>40</v>
      </c>
      <c r="K8" s="1" t="s">
        <v>716</v>
      </c>
    </row>
    <row r="9" spans="1:13">
      <c r="A9" s="1" t="s">
        <v>66</v>
      </c>
      <c r="B9" s="1" t="s">
        <v>717</v>
      </c>
      <c r="C9" s="1">
        <v>68</v>
      </c>
      <c r="E9" s="1" t="s">
        <v>119</v>
      </c>
      <c r="F9" s="1" t="s">
        <v>712</v>
      </c>
      <c r="G9" s="1">
        <v>68</v>
      </c>
      <c r="H9" s="1">
        <v>180</v>
      </c>
      <c r="I9" s="1" t="s">
        <v>81</v>
      </c>
      <c r="J9" s="1">
        <v>20</v>
      </c>
      <c r="K9" s="1" t="s">
        <v>718</v>
      </c>
    </row>
    <row r="10" spans="1:13">
      <c r="A10" s="1" t="s">
        <v>67</v>
      </c>
      <c r="B10" s="1" t="s">
        <v>719</v>
      </c>
      <c r="C10" s="1">
        <v>543</v>
      </c>
      <c r="E10" s="1" t="s">
        <v>119</v>
      </c>
      <c r="F10" s="1" t="s">
        <v>56</v>
      </c>
      <c r="G10" s="1">
        <v>543</v>
      </c>
      <c r="H10" s="1">
        <v>95</v>
      </c>
      <c r="I10" s="1" t="s">
        <v>82</v>
      </c>
      <c r="J10" s="1">
        <v>70</v>
      </c>
      <c r="K10" s="1" t="s">
        <v>720</v>
      </c>
    </row>
    <row r="11" spans="1:13">
      <c r="A11" s="1" t="s">
        <v>68</v>
      </c>
      <c r="B11" s="1" t="s">
        <v>721</v>
      </c>
      <c r="C11" s="1">
        <v>400</v>
      </c>
      <c r="E11" s="1" t="s">
        <v>119</v>
      </c>
      <c r="F11" s="1" t="s">
        <v>56</v>
      </c>
      <c r="G11" s="1">
        <v>400</v>
      </c>
      <c r="H11" s="1">
        <v>120</v>
      </c>
      <c r="I11" s="1" t="s">
        <v>82</v>
      </c>
      <c r="J11" s="1">
        <v>50</v>
      </c>
      <c r="K11" s="1" t="s">
        <v>722</v>
      </c>
    </row>
    <row r="12" spans="1:13">
      <c r="A12" s="1" t="s">
        <v>69</v>
      </c>
      <c r="B12" s="1" t="s">
        <v>723</v>
      </c>
      <c r="C12" s="1">
        <v>25</v>
      </c>
      <c r="E12" s="1" t="s">
        <v>703</v>
      </c>
      <c r="F12" s="1" t="s">
        <v>712</v>
      </c>
      <c r="G12" s="1">
        <v>25</v>
      </c>
      <c r="H12" s="1">
        <v>550</v>
      </c>
      <c r="I12" s="1" t="s">
        <v>81</v>
      </c>
      <c r="J12" s="1">
        <v>15</v>
      </c>
      <c r="K12" s="1" t="s">
        <v>724</v>
      </c>
    </row>
    <row r="13" spans="1:13">
      <c r="A13" s="1" t="s">
        <v>70</v>
      </c>
      <c r="B13" s="1" t="s">
        <v>725</v>
      </c>
      <c r="C13" s="1">
        <v>265</v>
      </c>
      <c r="E13" s="1" t="s">
        <v>119</v>
      </c>
      <c r="F13" s="1" t="s">
        <v>712</v>
      </c>
      <c r="G13" s="1">
        <v>265</v>
      </c>
      <c r="H13" s="1">
        <v>230</v>
      </c>
      <c r="I13" s="1" t="s">
        <v>83</v>
      </c>
      <c r="J13" s="1">
        <v>40</v>
      </c>
      <c r="K13" s="1" t="s">
        <v>726</v>
      </c>
    </row>
  </sheetData>
  <sheetProtection algorithmName="SHA-512" hashValue="kIXBh4esKnPe7fujdZ86cMyhbNw71sWbAqRguP0dkE8PyxsvTKW6VwSgoQnNG0xkN/7P5pSUse1OBKL6I4w23w==" saltValue="x/99jtXIs/MUqNzde/F0iA==" spinCount="100000" sheet="1" objects="1" scenarios="1" autoFilter="0"/>
  <mergeCells count="1">
    <mergeCell ref="A1:M1"/>
  </mergeCells>
  <pageMargins left="0.75" right="0.75" top="1" bottom="1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his location doesn't exist. Please add it to the system first." promptTitle="Select Location" prompt="Please pick a valid warehouse zone from the list." xr:uid="{3A4D37FD-FF30-43A8-9B7D-0EF9AAB5EA74}">
          <x14:formula1>
            <xm:f>System_Lists!$A$1:$A$11</xm:f>
          </x14:formula1>
          <xm:sqref>H2:H985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44CEA-6727-4B5D-8C0C-76B11490B753}">
  <sheetPr codeName="Sheet24"/>
  <dimension ref="A1:A11"/>
  <sheetViews>
    <sheetView workbookViewId="0"/>
  </sheetViews>
  <sheetFormatPr defaultRowHeight="15"/>
  <sheetData>
    <row r="1" spans="1:1" ht="24.75" thickBot="1">
      <c r="A1" s="22" t="s">
        <v>50</v>
      </c>
    </row>
    <row r="2" spans="1:1">
      <c r="A2" s="23">
        <v>400</v>
      </c>
    </row>
    <row r="3" spans="1:1">
      <c r="A3" s="24">
        <v>3000</v>
      </c>
    </row>
    <row r="4" spans="1:1">
      <c r="A4" s="24">
        <v>600</v>
      </c>
    </row>
    <row r="5" spans="1:1">
      <c r="A5" s="25">
        <v>150</v>
      </c>
    </row>
    <row r="6" spans="1:1">
      <c r="A6" s="25">
        <v>800</v>
      </c>
    </row>
    <row r="7" spans="1:1">
      <c r="A7" s="25">
        <v>30</v>
      </c>
    </row>
    <row r="8" spans="1:1">
      <c r="A8" s="25">
        <v>300</v>
      </c>
    </row>
    <row r="9" spans="1:1">
      <c r="A9" s="25">
        <v>200</v>
      </c>
    </row>
    <row r="10" spans="1:1">
      <c r="A10" s="25">
        <v>50</v>
      </c>
    </row>
    <row r="11" spans="1:1">
      <c r="A11" s="25">
        <v>80</v>
      </c>
    </row>
  </sheetData>
  <sheetProtection algorithmName="SHA-512" hashValue="hBLSzQ2gWJcysXyDYEvuOXX1ieZbOFVSP0qL0UJO+jPCJ8kw40lR2YltUQbeiBAT9+orVqrmnjK02oFAVQ6D1Q==" saltValue="PR3oBEW2TUznxENiI+EcCw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88E3C"/>
  </sheetPr>
  <dimension ref="A1:I5"/>
  <sheetViews>
    <sheetView zoomScaleNormal="100" workbookViewId="0">
      <selection sqref="A1:I5"/>
    </sheetView>
  </sheetViews>
  <sheetFormatPr defaultColWidth="8.7109375" defaultRowHeight="15"/>
  <cols>
    <col min="1" max="1" width="9" style="1" customWidth="1"/>
    <col min="2" max="2" width="18" style="1" customWidth="1"/>
    <col min="3" max="3" width="40" style="1" customWidth="1"/>
    <col min="4" max="4" width="11" style="1" customWidth="1"/>
    <col min="5" max="5" width="16" style="1" customWidth="1"/>
    <col min="6" max="6" width="8" style="1" customWidth="1"/>
    <col min="7" max="8" width="9" style="1" customWidth="1"/>
    <col min="9" max="9" width="32" style="1" customWidth="1"/>
  </cols>
  <sheetData>
    <row r="1" spans="1:9" ht="27.75" customHeight="1">
      <c r="A1" s="193" t="s">
        <v>71</v>
      </c>
      <c r="B1" s="187"/>
      <c r="C1" s="187"/>
      <c r="D1" s="187"/>
      <c r="E1" s="187"/>
      <c r="F1" s="187"/>
      <c r="G1" s="187"/>
      <c r="H1" s="187"/>
      <c r="I1" s="187"/>
    </row>
    <row r="2" spans="1:9" ht="19.5" customHeight="1">
      <c r="A2" s="26" t="s">
        <v>72</v>
      </c>
      <c r="B2" s="26" t="s">
        <v>73</v>
      </c>
      <c r="C2" s="26" t="s">
        <v>74</v>
      </c>
      <c r="D2" s="26" t="s">
        <v>75</v>
      </c>
      <c r="E2" s="26" t="s">
        <v>76</v>
      </c>
      <c r="F2" s="26" t="s">
        <v>77</v>
      </c>
      <c r="G2" s="26" t="s">
        <v>78</v>
      </c>
      <c r="H2" s="26" t="s">
        <v>79</v>
      </c>
      <c r="I2" s="26" t="s">
        <v>80</v>
      </c>
    </row>
    <row r="3" spans="1:9">
      <c r="A3" s="1" t="s">
        <v>81</v>
      </c>
      <c r="B3" s="1" t="s">
        <v>54</v>
      </c>
      <c r="C3" s="1" t="s">
        <v>727</v>
      </c>
      <c r="D3" s="1" t="s">
        <v>728</v>
      </c>
      <c r="E3" s="1">
        <v>123456789012</v>
      </c>
      <c r="F3" s="1">
        <v>12345678901</v>
      </c>
      <c r="G3" s="1" t="s">
        <v>729</v>
      </c>
      <c r="H3" s="1" t="s">
        <v>730</v>
      </c>
    </row>
    <row r="4" spans="1:9">
      <c r="A4" s="1" t="s">
        <v>82</v>
      </c>
      <c r="B4" s="1" t="s">
        <v>57</v>
      </c>
      <c r="C4" s="1" t="s">
        <v>731</v>
      </c>
      <c r="D4" s="1" t="s">
        <v>732</v>
      </c>
      <c r="E4" s="1">
        <v>987654321098</v>
      </c>
      <c r="F4" s="1">
        <v>98765432109</v>
      </c>
      <c r="G4" s="1" t="s">
        <v>733</v>
      </c>
      <c r="H4" s="1" t="s">
        <v>734</v>
      </c>
    </row>
    <row r="5" spans="1:9">
      <c r="A5" s="1" t="s">
        <v>83</v>
      </c>
      <c r="B5" s="1" t="s">
        <v>60</v>
      </c>
      <c r="C5" s="1" t="s">
        <v>735</v>
      </c>
      <c r="D5" s="1" t="s">
        <v>736</v>
      </c>
      <c r="E5" s="1">
        <v>456789123456</v>
      </c>
      <c r="F5" s="1">
        <v>45678912345</v>
      </c>
      <c r="G5" s="1" t="s">
        <v>737</v>
      </c>
      <c r="H5" s="1" t="s">
        <v>738</v>
      </c>
    </row>
  </sheetData>
  <sheetProtection algorithmName="SHA-512" hashValue="GjZiJGKoBdHFA6G3YEk8YwZJRIq8ZYo6LBA57N6x89hgcJjMURkeZ+wfEtYFGhqH61oG+7F8Q8xSbriIR0mu8g==" saltValue="fnKvJspbo+7Qju6q0CsIWw==" spinCount="100000" sheet="1" objects="1" scenarios="1" autoFilter="0"/>
  <mergeCells count="1">
    <mergeCell ref="A1:I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55A64"/>
  </sheetPr>
  <dimension ref="A1:H32"/>
  <sheetViews>
    <sheetView zoomScaleNormal="100" zoomScaleSheetLayoutView="80" workbookViewId="0">
      <selection sqref="A1:H38"/>
    </sheetView>
  </sheetViews>
  <sheetFormatPr defaultColWidth="8.7109375" defaultRowHeight="15"/>
  <cols>
    <col min="1" max="1" width="4" style="1" customWidth="1"/>
    <col min="2" max="2" width="26" style="1" customWidth="1"/>
    <col min="3" max="3" width="32" style="1" customWidth="1"/>
    <col min="4" max="4" width="20" style="1" customWidth="1"/>
    <col min="5" max="5" width="44" style="1" customWidth="1"/>
  </cols>
  <sheetData>
    <row r="1" spans="1:5" ht="27.75" customHeight="1">
      <c r="A1" s="197" t="s">
        <v>84</v>
      </c>
      <c r="B1" s="198"/>
      <c r="C1" s="198"/>
      <c r="D1" s="198"/>
      <c r="E1" s="199"/>
    </row>
    <row r="2" spans="1:5" ht="27.75" customHeight="1">
      <c r="A2" s="205" t="s">
        <v>85</v>
      </c>
      <c r="B2" s="195"/>
      <c r="C2" s="195"/>
      <c r="D2" s="195"/>
      <c r="E2" s="183"/>
    </row>
    <row r="3" spans="1:5" ht="24" customHeight="1">
      <c r="A3" s="200" t="s">
        <v>86</v>
      </c>
      <c r="B3" s="201"/>
      <c r="C3" s="201"/>
      <c r="D3" s="201"/>
      <c r="E3" s="202"/>
    </row>
    <row r="4" spans="1:5" ht="19.5" customHeight="1">
      <c r="A4" s="207" t="s">
        <v>87</v>
      </c>
      <c r="B4" s="208"/>
      <c r="C4" s="208"/>
      <c r="D4" s="208"/>
      <c r="E4" s="208"/>
    </row>
    <row r="5" spans="1:5" ht="25.5" customHeight="1">
      <c r="A5" s="29" t="s">
        <v>88</v>
      </c>
      <c r="B5" s="30" t="s">
        <v>89</v>
      </c>
      <c r="C5" s="31" t="s">
        <v>90</v>
      </c>
      <c r="D5" s="32" t="s">
        <v>91</v>
      </c>
      <c r="E5" s="33" t="s">
        <v>92</v>
      </c>
    </row>
    <row r="6" spans="1:5" ht="25.5" customHeight="1">
      <c r="A6" s="34" t="s">
        <v>93</v>
      </c>
      <c r="B6" s="35" t="s">
        <v>94</v>
      </c>
      <c r="C6" s="36" t="s">
        <v>95</v>
      </c>
      <c r="D6" s="32" t="s">
        <v>91</v>
      </c>
      <c r="E6" s="37" t="s">
        <v>96</v>
      </c>
    </row>
    <row r="7" spans="1:5" ht="25.5" customHeight="1">
      <c r="A7" s="29" t="s">
        <v>97</v>
      </c>
      <c r="B7" s="30" t="s">
        <v>98</v>
      </c>
      <c r="C7" s="31" t="s">
        <v>99</v>
      </c>
      <c r="D7" s="32" t="s">
        <v>91</v>
      </c>
      <c r="E7" s="33" t="s">
        <v>100</v>
      </c>
    </row>
    <row r="8" spans="1:5" ht="25.5" customHeight="1">
      <c r="A8" s="34" t="s">
        <v>101</v>
      </c>
      <c r="B8" s="35" t="s">
        <v>102</v>
      </c>
      <c r="C8" s="36" t="s">
        <v>103</v>
      </c>
      <c r="D8" s="32" t="s">
        <v>91</v>
      </c>
      <c r="E8" s="37" t="s">
        <v>104</v>
      </c>
    </row>
    <row r="9" spans="1:5" ht="25.5" customHeight="1">
      <c r="A9" s="29" t="s">
        <v>105</v>
      </c>
      <c r="B9" s="30" t="s">
        <v>106</v>
      </c>
      <c r="C9" s="31" t="s">
        <v>107</v>
      </c>
      <c r="D9" s="32" t="s">
        <v>91</v>
      </c>
      <c r="E9" s="33" t="s">
        <v>108</v>
      </c>
    </row>
    <row r="11" spans="1:5" ht="24" customHeight="1">
      <c r="A11" s="200" t="s">
        <v>109</v>
      </c>
      <c r="B11" s="201"/>
      <c r="C11" s="201"/>
      <c r="D11" s="201"/>
      <c r="E11" s="202"/>
    </row>
    <row r="12" spans="1:5" ht="25.5" customHeight="1">
      <c r="A12" s="34" t="s">
        <v>110</v>
      </c>
      <c r="B12" s="35" t="s">
        <v>111</v>
      </c>
      <c r="C12" s="36" t="s">
        <v>52</v>
      </c>
      <c r="D12" s="32" t="s">
        <v>91</v>
      </c>
      <c r="E12" s="37" t="s">
        <v>112</v>
      </c>
    </row>
    <row r="13" spans="1:5" ht="25.5" customHeight="1">
      <c r="A13" s="29" t="s">
        <v>113</v>
      </c>
      <c r="B13" s="30" t="s">
        <v>114</v>
      </c>
      <c r="C13" s="31" t="s">
        <v>114</v>
      </c>
      <c r="D13" s="32" t="s">
        <v>91</v>
      </c>
      <c r="E13" s="33" t="s">
        <v>115</v>
      </c>
    </row>
    <row r="15" spans="1:5" ht="24" customHeight="1">
      <c r="A15" s="200" t="s">
        <v>116</v>
      </c>
      <c r="B15" s="201"/>
      <c r="C15" s="201"/>
      <c r="D15" s="201"/>
      <c r="E15" s="202"/>
    </row>
    <row r="16" spans="1:5" ht="21.75" customHeight="1">
      <c r="A16" s="38" t="s">
        <v>117</v>
      </c>
      <c r="B16" s="39" t="s">
        <v>118</v>
      </c>
      <c r="C16" s="40" t="s">
        <v>119</v>
      </c>
      <c r="D16" s="41" t="s">
        <v>120</v>
      </c>
      <c r="E16" s="33" t="s">
        <v>121</v>
      </c>
    </row>
    <row r="17" spans="1:8" ht="21.75" customHeight="1">
      <c r="A17" s="42" t="s">
        <v>122</v>
      </c>
      <c r="B17" s="43" t="s">
        <v>123</v>
      </c>
      <c r="C17" s="44" t="s">
        <v>124</v>
      </c>
      <c r="D17" s="45" t="s">
        <v>125</v>
      </c>
      <c r="E17" s="37" t="s">
        <v>126</v>
      </c>
    </row>
    <row r="18" spans="1:8" ht="21.75" customHeight="1">
      <c r="A18" s="38" t="s">
        <v>127</v>
      </c>
      <c r="B18" s="39" t="s">
        <v>128</v>
      </c>
      <c r="C18" s="40" t="s">
        <v>129</v>
      </c>
      <c r="D18" s="41" t="s">
        <v>130</v>
      </c>
      <c r="E18" s="33" t="s">
        <v>131</v>
      </c>
    </row>
    <row r="19" spans="1:8" ht="21.75" customHeight="1">
      <c r="A19" s="42" t="s">
        <v>132</v>
      </c>
      <c r="B19" s="43" t="s">
        <v>133</v>
      </c>
      <c r="C19" s="44" t="s">
        <v>134</v>
      </c>
      <c r="D19" s="45" t="s">
        <v>135</v>
      </c>
      <c r="E19" s="37" t="s">
        <v>136</v>
      </c>
    </row>
    <row r="20" spans="1:8" ht="21.75" customHeight="1">
      <c r="A20" s="38" t="s">
        <v>137</v>
      </c>
      <c r="B20" s="39" t="s">
        <v>138</v>
      </c>
      <c r="C20" s="40" t="s">
        <v>139</v>
      </c>
      <c r="D20" s="41" t="s">
        <v>140</v>
      </c>
      <c r="E20" s="33" t="s">
        <v>141</v>
      </c>
    </row>
    <row r="21" spans="1:8" ht="21.75" customHeight="1">
      <c r="A21" s="42" t="s">
        <v>142</v>
      </c>
      <c r="B21" s="43" t="s">
        <v>143</v>
      </c>
      <c r="C21" s="44" t="s">
        <v>144</v>
      </c>
      <c r="D21" s="45" t="s">
        <v>145</v>
      </c>
      <c r="E21" s="37" t="s">
        <v>146</v>
      </c>
    </row>
    <row r="23" spans="1:8" ht="24" customHeight="1">
      <c r="A23" s="200" t="s">
        <v>147</v>
      </c>
      <c r="B23" s="201"/>
      <c r="C23" s="201"/>
      <c r="D23" s="201"/>
      <c r="E23" s="202"/>
    </row>
    <row r="24" spans="1:8" ht="27.75" customHeight="1">
      <c r="A24" s="29" t="s">
        <v>148</v>
      </c>
      <c r="B24" s="203" t="s">
        <v>149</v>
      </c>
      <c r="C24" s="183"/>
      <c r="D24" s="196" t="s">
        <v>150</v>
      </c>
      <c r="E24" s="183"/>
    </row>
    <row r="25" spans="1:8" ht="27.75" customHeight="1">
      <c r="A25" s="34" t="s">
        <v>148</v>
      </c>
      <c r="B25" s="204" t="s">
        <v>151</v>
      </c>
      <c r="C25" s="183"/>
      <c r="D25" s="206" t="s">
        <v>152</v>
      </c>
      <c r="E25" s="183"/>
    </row>
    <row r="26" spans="1:8" ht="27.75" customHeight="1">
      <c r="A26" s="29" t="s">
        <v>148</v>
      </c>
      <c r="B26" s="203" t="s">
        <v>153</v>
      </c>
      <c r="C26" s="183"/>
      <c r="D26" s="196" t="s">
        <v>154</v>
      </c>
      <c r="E26" s="183"/>
    </row>
    <row r="27" spans="1:8" ht="27.75" customHeight="1">
      <c r="A27" s="34" t="s">
        <v>148</v>
      </c>
      <c r="B27" s="204" t="s">
        <v>155</v>
      </c>
      <c r="C27" s="183"/>
      <c r="D27" s="206" t="s">
        <v>156</v>
      </c>
      <c r="E27" s="183"/>
    </row>
    <row r="30" spans="1:8" ht="13.5" customHeight="1">
      <c r="A30" s="194" t="s">
        <v>157</v>
      </c>
      <c r="B30" s="195"/>
      <c r="C30" s="195"/>
      <c r="D30" s="195"/>
      <c r="E30" s="195"/>
      <c r="F30" s="195"/>
      <c r="G30" s="195"/>
      <c r="H30" s="183"/>
    </row>
    <row r="32" spans="1:8" ht="15" customHeight="1">
      <c r="A32" s="46" t="s">
        <v>158</v>
      </c>
    </row>
  </sheetData>
  <sheetProtection algorithmName="SHA-512" hashValue="jISvpG3WrYPE9diR0lpRCDsTXIQZmN9tlKp1qAHo1ukrum1nA3v3G2o8rZGtcJNZcMDUVimPBvVxNS+OKQUQMQ==" saltValue="xSptAgxwmVJzEsrqi9ogwA==" spinCount="100000" sheet="1" objects="1" scenarios="1" autoFilter="0"/>
  <mergeCells count="16">
    <mergeCell ref="A30:H30"/>
    <mergeCell ref="D24:E24"/>
    <mergeCell ref="A1:E1"/>
    <mergeCell ref="A23:E23"/>
    <mergeCell ref="B26:C26"/>
    <mergeCell ref="B27:C27"/>
    <mergeCell ref="D26:E26"/>
    <mergeCell ref="A3:E3"/>
    <mergeCell ref="A2:E2"/>
    <mergeCell ref="B25:C25"/>
    <mergeCell ref="A15:E15"/>
    <mergeCell ref="D27:E27"/>
    <mergeCell ref="A11:E11"/>
    <mergeCell ref="D25:E25"/>
    <mergeCell ref="B24:C24"/>
    <mergeCell ref="A4:E4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3498DB"/>
  </sheetPr>
  <dimension ref="A1:M63"/>
  <sheetViews>
    <sheetView showRowColHeaders="0" zoomScale="90" zoomScaleNormal="90" zoomScaleSheetLayoutView="100" workbookViewId="0">
      <pane ySplit="2" topLeftCell="A15" activePane="bottomLeft" state="frozen"/>
      <selection pane="bottomLeft" sqref="A1:M32"/>
    </sheetView>
  </sheetViews>
  <sheetFormatPr defaultColWidth="8.7109375" defaultRowHeight="15"/>
  <cols>
    <col min="1" max="1" width="12" style="1" customWidth="1"/>
    <col min="2" max="2" width="11" style="1" customWidth="1"/>
    <col min="3" max="3" width="28" style="1" customWidth="1"/>
    <col min="4" max="4" width="9" style="1" customWidth="1"/>
    <col min="5" max="5" width="10" style="1" customWidth="1"/>
    <col min="6" max="7" width="14" style="1" customWidth="1"/>
    <col min="8" max="9" width="11" style="1" customWidth="1"/>
    <col min="10" max="10" width="12" style="1" customWidth="1"/>
    <col min="11" max="12" width="14" style="1" customWidth="1"/>
    <col min="13" max="13" width="28" style="1" customWidth="1"/>
  </cols>
  <sheetData>
    <row r="1" spans="1:13" ht="27.75" customHeight="1">
      <c r="A1" s="209" t="s">
        <v>576</v>
      </c>
      <c r="B1" s="210"/>
      <c r="C1" s="210"/>
      <c r="D1" s="210"/>
      <c r="E1" s="210"/>
      <c r="F1" s="210"/>
      <c r="G1" s="210"/>
      <c r="H1" s="210"/>
      <c r="I1" s="210"/>
      <c r="J1" s="210"/>
      <c r="K1" s="187"/>
      <c r="L1" s="187"/>
      <c r="M1" s="187"/>
    </row>
    <row r="2" spans="1:13" ht="48" customHeight="1">
      <c r="A2" s="47" t="s">
        <v>159</v>
      </c>
      <c r="B2" s="48" t="s">
        <v>47</v>
      </c>
      <c r="C2" s="49" t="s">
        <v>160</v>
      </c>
      <c r="D2" s="50" t="s">
        <v>161</v>
      </c>
      <c r="E2" s="51" t="s">
        <v>162</v>
      </c>
      <c r="F2" s="47" t="s">
        <v>163</v>
      </c>
      <c r="G2" s="47" t="s">
        <v>164</v>
      </c>
      <c r="H2" s="52" t="s">
        <v>165</v>
      </c>
      <c r="I2" s="53" t="s">
        <v>166</v>
      </c>
      <c r="J2" s="54" t="s">
        <v>167</v>
      </c>
      <c r="K2" s="55" t="s">
        <v>168</v>
      </c>
      <c r="L2" s="48" t="s">
        <v>169</v>
      </c>
      <c r="M2" s="56" t="s">
        <v>170</v>
      </c>
    </row>
    <row r="3" spans="1:13">
      <c r="A3" s="160">
        <v>46083</v>
      </c>
      <c r="B3" s="1" t="s">
        <v>55</v>
      </c>
      <c r="D3" s="1" t="s">
        <v>172</v>
      </c>
      <c r="E3" s="1">
        <v>30</v>
      </c>
      <c r="F3" s="1">
        <v>25500</v>
      </c>
      <c r="G3" s="1" t="s">
        <v>750</v>
      </c>
      <c r="H3" s="1">
        <v>850</v>
      </c>
      <c r="I3" s="1" t="s">
        <v>751</v>
      </c>
    </row>
    <row r="4" spans="1:13">
      <c r="A4" s="160">
        <v>46084</v>
      </c>
      <c r="B4" s="1" t="s">
        <v>52</v>
      </c>
      <c r="D4" s="1" t="s">
        <v>172</v>
      </c>
      <c r="E4" s="1">
        <v>15</v>
      </c>
      <c r="F4" s="1">
        <v>67500</v>
      </c>
      <c r="G4" s="1" t="s">
        <v>739</v>
      </c>
      <c r="H4" s="1">
        <v>4500</v>
      </c>
      <c r="I4" s="1" t="s">
        <v>740</v>
      </c>
    </row>
    <row r="5" spans="1:13">
      <c r="A5" s="160">
        <v>46084</v>
      </c>
      <c r="B5" s="1" t="s">
        <v>63</v>
      </c>
      <c r="D5" s="1" t="s">
        <v>172</v>
      </c>
      <c r="E5" s="1">
        <v>15</v>
      </c>
      <c r="F5" s="1">
        <v>6300</v>
      </c>
      <c r="G5" s="1" t="s">
        <v>777</v>
      </c>
      <c r="H5" s="1">
        <v>420</v>
      </c>
      <c r="I5" s="1" t="s">
        <v>743</v>
      </c>
    </row>
    <row r="6" spans="1:13">
      <c r="A6" s="160">
        <v>46085</v>
      </c>
      <c r="B6" s="1" t="s">
        <v>58</v>
      </c>
      <c r="D6" s="1" t="s">
        <v>172</v>
      </c>
      <c r="E6" s="1">
        <v>12</v>
      </c>
      <c r="F6" s="1">
        <v>14400</v>
      </c>
      <c r="G6" s="1" t="s">
        <v>765</v>
      </c>
      <c r="H6" s="1">
        <v>1200</v>
      </c>
      <c r="I6" s="1" t="s">
        <v>754</v>
      </c>
    </row>
    <row r="7" spans="1:13">
      <c r="A7" s="160">
        <v>46086</v>
      </c>
      <c r="B7" s="1" t="s">
        <v>55</v>
      </c>
      <c r="D7" s="1" t="s">
        <v>172</v>
      </c>
      <c r="E7" s="1">
        <v>25</v>
      </c>
      <c r="F7" s="1">
        <v>21250</v>
      </c>
      <c r="G7" s="1" t="s">
        <v>752</v>
      </c>
      <c r="H7" s="1">
        <v>850</v>
      </c>
      <c r="I7" s="1" t="s">
        <v>743</v>
      </c>
    </row>
    <row r="8" spans="1:13">
      <c r="A8" s="160">
        <v>46086</v>
      </c>
      <c r="B8" s="1" t="s">
        <v>67</v>
      </c>
      <c r="D8" s="1" t="s">
        <v>172</v>
      </c>
      <c r="E8" s="1">
        <v>25</v>
      </c>
      <c r="F8" s="1">
        <v>2375</v>
      </c>
      <c r="G8" s="1" t="s">
        <v>788</v>
      </c>
      <c r="H8" s="1">
        <v>95</v>
      </c>
      <c r="I8" s="1" t="s">
        <v>754</v>
      </c>
    </row>
    <row r="9" spans="1:13">
      <c r="A9" s="160">
        <v>46087</v>
      </c>
      <c r="B9" s="1" t="s">
        <v>59</v>
      </c>
      <c r="D9" s="1" t="s">
        <v>172</v>
      </c>
      <c r="E9" s="1">
        <v>20</v>
      </c>
      <c r="F9" s="1">
        <v>7000</v>
      </c>
      <c r="G9" s="1" t="s">
        <v>771</v>
      </c>
      <c r="H9" s="1">
        <v>350</v>
      </c>
      <c r="I9" s="1" t="s">
        <v>743</v>
      </c>
    </row>
    <row r="10" spans="1:13">
      <c r="A10" s="160">
        <v>46088</v>
      </c>
      <c r="B10" s="1" t="s">
        <v>52</v>
      </c>
      <c r="D10" s="1" t="s">
        <v>172</v>
      </c>
      <c r="E10" s="1">
        <v>20</v>
      </c>
      <c r="F10" s="1">
        <v>90000</v>
      </c>
      <c r="G10" s="1" t="s">
        <v>741</v>
      </c>
      <c r="H10" s="1">
        <v>4500</v>
      </c>
      <c r="I10" s="1" t="s">
        <v>740</v>
      </c>
    </row>
    <row r="11" spans="1:13">
      <c r="A11" s="160">
        <v>46088</v>
      </c>
      <c r="B11" s="1" t="s">
        <v>68</v>
      </c>
      <c r="D11" s="1" t="s">
        <v>172</v>
      </c>
      <c r="E11" s="1">
        <v>18</v>
      </c>
      <c r="F11" s="1">
        <v>2160</v>
      </c>
      <c r="G11" s="1" t="s">
        <v>794</v>
      </c>
      <c r="H11" s="1">
        <v>120</v>
      </c>
      <c r="I11" s="1" t="s">
        <v>740</v>
      </c>
    </row>
    <row r="12" spans="1:13">
      <c r="A12" s="160">
        <v>46089</v>
      </c>
      <c r="B12" s="1" t="s">
        <v>55</v>
      </c>
      <c r="D12" s="1" t="s">
        <v>172</v>
      </c>
      <c r="E12" s="1">
        <v>35</v>
      </c>
      <c r="F12" s="1">
        <v>29750</v>
      </c>
      <c r="G12" s="1" t="s">
        <v>753</v>
      </c>
      <c r="H12" s="1">
        <v>850</v>
      </c>
      <c r="I12" s="1" t="s">
        <v>754</v>
      </c>
    </row>
    <row r="13" spans="1:13">
      <c r="A13" s="160">
        <v>46089</v>
      </c>
      <c r="B13" s="1" t="s">
        <v>55</v>
      </c>
      <c r="D13" s="1" t="s">
        <v>171</v>
      </c>
      <c r="E13" s="1">
        <v>150</v>
      </c>
      <c r="F13" s="1">
        <v>127500</v>
      </c>
      <c r="G13" s="1" t="s">
        <v>763</v>
      </c>
      <c r="H13" s="1">
        <v>850</v>
      </c>
      <c r="I13" s="1" t="s">
        <v>82</v>
      </c>
    </row>
    <row r="14" spans="1:13">
      <c r="A14" s="160">
        <v>46089</v>
      </c>
      <c r="B14" s="1" t="s">
        <v>64</v>
      </c>
      <c r="D14" s="1" t="s">
        <v>172</v>
      </c>
      <c r="E14" s="1">
        <v>10</v>
      </c>
      <c r="F14" s="1">
        <v>6800</v>
      </c>
      <c r="G14" s="1" t="s">
        <v>784</v>
      </c>
      <c r="H14" s="1">
        <v>680</v>
      </c>
      <c r="I14" s="1" t="s">
        <v>751</v>
      </c>
    </row>
    <row r="15" spans="1:13">
      <c r="A15" s="160">
        <v>46090</v>
      </c>
      <c r="B15" s="1" t="s">
        <v>63</v>
      </c>
      <c r="D15" s="1" t="s">
        <v>172</v>
      </c>
      <c r="E15" s="1">
        <v>18</v>
      </c>
      <c r="F15" s="1">
        <v>7560</v>
      </c>
      <c r="G15" s="1" t="s">
        <v>778</v>
      </c>
      <c r="H15" s="1">
        <v>420</v>
      </c>
      <c r="I15" s="1" t="s">
        <v>754</v>
      </c>
    </row>
    <row r="16" spans="1:13">
      <c r="A16" s="160">
        <v>46090</v>
      </c>
      <c r="B16" s="1" t="s">
        <v>70</v>
      </c>
      <c r="D16" s="1" t="s">
        <v>172</v>
      </c>
      <c r="E16" s="1">
        <v>8</v>
      </c>
      <c r="F16" s="1">
        <v>1840</v>
      </c>
      <c r="G16" s="1" t="s">
        <v>802</v>
      </c>
      <c r="H16" s="1">
        <v>230</v>
      </c>
      <c r="I16" s="1" t="s">
        <v>745</v>
      </c>
    </row>
    <row r="17" spans="1:9">
      <c r="A17" s="160">
        <v>46091</v>
      </c>
      <c r="B17" s="1" t="s">
        <v>52</v>
      </c>
      <c r="D17" s="1" t="s">
        <v>171</v>
      </c>
      <c r="E17" s="1">
        <v>80</v>
      </c>
      <c r="F17" s="1">
        <v>360000</v>
      </c>
      <c r="G17" s="1" t="s">
        <v>748</v>
      </c>
      <c r="H17" s="1">
        <v>4500</v>
      </c>
      <c r="I17" s="1" t="s">
        <v>81</v>
      </c>
    </row>
    <row r="18" spans="1:9">
      <c r="A18" s="160">
        <v>46091</v>
      </c>
      <c r="B18" s="1" t="s">
        <v>58</v>
      </c>
      <c r="D18" s="1" t="s">
        <v>172</v>
      </c>
      <c r="E18" s="1">
        <v>15</v>
      </c>
      <c r="F18" s="1">
        <v>18000</v>
      </c>
      <c r="G18" s="1" t="s">
        <v>766</v>
      </c>
      <c r="H18" s="1">
        <v>1200</v>
      </c>
      <c r="I18" s="1" t="s">
        <v>740</v>
      </c>
    </row>
    <row r="19" spans="1:9">
      <c r="A19" s="160">
        <v>46091</v>
      </c>
      <c r="B19" s="1" t="s">
        <v>69</v>
      </c>
      <c r="D19" s="1" t="s">
        <v>172</v>
      </c>
      <c r="E19" s="1">
        <v>2</v>
      </c>
      <c r="F19" s="1">
        <v>1100</v>
      </c>
      <c r="G19" s="1" t="s">
        <v>800</v>
      </c>
      <c r="H19" s="1">
        <v>550</v>
      </c>
      <c r="I19" s="1" t="s">
        <v>754</v>
      </c>
    </row>
    <row r="20" spans="1:9">
      <c r="A20" s="160">
        <v>46092</v>
      </c>
      <c r="B20" s="1" t="s">
        <v>61</v>
      </c>
      <c r="D20" s="1" t="s">
        <v>172</v>
      </c>
      <c r="E20" s="1">
        <v>5</v>
      </c>
      <c r="F20" s="1">
        <v>1400</v>
      </c>
      <c r="G20" s="1" t="s">
        <v>775</v>
      </c>
      <c r="H20" s="1">
        <v>280</v>
      </c>
      <c r="I20" s="1" t="s">
        <v>740</v>
      </c>
    </row>
    <row r="21" spans="1:9">
      <c r="A21" s="160">
        <v>46093</v>
      </c>
      <c r="B21" s="1" t="s">
        <v>52</v>
      </c>
      <c r="D21" s="1" t="s">
        <v>172</v>
      </c>
      <c r="E21" s="1">
        <v>18</v>
      </c>
      <c r="F21" s="1">
        <v>81000</v>
      </c>
      <c r="G21" s="1" t="s">
        <v>742</v>
      </c>
      <c r="H21" s="1">
        <v>4500</v>
      </c>
      <c r="I21" s="1" t="s">
        <v>743</v>
      </c>
    </row>
    <row r="22" spans="1:9">
      <c r="A22" s="160">
        <v>46093</v>
      </c>
      <c r="B22" s="1" t="s">
        <v>55</v>
      </c>
      <c r="D22" s="1" t="s">
        <v>172</v>
      </c>
      <c r="E22" s="1">
        <v>28</v>
      </c>
      <c r="F22" s="1">
        <v>23800</v>
      </c>
      <c r="G22" s="1" t="s">
        <v>755</v>
      </c>
      <c r="H22" s="1">
        <v>850</v>
      </c>
      <c r="I22" s="1" t="s">
        <v>754</v>
      </c>
    </row>
    <row r="23" spans="1:9">
      <c r="A23" s="160">
        <v>46093</v>
      </c>
      <c r="B23" s="1" t="s">
        <v>67</v>
      </c>
      <c r="D23" s="1" t="s">
        <v>172</v>
      </c>
      <c r="E23" s="1">
        <v>30</v>
      </c>
      <c r="F23" s="1">
        <v>2850</v>
      </c>
      <c r="G23" s="1" t="s">
        <v>789</v>
      </c>
      <c r="H23" s="1">
        <v>95</v>
      </c>
      <c r="I23" s="1" t="s">
        <v>754</v>
      </c>
    </row>
    <row r="24" spans="1:9">
      <c r="A24" s="160">
        <v>46095</v>
      </c>
      <c r="B24" s="1" t="s">
        <v>58</v>
      </c>
      <c r="D24" s="1" t="s">
        <v>171</v>
      </c>
      <c r="E24" s="1">
        <v>80</v>
      </c>
      <c r="F24" s="1">
        <v>96000</v>
      </c>
      <c r="G24" s="1" t="s">
        <v>770</v>
      </c>
      <c r="H24" s="1">
        <v>1200</v>
      </c>
      <c r="I24" s="1" t="s">
        <v>82</v>
      </c>
    </row>
    <row r="25" spans="1:9">
      <c r="A25" s="160">
        <v>46095</v>
      </c>
      <c r="B25" s="1" t="s">
        <v>63</v>
      </c>
      <c r="D25" s="1" t="s">
        <v>172</v>
      </c>
      <c r="E25" s="1">
        <v>20</v>
      </c>
      <c r="F25" s="1">
        <v>8400</v>
      </c>
      <c r="G25" s="1" t="s">
        <v>779</v>
      </c>
      <c r="H25" s="1">
        <v>420</v>
      </c>
      <c r="I25" s="1" t="s">
        <v>754</v>
      </c>
    </row>
    <row r="26" spans="1:9">
      <c r="A26" s="160">
        <v>46095</v>
      </c>
      <c r="B26" s="1" t="s">
        <v>68</v>
      </c>
      <c r="D26" s="1" t="s">
        <v>172</v>
      </c>
      <c r="E26" s="1">
        <v>22</v>
      </c>
      <c r="F26" s="1">
        <v>2640</v>
      </c>
      <c r="G26" s="1" t="s">
        <v>795</v>
      </c>
      <c r="H26" s="1">
        <v>120</v>
      </c>
      <c r="I26" s="1" t="s">
        <v>754</v>
      </c>
    </row>
    <row r="27" spans="1:9">
      <c r="A27" s="160">
        <v>46096</v>
      </c>
      <c r="B27" s="1" t="s">
        <v>55</v>
      </c>
      <c r="D27" s="1" t="s">
        <v>172</v>
      </c>
      <c r="E27" s="1">
        <v>30</v>
      </c>
      <c r="F27" s="1">
        <v>25500</v>
      </c>
      <c r="G27" s="1" t="s">
        <v>756</v>
      </c>
      <c r="H27" s="1">
        <v>850</v>
      </c>
      <c r="I27" s="1" t="s">
        <v>745</v>
      </c>
    </row>
    <row r="28" spans="1:9">
      <c r="A28" s="160">
        <v>46096</v>
      </c>
      <c r="B28" s="1" t="s">
        <v>63</v>
      </c>
      <c r="D28" s="1" t="s">
        <v>171</v>
      </c>
      <c r="E28" s="1">
        <v>80</v>
      </c>
      <c r="F28" s="1">
        <v>33600</v>
      </c>
      <c r="G28" s="1" t="s">
        <v>783</v>
      </c>
      <c r="H28" s="1">
        <v>420</v>
      </c>
      <c r="I28" s="1" t="s">
        <v>82</v>
      </c>
    </row>
    <row r="29" spans="1:9">
      <c r="A29" s="160">
        <v>46096</v>
      </c>
      <c r="B29" s="1" t="s">
        <v>66</v>
      </c>
      <c r="D29" s="1" t="s">
        <v>172</v>
      </c>
      <c r="E29" s="1">
        <v>3</v>
      </c>
      <c r="F29" s="1">
        <v>540</v>
      </c>
      <c r="G29" s="1" t="s">
        <v>786</v>
      </c>
      <c r="H29" s="1">
        <v>180</v>
      </c>
      <c r="I29" s="1" t="s">
        <v>745</v>
      </c>
    </row>
    <row r="30" spans="1:9">
      <c r="A30" s="160">
        <v>46097</v>
      </c>
      <c r="B30" s="1" t="s">
        <v>59</v>
      </c>
      <c r="D30" s="1" t="s">
        <v>172</v>
      </c>
      <c r="E30" s="1">
        <v>15</v>
      </c>
      <c r="F30" s="1">
        <v>5250</v>
      </c>
      <c r="G30" s="1" t="s">
        <v>772</v>
      </c>
      <c r="H30" s="1">
        <v>350</v>
      </c>
      <c r="I30" s="1" t="s">
        <v>743</v>
      </c>
    </row>
    <row r="31" spans="1:9">
      <c r="A31" s="160">
        <v>46098</v>
      </c>
      <c r="B31" s="1" t="s">
        <v>58</v>
      </c>
      <c r="D31" s="1" t="s">
        <v>172</v>
      </c>
      <c r="E31" s="1">
        <v>10</v>
      </c>
      <c r="F31" s="1">
        <v>12000</v>
      </c>
      <c r="G31" s="1" t="s">
        <v>767</v>
      </c>
      <c r="H31" s="1">
        <v>1200</v>
      </c>
      <c r="I31" s="1" t="s">
        <v>745</v>
      </c>
    </row>
    <row r="32" spans="1:9">
      <c r="A32" s="160">
        <v>46099</v>
      </c>
      <c r="B32" s="1" t="s">
        <v>52</v>
      </c>
      <c r="D32" s="1" t="s">
        <v>172</v>
      </c>
      <c r="E32" s="1">
        <v>22</v>
      </c>
      <c r="F32" s="1">
        <v>99000</v>
      </c>
      <c r="G32" s="1" t="s">
        <v>744</v>
      </c>
      <c r="H32" s="1">
        <v>4500</v>
      </c>
      <c r="I32" s="1" t="s">
        <v>745</v>
      </c>
    </row>
    <row r="33" spans="1:9">
      <c r="A33" s="160">
        <v>46099</v>
      </c>
      <c r="B33" s="1" t="s">
        <v>55</v>
      </c>
      <c r="D33" s="1" t="s">
        <v>172</v>
      </c>
      <c r="E33" s="1">
        <v>32</v>
      </c>
      <c r="F33" s="1">
        <v>27200</v>
      </c>
      <c r="G33" s="1" t="s">
        <v>757</v>
      </c>
      <c r="H33" s="1">
        <v>850</v>
      </c>
      <c r="I33" s="1" t="s">
        <v>743</v>
      </c>
    </row>
    <row r="34" spans="1:9">
      <c r="A34" s="160">
        <v>46099</v>
      </c>
      <c r="B34" s="1" t="s">
        <v>67</v>
      </c>
      <c r="D34" s="1" t="s">
        <v>171</v>
      </c>
      <c r="E34" s="1">
        <v>100</v>
      </c>
      <c r="F34" s="1">
        <v>9500</v>
      </c>
      <c r="G34" s="1" t="s">
        <v>793</v>
      </c>
      <c r="H34" s="1">
        <v>95</v>
      </c>
      <c r="I34" s="1" t="s">
        <v>82</v>
      </c>
    </row>
    <row r="35" spans="1:9">
      <c r="A35" s="160">
        <v>46099</v>
      </c>
      <c r="B35" s="1" t="s">
        <v>70</v>
      </c>
      <c r="D35" s="1" t="s">
        <v>172</v>
      </c>
      <c r="E35" s="1">
        <v>12</v>
      </c>
      <c r="F35" s="1">
        <v>2760</v>
      </c>
      <c r="G35" s="1" t="s">
        <v>803</v>
      </c>
      <c r="H35" s="1">
        <v>230</v>
      </c>
      <c r="I35" s="1" t="s">
        <v>754</v>
      </c>
    </row>
    <row r="36" spans="1:9">
      <c r="A36" s="160">
        <v>46100</v>
      </c>
      <c r="B36" s="1" t="s">
        <v>67</v>
      </c>
      <c r="D36" s="1" t="s">
        <v>172</v>
      </c>
      <c r="E36" s="1">
        <v>20</v>
      </c>
      <c r="F36" s="1">
        <v>1900</v>
      </c>
      <c r="G36" s="1" t="s">
        <v>790</v>
      </c>
      <c r="H36" s="1">
        <v>95</v>
      </c>
      <c r="I36" s="1" t="s">
        <v>740</v>
      </c>
    </row>
    <row r="37" spans="1:9">
      <c r="A37" s="160">
        <v>46101</v>
      </c>
      <c r="B37" s="1" t="s">
        <v>59</v>
      </c>
      <c r="D37" s="1" t="s">
        <v>171</v>
      </c>
      <c r="E37" s="1">
        <v>60</v>
      </c>
      <c r="F37" s="1">
        <v>21000</v>
      </c>
      <c r="G37" s="1" t="s">
        <v>774</v>
      </c>
      <c r="H37" s="1">
        <v>350</v>
      </c>
      <c r="I37" s="1" t="s">
        <v>83</v>
      </c>
    </row>
    <row r="38" spans="1:9">
      <c r="A38" s="160">
        <v>46101</v>
      </c>
      <c r="B38" s="1" t="s">
        <v>63</v>
      </c>
      <c r="D38" s="1" t="s">
        <v>172</v>
      </c>
      <c r="E38" s="1">
        <v>12</v>
      </c>
      <c r="F38" s="1">
        <v>5040</v>
      </c>
      <c r="G38" s="1" t="s">
        <v>780</v>
      </c>
      <c r="H38" s="1">
        <v>420</v>
      </c>
      <c r="I38" s="1" t="s">
        <v>754</v>
      </c>
    </row>
    <row r="39" spans="1:9">
      <c r="A39" s="160">
        <v>46101</v>
      </c>
      <c r="B39" s="1" t="s">
        <v>68</v>
      </c>
      <c r="D39" s="1" t="s">
        <v>171</v>
      </c>
      <c r="E39" s="1">
        <v>100</v>
      </c>
      <c r="F39" s="1">
        <v>12000</v>
      </c>
      <c r="G39" s="1" t="s">
        <v>799</v>
      </c>
      <c r="H39" s="1">
        <v>120</v>
      </c>
      <c r="I39" s="1" t="s">
        <v>82</v>
      </c>
    </row>
    <row r="40" spans="1:9">
      <c r="A40" s="160">
        <v>46102</v>
      </c>
      <c r="B40" s="1" t="s">
        <v>68</v>
      </c>
      <c r="D40" s="1" t="s">
        <v>172</v>
      </c>
      <c r="E40" s="1">
        <v>15</v>
      </c>
      <c r="F40" s="1">
        <v>1800</v>
      </c>
      <c r="G40" s="1" t="s">
        <v>796</v>
      </c>
      <c r="H40" s="1">
        <v>120</v>
      </c>
      <c r="I40" s="1" t="s">
        <v>745</v>
      </c>
    </row>
    <row r="41" spans="1:9">
      <c r="A41" s="160">
        <v>46103</v>
      </c>
      <c r="B41" s="1" t="s">
        <v>55</v>
      </c>
      <c r="D41" s="1" t="s">
        <v>172</v>
      </c>
      <c r="E41" s="1">
        <v>28</v>
      </c>
      <c r="F41" s="1">
        <v>23800</v>
      </c>
      <c r="G41" s="1" t="s">
        <v>758</v>
      </c>
      <c r="H41" s="1">
        <v>850</v>
      </c>
      <c r="I41" s="1" t="s">
        <v>754</v>
      </c>
    </row>
    <row r="42" spans="1:9">
      <c r="A42" s="160">
        <v>46103</v>
      </c>
      <c r="B42" s="1" t="s">
        <v>64</v>
      </c>
      <c r="D42" s="1" t="s">
        <v>172</v>
      </c>
      <c r="E42" s="1">
        <v>12</v>
      </c>
      <c r="F42" s="1">
        <v>8160</v>
      </c>
      <c r="G42" s="1" t="s">
        <v>785</v>
      </c>
      <c r="H42" s="1">
        <v>680</v>
      </c>
      <c r="I42" s="1" t="s">
        <v>740</v>
      </c>
    </row>
    <row r="43" spans="1:9">
      <c r="A43" s="160">
        <v>46105</v>
      </c>
      <c r="B43" s="1" t="s">
        <v>55</v>
      </c>
      <c r="D43" s="1" t="s">
        <v>171</v>
      </c>
      <c r="E43" s="1">
        <v>200</v>
      </c>
      <c r="F43" s="1">
        <v>170000</v>
      </c>
      <c r="G43" s="1" t="s">
        <v>764</v>
      </c>
      <c r="H43" s="1">
        <v>850</v>
      </c>
      <c r="I43" s="1" t="s">
        <v>82</v>
      </c>
    </row>
    <row r="44" spans="1:9">
      <c r="A44" s="160">
        <v>46105</v>
      </c>
      <c r="B44" s="1" t="s">
        <v>58</v>
      </c>
      <c r="D44" s="1" t="s">
        <v>172</v>
      </c>
      <c r="E44" s="1">
        <v>18</v>
      </c>
      <c r="F44" s="1">
        <v>21600</v>
      </c>
      <c r="G44" s="1" t="s">
        <v>768</v>
      </c>
      <c r="H44" s="1">
        <v>1200</v>
      </c>
      <c r="I44" s="1" t="s">
        <v>745</v>
      </c>
    </row>
    <row r="45" spans="1:9">
      <c r="A45" s="160">
        <v>46106</v>
      </c>
      <c r="B45" s="1" t="s">
        <v>52</v>
      </c>
      <c r="D45" s="1" t="s">
        <v>172</v>
      </c>
      <c r="E45" s="1">
        <v>25</v>
      </c>
      <c r="F45" s="1">
        <v>112500</v>
      </c>
      <c r="G45" s="1" t="s">
        <v>746</v>
      </c>
      <c r="H45" s="1">
        <v>4500</v>
      </c>
      <c r="I45" s="1" t="s">
        <v>740</v>
      </c>
    </row>
    <row r="46" spans="1:9">
      <c r="A46" s="160">
        <v>46106</v>
      </c>
      <c r="B46" s="1" t="s">
        <v>55</v>
      </c>
      <c r="D46" s="1" t="s">
        <v>172</v>
      </c>
      <c r="E46" s="1">
        <v>30</v>
      </c>
      <c r="F46" s="1">
        <v>25500</v>
      </c>
      <c r="G46" s="1" t="s">
        <v>759</v>
      </c>
      <c r="H46" s="1">
        <v>850</v>
      </c>
      <c r="I46" s="1" t="s">
        <v>743</v>
      </c>
    </row>
    <row r="47" spans="1:9">
      <c r="A47" s="160">
        <v>46106</v>
      </c>
      <c r="B47" s="1" t="s">
        <v>69</v>
      </c>
      <c r="D47" s="1" t="s">
        <v>172</v>
      </c>
      <c r="E47" s="1">
        <v>3</v>
      </c>
      <c r="F47" s="1">
        <v>1650</v>
      </c>
      <c r="G47" s="1" t="s">
        <v>801</v>
      </c>
      <c r="H47" s="1">
        <v>550</v>
      </c>
      <c r="I47" s="1" t="s">
        <v>754</v>
      </c>
    </row>
    <row r="48" spans="1:9">
      <c r="A48" s="160">
        <v>46107</v>
      </c>
      <c r="B48" s="1" t="s">
        <v>59</v>
      </c>
      <c r="D48" s="1" t="s">
        <v>172</v>
      </c>
      <c r="E48" s="1">
        <v>25</v>
      </c>
      <c r="F48" s="1">
        <v>8750</v>
      </c>
      <c r="G48" s="1" t="s">
        <v>773</v>
      </c>
      <c r="H48" s="1">
        <v>350</v>
      </c>
      <c r="I48" s="1" t="s">
        <v>740</v>
      </c>
    </row>
    <row r="49" spans="1:9">
      <c r="A49" s="160">
        <v>46107</v>
      </c>
      <c r="B49" s="1" t="s">
        <v>67</v>
      </c>
      <c r="D49" s="1" t="s">
        <v>172</v>
      </c>
      <c r="E49" s="1">
        <v>28</v>
      </c>
      <c r="F49" s="1">
        <v>2660</v>
      </c>
      <c r="G49" s="1" t="s">
        <v>791</v>
      </c>
      <c r="H49" s="1">
        <v>95</v>
      </c>
      <c r="I49" s="1" t="s">
        <v>745</v>
      </c>
    </row>
    <row r="50" spans="1:9">
      <c r="A50" s="160">
        <v>46108</v>
      </c>
      <c r="B50" s="1" t="s">
        <v>61</v>
      </c>
      <c r="D50" s="1" t="s">
        <v>172</v>
      </c>
      <c r="E50" s="1">
        <v>8</v>
      </c>
      <c r="F50" s="1">
        <v>2240</v>
      </c>
      <c r="G50" s="1" t="s">
        <v>776</v>
      </c>
      <c r="H50" s="1">
        <v>280</v>
      </c>
      <c r="I50" s="1" t="s">
        <v>754</v>
      </c>
    </row>
    <row r="51" spans="1:9">
      <c r="A51" s="160">
        <v>46108</v>
      </c>
      <c r="B51" s="1" t="s">
        <v>63</v>
      </c>
      <c r="D51" s="1" t="s">
        <v>172</v>
      </c>
      <c r="E51" s="1">
        <v>22</v>
      </c>
      <c r="F51" s="1">
        <v>9240</v>
      </c>
      <c r="G51" s="1" t="s">
        <v>781</v>
      </c>
      <c r="H51" s="1">
        <v>420</v>
      </c>
      <c r="I51" s="1" t="s">
        <v>751</v>
      </c>
    </row>
    <row r="52" spans="1:9">
      <c r="A52" s="160">
        <v>46109</v>
      </c>
      <c r="B52" s="1" t="s">
        <v>52</v>
      </c>
      <c r="D52" s="1" t="s">
        <v>171</v>
      </c>
      <c r="E52" s="1">
        <v>100</v>
      </c>
      <c r="F52" s="1">
        <v>450000</v>
      </c>
      <c r="G52" s="1" t="s">
        <v>749</v>
      </c>
      <c r="H52" s="1">
        <v>4500</v>
      </c>
      <c r="I52" s="1" t="s">
        <v>81</v>
      </c>
    </row>
    <row r="53" spans="1:9">
      <c r="A53" s="160">
        <v>46109</v>
      </c>
      <c r="B53" s="1" t="s">
        <v>55</v>
      </c>
      <c r="D53" s="1" t="s">
        <v>172</v>
      </c>
      <c r="E53" s="1">
        <v>35</v>
      </c>
      <c r="F53" s="1">
        <v>29750</v>
      </c>
      <c r="G53" s="1" t="s">
        <v>760</v>
      </c>
      <c r="H53" s="1">
        <v>850</v>
      </c>
      <c r="I53" s="1" t="s">
        <v>740</v>
      </c>
    </row>
    <row r="54" spans="1:9">
      <c r="A54" s="160">
        <v>46109</v>
      </c>
      <c r="B54" s="1" t="s">
        <v>68</v>
      </c>
      <c r="D54" s="1" t="s">
        <v>172</v>
      </c>
      <c r="E54" s="1">
        <v>20</v>
      </c>
      <c r="F54" s="1">
        <v>2400</v>
      </c>
      <c r="G54" s="1" t="s">
        <v>797</v>
      </c>
      <c r="H54" s="1">
        <v>120</v>
      </c>
      <c r="I54" s="1" t="s">
        <v>740</v>
      </c>
    </row>
    <row r="55" spans="1:9">
      <c r="A55" s="160">
        <v>46109</v>
      </c>
      <c r="B55" s="1" t="s">
        <v>70</v>
      </c>
      <c r="D55" s="1" t="s">
        <v>172</v>
      </c>
      <c r="E55" s="1">
        <v>10</v>
      </c>
      <c r="F55" s="1">
        <v>2300</v>
      </c>
      <c r="G55" s="1" t="s">
        <v>804</v>
      </c>
      <c r="H55" s="1">
        <v>230</v>
      </c>
      <c r="I55" s="1" t="s">
        <v>745</v>
      </c>
    </row>
    <row r="56" spans="1:9">
      <c r="A56" s="160">
        <v>46111</v>
      </c>
      <c r="B56" s="1" t="s">
        <v>66</v>
      </c>
      <c r="D56" s="1" t="s">
        <v>172</v>
      </c>
      <c r="E56" s="1">
        <v>5</v>
      </c>
      <c r="F56" s="1">
        <v>900</v>
      </c>
      <c r="G56" s="1" t="s">
        <v>787</v>
      </c>
      <c r="H56" s="1">
        <v>180</v>
      </c>
      <c r="I56" s="1" t="s">
        <v>754</v>
      </c>
    </row>
    <row r="57" spans="1:9">
      <c r="A57" s="160">
        <v>46112</v>
      </c>
      <c r="B57" s="1" t="s">
        <v>58</v>
      </c>
      <c r="D57" s="1" t="s">
        <v>172</v>
      </c>
      <c r="E57" s="1">
        <v>14</v>
      </c>
      <c r="F57" s="1">
        <v>16800</v>
      </c>
      <c r="G57" s="1" t="s">
        <v>769</v>
      </c>
      <c r="H57" s="1">
        <v>1200</v>
      </c>
      <c r="I57" s="1" t="s">
        <v>743</v>
      </c>
    </row>
    <row r="58" spans="1:9">
      <c r="A58" s="160">
        <v>46113</v>
      </c>
      <c r="B58" s="1" t="s">
        <v>52</v>
      </c>
      <c r="D58" s="1" t="s">
        <v>172</v>
      </c>
      <c r="E58" s="1">
        <v>20</v>
      </c>
      <c r="F58" s="1">
        <v>90000</v>
      </c>
      <c r="G58" s="1" t="s">
        <v>747</v>
      </c>
      <c r="H58" s="1">
        <v>4500</v>
      </c>
      <c r="I58" s="1" t="s">
        <v>743</v>
      </c>
    </row>
    <row r="59" spans="1:9">
      <c r="A59" s="160">
        <v>46113</v>
      </c>
      <c r="B59" s="1" t="s">
        <v>55</v>
      </c>
      <c r="D59" s="1" t="s">
        <v>172</v>
      </c>
      <c r="E59" s="1">
        <v>25</v>
      </c>
      <c r="F59" s="1">
        <v>21250</v>
      </c>
      <c r="G59" s="1" t="s">
        <v>761</v>
      </c>
      <c r="H59" s="1">
        <v>850</v>
      </c>
      <c r="I59" s="1" t="s">
        <v>754</v>
      </c>
    </row>
    <row r="60" spans="1:9">
      <c r="A60" s="160">
        <v>46114</v>
      </c>
      <c r="B60" s="1" t="s">
        <v>63</v>
      </c>
      <c r="D60" s="1" t="s">
        <v>172</v>
      </c>
      <c r="E60" s="1">
        <v>15</v>
      </c>
      <c r="F60" s="1">
        <v>6300</v>
      </c>
      <c r="G60" s="1" t="s">
        <v>782</v>
      </c>
      <c r="H60" s="1">
        <v>420</v>
      </c>
      <c r="I60" s="1" t="s">
        <v>751</v>
      </c>
    </row>
    <row r="61" spans="1:9">
      <c r="A61" s="160">
        <v>46115</v>
      </c>
      <c r="B61" s="1" t="s">
        <v>67</v>
      </c>
      <c r="D61" s="1" t="s">
        <v>172</v>
      </c>
      <c r="E61" s="1">
        <v>22</v>
      </c>
      <c r="F61" s="1">
        <v>2090</v>
      </c>
      <c r="G61" s="1" t="s">
        <v>792</v>
      </c>
      <c r="H61" s="1">
        <v>95</v>
      </c>
      <c r="I61" s="1" t="s">
        <v>751</v>
      </c>
    </row>
    <row r="62" spans="1:9">
      <c r="A62" s="160">
        <v>46116</v>
      </c>
      <c r="B62" s="1" t="s">
        <v>55</v>
      </c>
      <c r="D62" s="1" t="s">
        <v>172</v>
      </c>
      <c r="E62" s="1">
        <v>30</v>
      </c>
      <c r="F62" s="1">
        <v>25500</v>
      </c>
      <c r="G62" s="1" t="s">
        <v>762</v>
      </c>
      <c r="H62" s="1">
        <v>850</v>
      </c>
      <c r="I62" s="1" t="s">
        <v>740</v>
      </c>
    </row>
    <row r="63" spans="1:9">
      <c r="A63" s="160">
        <v>46116</v>
      </c>
      <c r="B63" s="1" t="s">
        <v>68</v>
      </c>
      <c r="D63" s="1" t="s">
        <v>172</v>
      </c>
      <c r="E63" s="1">
        <v>18</v>
      </c>
      <c r="F63" s="1">
        <v>2160</v>
      </c>
      <c r="G63" s="1" t="s">
        <v>798</v>
      </c>
      <c r="H63" s="1">
        <v>120</v>
      </c>
      <c r="I63" s="1" t="s">
        <v>751</v>
      </c>
    </row>
  </sheetData>
  <sheetProtection algorithmName="SHA-512" hashValue="sxDpWNPX1gzwDCIlZCIYa3tSLRMUmZBrFSlY1ePKnD2tWK39b+dWhXE6F4FFcXNUGZ3XW6hvYZV0UMrfLRx92g==" saltValue="trrVBXU8WBJ5e5ZdFc9shw==" spinCount="100000" sheet="1" objects="1" scenarios="1" autoFilter="0"/>
  <sortState ref="A3:L63">
    <sortCondition ref="A3"/>
  </sortState>
  <mergeCells count="1">
    <mergeCell ref="A1:M1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185FA5"/>
  </sheetPr>
  <dimension ref="A1:N19"/>
  <sheetViews>
    <sheetView zoomScaleNormal="100" workbookViewId="0">
      <pane ySplit="3" topLeftCell="A4" activePane="bottomLeft" state="frozen"/>
      <selection pane="bottomLeft" sqref="A1:N19"/>
    </sheetView>
  </sheetViews>
  <sheetFormatPr defaultColWidth="8.7109375" defaultRowHeight="15"/>
  <cols>
    <col min="1" max="1" width="10" style="1" customWidth="1"/>
    <col min="2" max="2" width="32" style="1" customWidth="1"/>
    <col min="3" max="3" width="7" style="1" customWidth="1"/>
    <col min="4" max="5" width="11" style="1" customWidth="1"/>
    <col min="6" max="6" width="14" style="1" customWidth="1"/>
    <col min="7" max="7" width="10" style="1" customWidth="1"/>
    <col min="8" max="8" width="11" style="1" customWidth="1"/>
    <col min="9" max="9" width="16" style="1" customWidth="1"/>
    <col min="10" max="10" width="11" style="1" customWidth="1"/>
    <col min="11" max="11" width="14" style="1" customWidth="1"/>
    <col min="12" max="12" width="3" style="1" customWidth="1"/>
    <col min="13" max="13" width="26" style="1" customWidth="1"/>
    <col min="14" max="14" width="9" style="1" customWidth="1"/>
  </cols>
  <sheetData>
    <row r="1" spans="1:14" ht="27.75" customHeight="1">
      <c r="A1" s="193" t="s">
        <v>173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</row>
    <row r="2" spans="1:14" ht="15" customHeight="1">
      <c r="A2" s="212" t="s">
        <v>174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</row>
    <row r="3" spans="1:14" ht="27.75" customHeight="1">
      <c r="A3" s="61" t="s">
        <v>72</v>
      </c>
      <c r="B3" s="61" t="s">
        <v>175</v>
      </c>
      <c r="C3" s="61" t="s">
        <v>176</v>
      </c>
      <c r="D3" s="62" t="s">
        <v>177</v>
      </c>
      <c r="E3" s="63" t="s">
        <v>178</v>
      </c>
      <c r="F3" s="64" t="s">
        <v>179</v>
      </c>
      <c r="G3" s="65" t="s">
        <v>49</v>
      </c>
      <c r="H3" s="65" t="s">
        <v>180</v>
      </c>
      <c r="I3" s="65" t="s">
        <v>181</v>
      </c>
      <c r="J3" s="66" t="s">
        <v>182</v>
      </c>
      <c r="K3" s="67" t="s">
        <v>183</v>
      </c>
      <c r="L3" s="26"/>
      <c r="M3" s="68" t="s">
        <v>184</v>
      </c>
      <c r="N3" s="68" t="s">
        <v>185</v>
      </c>
    </row>
    <row r="4" spans="1:14" ht="15" customHeight="1">
      <c r="A4" s="69" t="s">
        <v>52</v>
      </c>
      <c r="B4" s="70" t="str">
        <f>IFERROR(VLOOKUP(A4,ARTICLES!$A$2:$G$485,2,0),"")</f>
        <v>Toner imprimante G030 (noir)</v>
      </c>
      <c r="C4" s="71" t="str">
        <f>IFERROR(VLOOKUP(A4,ARTICLES!$A$2:$E$485,5,0),"")</f>
        <v>Informatique</v>
      </c>
      <c r="D4" s="72">
        <f>SUMIFS(MOUVEMENTS!$E$3:$E$461,MOUVEMENTS!$B$3:$B$461,A4,MOUVEMENTS!$D$3:$D$461,"IN")</f>
        <v>180</v>
      </c>
      <c r="E4" s="73">
        <f>SUMIFS(MOUVEMENTS!$E$3:$E$461,MOUVEMENTS!$B$3:$B$461,A4,MOUVEMENTS!$D$3:$D$461,"OUT")</f>
        <v>120</v>
      </c>
      <c r="F4" s="74">
        <f t="shared" ref="F4:F15" si="0">D4-E4</f>
        <v>60</v>
      </c>
      <c r="G4" s="75" t="str">
        <f>IFERROR(VLOOKUP(A4,ARTICLES!$A$2:$F$485,6,0),0)</f>
        <v>A</v>
      </c>
      <c r="H4" s="59">
        <f>IFERROR(LOOKUP(2,1/(MOUVEMENTS!$B$3:$B$461=A4),MOUVEMENTS!$L$3:$L$461),IFERROR(VLOOKUP(A4,ARTICLES!$A$2:$H$485,8,0),0))</f>
        <v>0</v>
      </c>
      <c r="I4" s="76">
        <f t="shared" ref="I4:I15" si="1">F4*H4</f>
        <v>0</v>
      </c>
      <c r="J4" s="77" t="str">
        <f>IFERROR(G4+(SUMIFS(MOUVEMENTS!$E$3:$E$461,MOUVEMENTS!$B$3:$B$461,A4,MOUVEMENTS!$D$3:$D$461,"OUT")/MAX(1,$N$4))*$N$6,G4)</f>
        <v>A</v>
      </c>
      <c r="K4" s="78" t="str">
        <f t="shared" ref="K4:K15" si="2">IF(F4=0,"!! RUPTURE",IF(F4&lt;=J4,"&gt;&gt; COMMANDER",IF(F4&lt;=J4*1.25,"~ ALERTE","OK")))</f>
        <v>&gt;&gt; COMMANDER</v>
      </c>
      <c r="L4" s="79"/>
      <c r="M4" s="80" t="s">
        <v>186</v>
      </c>
      <c r="N4" s="81">
        <v>38</v>
      </c>
    </row>
    <row r="5" spans="1:14" ht="15" customHeight="1">
      <c r="A5" s="69" t="s">
        <v>55</v>
      </c>
      <c r="B5" s="70" t="str">
        <f>IFERROR(VLOOKUP(A5,ARTICLES!$A$2:$G$485,2,0),"")</f>
        <v>Rame papier A4 80g/m2</v>
      </c>
      <c r="C5" s="71" t="str">
        <f>IFERROR(VLOOKUP(A5,ARTICLES!$A$2:$E$485,5,0),"")</f>
        <v>Fournitures Bureau</v>
      </c>
      <c r="D5" s="72">
        <f>SUMIFS(MOUVEMENTS!$E$3:$E$461,MOUVEMENTS!$B$3:$B$461,A5,MOUVEMENTS!$D$3:$D$461,"IN")</f>
        <v>350</v>
      </c>
      <c r="E5" s="73">
        <f>SUMIFS(MOUVEMENTS!$E$3:$E$461,MOUVEMENTS!$B$3:$B$461,A5,MOUVEMENTS!$D$3:$D$461,"OUT")</f>
        <v>328</v>
      </c>
      <c r="F5" s="74">
        <f t="shared" si="0"/>
        <v>22</v>
      </c>
      <c r="G5" s="75" t="str">
        <f>IFERROR(VLOOKUP(A5,ARTICLES!$A$2:$F$485,6,0),0)</f>
        <v>A</v>
      </c>
      <c r="H5" s="59">
        <f>IFERROR(LOOKUP(2,1/(MOUVEMENTS!$B$3:$B$461=A5),MOUVEMENTS!$L$3:$L$461),IFERROR(VLOOKUP(A5,ARTICLES!$A$2:$H$485,8,0),0))</f>
        <v>0</v>
      </c>
      <c r="I5" s="76">
        <f t="shared" si="1"/>
        <v>0</v>
      </c>
      <c r="J5" s="77" t="str">
        <f>IFERROR(G5+(SUMIFS(MOUVEMENTS!$E$3:$E$461,MOUVEMENTS!$B$3:$B$461,A5,MOUVEMENTS!$D$3:$D$461,"OUT")/MAX(1,$N$4))*$N$6,G5)</f>
        <v>A</v>
      </c>
      <c r="K5" s="78" t="str">
        <f t="shared" si="2"/>
        <v>&gt;&gt; COMMANDER</v>
      </c>
      <c r="L5" s="79"/>
      <c r="M5" s="80" t="s">
        <v>187</v>
      </c>
      <c r="N5" s="81">
        <f>$N$4</f>
        <v>38</v>
      </c>
    </row>
    <row r="6" spans="1:14" ht="15" customHeight="1">
      <c r="A6" s="69" t="s">
        <v>58</v>
      </c>
      <c r="B6" s="70" t="str">
        <f>IFERROR(VLOOKUP(A6,ARTICLES!$A$2:$G$485,2,0),"")</f>
        <v>Rame papier A3 80g/m2</v>
      </c>
      <c r="C6" s="71" t="str">
        <f>IFERROR(VLOOKUP(A6,ARTICLES!$A$2:$E$485,5,0),"")</f>
        <v>Fournitures Bureau</v>
      </c>
      <c r="D6" s="72">
        <f>SUMIFS(MOUVEMENTS!$E$3:$E$461,MOUVEMENTS!$B$3:$B$461,A6,MOUVEMENTS!$D$3:$D$461,"IN")</f>
        <v>80</v>
      </c>
      <c r="E6" s="73">
        <f>SUMIFS(MOUVEMENTS!$E$3:$E$461,MOUVEMENTS!$B$3:$B$461,A6,MOUVEMENTS!$D$3:$D$461,"OUT")</f>
        <v>69</v>
      </c>
      <c r="F6" s="74">
        <f t="shared" si="0"/>
        <v>11</v>
      </c>
      <c r="G6" s="75" t="str">
        <f>IFERROR(VLOOKUP(A6,ARTICLES!$A$2:$F$485,6,0),0)</f>
        <v>B</v>
      </c>
      <c r="H6" s="59">
        <f>IFERROR(LOOKUP(2,1/(MOUVEMENTS!$B$3:$B$461=A6),MOUVEMENTS!$L$3:$L$461),IFERROR(VLOOKUP(A6,ARTICLES!$A$2:$H$485,8,0),0))</f>
        <v>0</v>
      </c>
      <c r="I6" s="76">
        <f t="shared" si="1"/>
        <v>0</v>
      </c>
      <c r="J6" s="77" t="str">
        <f>IFERROR(G6+(SUMIFS(MOUVEMENTS!$E$3:$E$461,MOUVEMENTS!$B$3:$B$461,A6,MOUVEMENTS!$D$3:$D$461,"OUT")/MAX(1,$N$4))*$N$6,G6)</f>
        <v>B</v>
      </c>
      <c r="K6" s="78" t="str">
        <f t="shared" si="2"/>
        <v>&gt;&gt; COMMANDER</v>
      </c>
      <c r="L6" s="79"/>
      <c r="M6" s="80" t="s">
        <v>188</v>
      </c>
      <c r="N6" s="81">
        <v>2</v>
      </c>
    </row>
    <row r="7" spans="1:14" ht="15" customHeight="1">
      <c r="A7" s="69" t="s">
        <v>59</v>
      </c>
      <c r="B7" s="70" t="str">
        <f>IFERROR(VLOOKUP(A7,ARTICLES!$A$2:$G$485,2,0),"")</f>
        <v>Boite archives carton</v>
      </c>
      <c r="C7" s="71" t="str">
        <f>IFERROR(VLOOKUP(A7,ARTICLES!$A$2:$E$485,5,0),"")</f>
        <v>Admin</v>
      </c>
      <c r="D7" s="72">
        <f>SUMIFS(MOUVEMENTS!$E$3:$E$461,MOUVEMENTS!$B$3:$B$461,A7,MOUVEMENTS!$D$3:$D$461,"IN")</f>
        <v>60</v>
      </c>
      <c r="E7" s="73">
        <f>SUMIFS(MOUVEMENTS!$E$3:$E$461,MOUVEMENTS!$B$3:$B$461,A7,MOUVEMENTS!$D$3:$D$461,"OUT")</f>
        <v>60</v>
      </c>
      <c r="F7" s="74">
        <f t="shared" si="0"/>
        <v>0</v>
      </c>
      <c r="G7" s="75" t="str">
        <f>IFERROR(VLOOKUP(A7,ARTICLES!$A$2:$F$485,6,0),0)</f>
        <v>B</v>
      </c>
      <c r="H7" s="59">
        <f>IFERROR(LOOKUP(2,1/(MOUVEMENTS!$B$3:$B$461=A7),MOUVEMENTS!$L$3:$L$461),IFERROR(VLOOKUP(A7,ARTICLES!$A$2:$H$485,8,0),0))</f>
        <v>0</v>
      </c>
      <c r="I7" s="76">
        <f t="shared" si="1"/>
        <v>0</v>
      </c>
      <c r="J7" s="77" t="str">
        <f>IFERROR(G7+(SUMIFS(MOUVEMENTS!$E$3:$E$461,MOUVEMENTS!$B$3:$B$461,A7,MOUVEMENTS!$D$3:$D$461,"OUT")/MAX(1,$N$4))*$N$6,G7)</f>
        <v>B</v>
      </c>
      <c r="K7" s="78" t="str">
        <f t="shared" si="2"/>
        <v>!! RUPTURE</v>
      </c>
      <c r="L7" s="79"/>
      <c r="M7" s="79"/>
      <c r="N7" s="79"/>
    </row>
    <row r="8" spans="1:14" ht="15" customHeight="1">
      <c r="A8" s="69" t="s">
        <v>61</v>
      </c>
      <c r="B8" s="70" t="str">
        <f>IFERROR(VLOOKUP(A8,ARTICLES!$A$2:$G$485,2,0),"")</f>
        <v>Agrafeuse de bureau</v>
      </c>
      <c r="C8" s="71" t="str">
        <f>IFERROR(VLOOKUP(A8,ARTICLES!$A$2:$E$485,5,0),"")</f>
        <v>Fournitures Bureau</v>
      </c>
      <c r="D8" s="72">
        <f>SUMIFS(MOUVEMENTS!$E$3:$E$461,MOUVEMENTS!$B$3:$B$461,A8,MOUVEMENTS!$D$3:$D$461,"IN")</f>
        <v>0</v>
      </c>
      <c r="E8" s="73">
        <f>SUMIFS(MOUVEMENTS!$E$3:$E$461,MOUVEMENTS!$B$3:$B$461,A8,MOUVEMENTS!$D$3:$D$461,"OUT")</f>
        <v>13</v>
      </c>
      <c r="F8" s="74">
        <f t="shared" si="0"/>
        <v>-13</v>
      </c>
      <c r="G8" s="75" t="str">
        <f>IFERROR(VLOOKUP(A8,ARTICLES!$A$2:$F$485,6,0),0)</f>
        <v>C</v>
      </c>
      <c r="H8" s="59">
        <f>IFERROR(LOOKUP(2,1/(MOUVEMENTS!$B$3:$B$461=A8),MOUVEMENTS!$L$3:$L$461),IFERROR(VLOOKUP(A8,ARTICLES!$A$2:$H$485,8,0),0))</f>
        <v>0</v>
      </c>
      <c r="I8" s="76">
        <f t="shared" si="1"/>
        <v>0</v>
      </c>
      <c r="J8" s="77" t="str">
        <f>IFERROR(G8+(SUMIFS(MOUVEMENTS!$E$3:$E$461,MOUVEMENTS!$B$3:$B$461,A8,MOUVEMENTS!$D$3:$D$461,"OUT")/MAX(1,$N$4))*$N$6,G8)</f>
        <v>C</v>
      </c>
      <c r="K8" s="78" t="str">
        <f t="shared" si="2"/>
        <v>&gt;&gt; COMMANDER</v>
      </c>
      <c r="L8" s="79"/>
      <c r="M8" s="79"/>
      <c r="N8" s="79"/>
    </row>
    <row r="9" spans="1:14" ht="15" customHeight="1">
      <c r="A9" s="69" t="s">
        <v>63</v>
      </c>
      <c r="B9" s="70" t="str">
        <f>IFERROR(VLOOKUP(A9,ARTICLES!$A$2:$G$485,2,0),"")</f>
        <v>Stylos bille boite/50</v>
      </c>
      <c r="C9" s="71" t="str">
        <f>IFERROR(VLOOKUP(A9,ARTICLES!$A$2:$E$485,5,0),"")</f>
        <v>Fournitures Bureau</v>
      </c>
      <c r="D9" s="72">
        <f>SUMIFS(MOUVEMENTS!$E$3:$E$461,MOUVEMENTS!$B$3:$B$461,A9,MOUVEMENTS!$D$3:$D$461,"IN")</f>
        <v>80</v>
      </c>
      <c r="E9" s="73">
        <f>SUMIFS(MOUVEMENTS!$E$3:$E$461,MOUVEMENTS!$B$3:$B$461,A9,MOUVEMENTS!$D$3:$D$461,"OUT")</f>
        <v>102</v>
      </c>
      <c r="F9" s="74">
        <f t="shared" si="0"/>
        <v>-22</v>
      </c>
      <c r="G9" s="75" t="str">
        <f>IFERROR(VLOOKUP(A9,ARTICLES!$A$2:$F$485,6,0),0)</f>
        <v>B</v>
      </c>
      <c r="H9" s="59">
        <f>IFERROR(LOOKUP(2,1/(MOUVEMENTS!$B$3:$B$461=A9),MOUVEMENTS!$L$3:$L$461),IFERROR(VLOOKUP(A9,ARTICLES!$A$2:$H$485,8,0),0))</f>
        <v>0</v>
      </c>
      <c r="I9" s="76">
        <f t="shared" si="1"/>
        <v>0</v>
      </c>
      <c r="J9" s="77" t="str">
        <f>IFERROR(G9+(SUMIFS(MOUVEMENTS!$E$3:$E$461,MOUVEMENTS!$B$3:$B$461,A9,MOUVEMENTS!$D$3:$D$461,"OUT")/MAX(1,$N$4))*$N$6,G9)</f>
        <v>B</v>
      </c>
      <c r="K9" s="78" t="str">
        <f t="shared" si="2"/>
        <v>&gt;&gt; COMMANDER</v>
      </c>
      <c r="L9" s="79"/>
      <c r="M9" s="79"/>
      <c r="N9" s="79"/>
    </row>
    <row r="10" spans="1:14" ht="15" customHeight="1">
      <c r="A10" s="69" t="s">
        <v>64</v>
      </c>
      <c r="B10" s="70" t="str">
        <f>IFERROR(VLOOKUP(A10,ARTICLES!$A$2:$G$485,2,0),"")</f>
        <v>Registre grand format 5m</v>
      </c>
      <c r="C10" s="71" t="str">
        <f>IFERROR(VLOOKUP(A10,ARTICLES!$A$2:$E$485,5,0),"")</f>
        <v>Admin</v>
      </c>
      <c r="D10" s="72">
        <f>SUMIFS(MOUVEMENTS!$E$3:$E$461,MOUVEMENTS!$B$3:$B$461,A10,MOUVEMENTS!$D$3:$D$461,"IN")</f>
        <v>0</v>
      </c>
      <c r="E10" s="73">
        <f>SUMIFS(MOUVEMENTS!$E$3:$E$461,MOUVEMENTS!$B$3:$B$461,A10,MOUVEMENTS!$D$3:$D$461,"OUT")</f>
        <v>22</v>
      </c>
      <c r="F10" s="74">
        <f t="shared" si="0"/>
        <v>-22</v>
      </c>
      <c r="G10" s="75" t="str">
        <f>IFERROR(VLOOKUP(A10,ARTICLES!$A$2:$F$485,6,0),0)</f>
        <v>C</v>
      </c>
      <c r="H10" s="59">
        <f>IFERROR(LOOKUP(2,1/(MOUVEMENTS!$B$3:$B$461=A10),MOUVEMENTS!$L$3:$L$461),IFERROR(VLOOKUP(A10,ARTICLES!$A$2:$H$485,8,0),0))</f>
        <v>0</v>
      </c>
      <c r="I10" s="76">
        <f t="shared" si="1"/>
        <v>0</v>
      </c>
      <c r="J10" s="77" t="str">
        <f>IFERROR(G10+(SUMIFS(MOUVEMENTS!$E$3:$E$461,MOUVEMENTS!$B$3:$B$461,A10,MOUVEMENTS!$D$3:$D$461,"OUT")/MAX(1,$N$4))*$N$6,G10)</f>
        <v>C</v>
      </c>
      <c r="K10" s="78" t="str">
        <f t="shared" si="2"/>
        <v>&gt;&gt; COMMANDER</v>
      </c>
      <c r="L10" s="79"/>
      <c r="M10" s="79"/>
      <c r="N10" s="79"/>
    </row>
    <row r="11" spans="1:14" ht="15" customHeight="1">
      <c r="A11" s="69" t="s">
        <v>66</v>
      </c>
      <c r="B11" s="70" t="str">
        <f>IFERROR(VLOOKUP(A11,ARTICLES!$A$2:$G$485,2,0),"")</f>
        <v>Encre tampon</v>
      </c>
      <c r="C11" s="71" t="str">
        <f>IFERROR(VLOOKUP(A11,ARTICLES!$A$2:$E$485,5,0),"")</f>
        <v>Fournitures Bureau</v>
      </c>
      <c r="D11" s="72">
        <f>SUMIFS(MOUVEMENTS!$E$3:$E$461,MOUVEMENTS!$B$3:$B$461,A11,MOUVEMENTS!$D$3:$D$461,"IN")</f>
        <v>0</v>
      </c>
      <c r="E11" s="73">
        <f>SUMIFS(MOUVEMENTS!$E$3:$E$461,MOUVEMENTS!$B$3:$B$461,A11,MOUVEMENTS!$D$3:$D$461,"OUT")</f>
        <v>8</v>
      </c>
      <c r="F11" s="74">
        <f t="shared" si="0"/>
        <v>-8</v>
      </c>
      <c r="G11" s="75" t="str">
        <f>IFERROR(VLOOKUP(A11,ARTICLES!$A$2:$F$485,6,0),0)</f>
        <v>C</v>
      </c>
      <c r="H11" s="59">
        <f>IFERROR(LOOKUP(2,1/(MOUVEMENTS!$B$3:$B$461=A11),MOUVEMENTS!$L$3:$L$461),IFERROR(VLOOKUP(A11,ARTICLES!$A$2:$H$485,8,0),0))</f>
        <v>0</v>
      </c>
      <c r="I11" s="76">
        <f t="shared" si="1"/>
        <v>0</v>
      </c>
      <c r="J11" s="77" t="str">
        <f>IFERROR(G11+(SUMIFS(MOUVEMENTS!$E$3:$E$461,MOUVEMENTS!$B$3:$B$461,A11,MOUVEMENTS!$D$3:$D$461,"OUT")/MAX(1,$N$4))*$N$6,G11)</f>
        <v>C</v>
      </c>
      <c r="K11" s="78" t="str">
        <f t="shared" si="2"/>
        <v>&gt;&gt; COMMANDER</v>
      </c>
      <c r="L11" s="79"/>
      <c r="M11" s="79"/>
      <c r="N11" s="79"/>
    </row>
    <row r="12" spans="1:14" ht="15" customHeight="1">
      <c r="A12" s="69" t="s">
        <v>67</v>
      </c>
      <c r="B12" s="70" t="str">
        <f>IFERROR(VLOOKUP(A12,ARTICLES!$A$2:$G$485,2,0),"")</f>
        <v>Sous-chemise carton</v>
      </c>
      <c r="C12" s="71" t="str">
        <f>IFERROR(VLOOKUP(A12,ARTICLES!$A$2:$E$485,5,0),"")</f>
        <v>Fournitures Bureau</v>
      </c>
      <c r="D12" s="72">
        <f>SUMIFS(MOUVEMENTS!$E$3:$E$461,MOUVEMENTS!$B$3:$B$461,A12,MOUVEMENTS!$D$3:$D$461,"IN")</f>
        <v>100</v>
      </c>
      <c r="E12" s="73">
        <f>SUMIFS(MOUVEMENTS!$E$3:$E$461,MOUVEMENTS!$B$3:$B$461,A12,MOUVEMENTS!$D$3:$D$461,"OUT")</f>
        <v>125</v>
      </c>
      <c r="F12" s="74">
        <f t="shared" si="0"/>
        <v>-25</v>
      </c>
      <c r="G12" s="75" t="str">
        <f>IFERROR(VLOOKUP(A12,ARTICLES!$A$2:$F$485,6,0),0)</f>
        <v>B</v>
      </c>
      <c r="H12" s="59">
        <f>IFERROR(LOOKUP(2,1/(MOUVEMENTS!$B$3:$B$461=A12),MOUVEMENTS!$L$3:$L$461),IFERROR(VLOOKUP(A12,ARTICLES!$A$2:$H$485,8,0),0))</f>
        <v>0</v>
      </c>
      <c r="I12" s="76">
        <f t="shared" si="1"/>
        <v>0</v>
      </c>
      <c r="J12" s="77" t="str">
        <f>IFERROR(G12+(SUMIFS(MOUVEMENTS!$E$3:$E$461,MOUVEMENTS!$B$3:$B$461,A12,MOUVEMENTS!$D$3:$D$461,"OUT")/MAX(1,$N$4))*$N$6,G12)</f>
        <v>B</v>
      </c>
      <c r="K12" s="78" t="str">
        <f t="shared" si="2"/>
        <v>&gt;&gt; COMMANDER</v>
      </c>
      <c r="L12" s="79"/>
      <c r="M12" s="79"/>
      <c r="N12" s="79"/>
    </row>
    <row r="13" spans="1:14" ht="15" customHeight="1">
      <c r="A13" s="69" t="s">
        <v>68</v>
      </c>
      <c r="B13" s="70" t="str">
        <f>IFERROR(VLOOKUP(A13,ARTICLES!$A$2:$G$485,2,0),"")</f>
        <v>Chemise cartonnee</v>
      </c>
      <c r="C13" s="71" t="str">
        <f>IFERROR(VLOOKUP(A13,ARTICLES!$A$2:$E$485,5,0),"")</f>
        <v>Fournitures Bureau</v>
      </c>
      <c r="D13" s="72">
        <f>SUMIFS(MOUVEMENTS!$E$3:$E$461,MOUVEMENTS!$B$3:$B$461,A13,MOUVEMENTS!$D$3:$D$461,"IN")</f>
        <v>100</v>
      </c>
      <c r="E13" s="73">
        <f>SUMIFS(MOUVEMENTS!$E$3:$E$461,MOUVEMENTS!$B$3:$B$461,A13,MOUVEMENTS!$D$3:$D$461,"OUT")</f>
        <v>93</v>
      </c>
      <c r="F13" s="74">
        <f t="shared" si="0"/>
        <v>7</v>
      </c>
      <c r="G13" s="75" t="str">
        <f>IFERROR(VLOOKUP(A13,ARTICLES!$A$2:$F$485,6,0),0)</f>
        <v>B</v>
      </c>
      <c r="H13" s="59">
        <f>IFERROR(LOOKUP(2,1/(MOUVEMENTS!$B$3:$B$461=A13),MOUVEMENTS!$L$3:$L$461),IFERROR(VLOOKUP(A13,ARTICLES!$A$2:$H$485,8,0),0))</f>
        <v>0</v>
      </c>
      <c r="I13" s="76">
        <f t="shared" si="1"/>
        <v>0</v>
      </c>
      <c r="J13" s="77" t="str">
        <f>IFERROR(G13+(SUMIFS(MOUVEMENTS!$E$3:$E$461,MOUVEMENTS!$B$3:$B$461,A13,MOUVEMENTS!$D$3:$D$461,"OUT")/MAX(1,$N$4))*$N$6,G13)</f>
        <v>B</v>
      </c>
      <c r="K13" s="78" t="str">
        <f t="shared" si="2"/>
        <v>&gt;&gt; COMMANDER</v>
      </c>
      <c r="L13" s="79"/>
      <c r="M13" s="79"/>
      <c r="N13" s="79"/>
    </row>
    <row r="14" spans="1:14" ht="15" customHeight="1">
      <c r="A14" s="69" t="s">
        <v>69</v>
      </c>
      <c r="B14" s="70" t="str">
        <f>IFERROR(VLOOKUP(A14,ARTICLES!$A$2:$G$485,2,0),"")</f>
        <v>Rouleau papier fax</v>
      </c>
      <c r="C14" s="71" t="str">
        <f>IFERROR(VLOOKUP(A14,ARTICLES!$A$2:$E$485,5,0),"")</f>
        <v>Informatique</v>
      </c>
      <c r="D14" s="72">
        <f>SUMIFS(MOUVEMENTS!$E$3:$E$461,MOUVEMENTS!$B$3:$B$461,A14,MOUVEMENTS!$D$3:$D$461,"IN")</f>
        <v>0</v>
      </c>
      <c r="E14" s="73">
        <f>SUMIFS(MOUVEMENTS!$E$3:$E$461,MOUVEMENTS!$B$3:$B$461,A14,MOUVEMENTS!$D$3:$D$461,"OUT")</f>
        <v>5</v>
      </c>
      <c r="F14" s="74">
        <f t="shared" si="0"/>
        <v>-5</v>
      </c>
      <c r="G14" s="75" t="str">
        <f>IFERROR(VLOOKUP(A14,ARTICLES!$A$2:$F$485,6,0),0)</f>
        <v>C</v>
      </c>
      <c r="H14" s="59">
        <f>IFERROR(LOOKUP(2,1/(MOUVEMENTS!$B$3:$B$461=A14),MOUVEMENTS!$L$3:$L$461),IFERROR(VLOOKUP(A14,ARTICLES!$A$2:$H$485,8,0),0))</f>
        <v>0</v>
      </c>
      <c r="I14" s="76">
        <f t="shared" si="1"/>
        <v>0</v>
      </c>
      <c r="J14" s="77" t="str">
        <f>IFERROR(G14+(SUMIFS(MOUVEMENTS!$E$3:$E$461,MOUVEMENTS!$B$3:$B$461,A14,MOUVEMENTS!$D$3:$D$461,"OUT")/MAX(1,$N$4))*$N$6,G14)</f>
        <v>C</v>
      </c>
      <c r="K14" s="78" t="str">
        <f t="shared" si="2"/>
        <v>&gt;&gt; COMMANDER</v>
      </c>
      <c r="L14" s="79"/>
      <c r="M14" s="79"/>
      <c r="N14" s="79"/>
    </row>
    <row r="15" spans="1:14" ht="15" customHeight="1">
      <c r="A15" s="69" t="s">
        <v>70</v>
      </c>
      <c r="B15" s="70" t="str">
        <f>IFERROR(VLOOKUP(A15,ARTICLES!$A$2:$G$485,2,0),"")</f>
        <v>Marqueur permanent noir</v>
      </c>
      <c r="C15" s="71" t="str">
        <f>IFERROR(VLOOKUP(A15,ARTICLES!$A$2:$E$485,5,0),"")</f>
        <v>Fournitures Bureau</v>
      </c>
      <c r="D15" s="72">
        <f>SUMIFS(MOUVEMENTS!$E$3:$E$461,MOUVEMENTS!$B$3:$B$461,A15,MOUVEMENTS!$D$3:$D$461,"IN")</f>
        <v>0</v>
      </c>
      <c r="E15" s="73">
        <f>SUMIFS(MOUVEMENTS!$E$3:$E$461,MOUVEMENTS!$B$3:$B$461,A15,MOUVEMENTS!$D$3:$D$461,"OUT")</f>
        <v>30</v>
      </c>
      <c r="F15" s="74">
        <f t="shared" si="0"/>
        <v>-30</v>
      </c>
      <c r="G15" s="75" t="str">
        <f>IFERROR(VLOOKUP(A15,ARTICLES!$A$2:$F$485,6,0),0)</f>
        <v>C</v>
      </c>
      <c r="H15" s="59">
        <f>IFERROR(LOOKUP(2,1/(MOUVEMENTS!$B$3:$B$461=A15),MOUVEMENTS!$L$3:$L$461),IFERROR(VLOOKUP(A15,ARTICLES!$A$2:$H$485,8,0),0))</f>
        <v>0</v>
      </c>
      <c r="I15" s="76">
        <f t="shared" si="1"/>
        <v>0</v>
      </c>
      <c r="J15" s="77" t="str">
        <f>IFERROR(G15+(SUMIFS(MOUVEMENTS!$E$3:$E$461,MOUVEMENTS!$B$3:$B$461,A15,MOUVEMENTS!$D$3:$D$461,"OUT")/MAX(1,$N$4))*$N$6,G15)</f>
        <v>C</v>
      </c>
      <c r="K15" s="78" t="str">
        <f t="shared" si="2"/>
        <v>&gt;&gt; COMMANDER</v>
      </c>
      <c r="L15" s="79"/>
      <c r="M15" s="79"/>
      <c r="N15" s="79"/>
    </row>
    <row r="17" spans="1:14" ht="15" customHeight="1">
      <c r="A17" s="213" t="s">
        <v>189</v>
      </c>
      <c r="B17" s="214"/>
      <c r="D17" s="82"/>
      <c r="E17" s="82"/>
      <c r="F17" s="77">
        <f>SUM(F4:F16)</f>
        <v>-25</v>
      </c>
      <c r="G17" s="82"/>
      <c r="H17" s="82"/>
      <c r="I17" s="83">
        <f>SUM(I4:I16)</f>
        <v>0</v>
      </c>
      <c r="J17" s="82"/>
      <c r="K17" s="82"/>
      <c r="L17" s="82"/>
      <c r="M17" s="82"/>
      <c r="N17" s="82"/>
    </row>
    <row r="19" spans="1:14" ht="15" customHeight="1">
      <c r="A19" s="211" t="s">
        <v>190</v>
      </c>
      <c r="B19" s="187"/>
      <c r="C19" s="187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</row>
  </sheetData>
  <sheetProtection algorithmName="SHA-512" hashValue="2SximZZYcsZdOqnHoB4KV/lL4P7U5alTmrHDPcmCsGdZ2mVlO8gmEXw+0SYbmS4/jWhQ/ZSruc7U91F8nHTZlw==" saltValue="z0F1FFQMnPj1PsnO3iLJ4Q==" spinCount="100000" sheet="1" objects="1" scenarios="1" autoFilter="0"/>
  <mergeCells count="4">
    <mergeCell ref="A1:N1"/>
    <mergeCell ref="A19:N19"/>
    <mergeCell ref="A2:N2"/>
    <mergeCell ref="A17:B17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62828"/>
  </sheetPr>
  <dimension ref="A1:K25"/>
  <sheetViews>
    <sheetView topLeftCell="A13" zoomScaleNormal="100" workbookViewId="0">
      <selection activeCell="K26" sqref="A1:K26"/>
    </sheetView>
  </sheetViews>
  <sheetFormatPr defaultColWidth="8.7109375" defaultRowHeight="15"/>
  <cols>
    <col min="1" max="1" width="10" style="1" customWidth="1"/>
    <col min="2" max="2" width="30" style="1" customWidth="1"/>
    <col min="3" max="3" width="7" style="1" customWidth="1"/>
    <col min="4" max="4" width="13" style="1" customWidth="1"/>
    <col min="5" max="5" width="10" style="1" customWidth="1"/>
    <col min="6" max="6" width="11" style="1" customWidth="1"/>
    <col min="7" max="7" width="15" style="1" customWidth="1"/>
    <col min="8" max="8" width="11" style="1" customWidth="1"/>
    <col min="9" max="9" width="14" style="1" customWidth="1"/>
    <col min="10" max="10" width="10" style="1" customWidth="1"/>
    <col min="11" max="11" width="34" style="1" customWidth="1"/>
  </cols>
  <sheetData>
    <row r="1" spans="1:11" ht="31.5" customHeight="1">
      <c r="A1" s="221" t="s">
        <v>191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</row>
    <row r="2" spans="1:11" ht="15" customHeight="1">
      <c r="A2" s="225" t="s">
        <v>192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</row>
    <row r="3" spans="1:11" ht="15.75" customHeight="1">
      <c r="A3" s="215" t="s">
        <v>193</v>
      </c>
      <c r="B3" s="187"/>
      <c r="C3" s="187"/>
      <c r="D3" s="187"/>
      <c r="E3" s="187"/>
      <c r="F3" s="187"/>
      <c r="G3" s="187"/>
      <c r="H3" s="187"/>
      <c r="I3" s="187"/>
      <c r="J3" s="187"/>
      <c r="K3" s="187"/>
    </row>
    <row r="4" spans="1:11" ht="13.5" customHeight="1"/>
    <row r="5" spans="1:11" ht="24" customHeight="1">
      <c r="A5" s="224" t="s">
        <v>194</v>
      </c>
      <c r="B5" s="187"/>
      <c r="C5" s="187"/>
      <c r="D5" s="187"/>
      <c r="E5" s="187"/>
      <c r="F5" s="187"/>
      <c r="G5" s="187"/>
      <c r="H5" s="187"/>
      <c r="I5" s="187"/>
      <c r="J5" s="187"/>
      <c r="K5" s="187"/>
    </row>
    <row r="6" spans="1:11" ht="15" customHeight="1">
      <c r="A6" s="227" t="s">
        <v>195</v>
      </c>
      <c r="B6" s="217"/>
      <c r="C6" s="218"/>
      <c r="D6" s="229" t="s">
        <v>196</v>
      </c>
      <c r="E6" s="217"/>
      <c r="F6" s="218"/>
      <c r="G6" s="216" t="s">
        <v>197</v>
      </c>
      <c r="H6" s="217"/>
      <c r="I6" s="218"/>
      <c r="J6" s="219" t="s">
        <v>198</v>
      </c>
      <c r="K6" s="218"/>
    </row>
    <row r="7" spans="1:11" ht="43.5" customHeight="1">
      <c r="A7" s="230">
        <f>COUNTIF('TABLEAU DE BORD'!$K$4:$K$15,"!! RUPTURE")</f>
        <v>1</v>
      </c>
      <c r="B7" s="217"/>
      <c r="C7" s="218"/>
      <c r="D7" s="222">
        <f>COUNTIF('TABLEAU DE BORD'!$K$4:$K$15,"&gt;&gt; COMMANDER")</f>
        <v>11</v>
      </c>
      <c r="E7" s="217"/>
      <c r="F7" s="218"/>
      <c r="G7" s="223">
        <f>COUNTIF('TABLEAU DE BORD'!$K$4:$K$15,"~ ALERTE")</f>
        <v>0</v>
      </c>
      <c r="H7" s="217"/>
      <c r="I7" s="218"/>
      <c r="J7" s="228">
        <f>COUNTIF('TABLEAU DE BORD'!$K$4:$K$15,"OK")</f>
        <v>0</v>
      </c>
      <c r="K7" s="218"/>
    </row>
    <row r="8" spans="1:11" ht="18" customHeight="1">
      <c r="A8" s="220" t="str">
        <f>COUNTIF('TABLEAU DE BORD'!$K$4:$K$15,"!! RUPTURE")&amp;" / 12 articles"</f>
        <v>1 / 12 articles</v>
      </c>
      <c r="B8" s="214"/>
      <c r="C8" s="185"/>
      <c r="D8" s="220" t="str">
        <f>COUNTIF('TABLEAU DE BORD'!$K$4:$K$15,"&gt;&gt; COMMANDER")&amp;" / 12 articles"</f>
        <v>11 / 12 articles</v>
      </c>
      <c r="E8" s="214"/>
      <c r="F8" s="185"/>
      <c r="G8" s="220" t="str">
        <f>COUNTIF('TABLEAU DE BORD'!$K$4:$K$15,"~ ALERTE")&amp;" / 12 articles"</f>
        <v>0 / 12 articles</v>
      </c>
      <c r="H8" s="214"/>
      <c r="I8" s="185"/>
      <c r="J8" s="220" t="str">
        <f>COUNTIF('TABLEAU DE BORD'!$K$4:$K$15,"OK")&amp;" / 12 articles"</f>
        <v>0 / 12 articles</v>
      </c>
      <c r="K8" s="185"/>
    </row>
    <row r="9" spans="1:11" ht="9.75" customHeight="1"/>
    <row r="10" spans="1:11" ht="24" customHeight="1">
      <c r="A10" s="224" t="s">
        <v>199</v>
      </c>
      <c r="B10" s="187"/>
      <c r="C10" s="187"/>
      <c r="D10" s="187"/>
      <c r="E10" s="187"/>
      <c r="F10" s="187"/>
      <c r="G10" s="187"/>
      <c r="H10" s="187"/>
      <c r="I10" s="187"/>
      <c r="J10" s="187"/>
      <c r="K10" s="187"/>
    </row>
    <row r="11" spans="1:11" ht="27.75" customHeight="1">
      <c r="A11" s="84" t="s">
        <v>72</v>
      </c>
      <c r="B11" s="84" t="s">
        <v>175</v>
      </c>
      <c r="C11" s="84" t="s">
        <v>176</v>
      </c>
      <c r="D11" s="84" t="s">
        <v>200</v>
      </c>
      <c r="E11" s="84" t="s">
        <v>49</v>
      </c>
      <c r="F11" s="84" t="s">
        <v>201</v>
      </c>
      <c r="G11" s="84" t="s">
        <v>183</v>
      </c>
      <c r="H11" s="84" t="s">
        <v>180</v>
      </c>
      <c r="I11" s="84" t="s">
        <v>164</v>
      </c>
      <c r="J11" s="84" t="s">
        <v>202</v>
      </c>
      <c r="K11" s="84" t="s">
        <v>203</v>
      </c>
    </row>
    <row r="12" spans="1:11" ht="21.75" customHeight="1">
      <c r="A12" s="69" t="str">
        <f>'TABLEAU DE BORD'!A4</f>
        <v>ART-001</v>
      </c>
      <c r="B12" s="28" t="str">
        <f>'TABLEAU DE BORD'!B4</f>
        <v>Toner imprimante G030 (noir)</v>
      </c>
      <c r="C12" s="27" t="str">
        <f>'TABLEAU DE BORD'!C4</f>
        <v>Informatique</v>
      </c>
      <c r="D12" s="85">
        <f>'TABLEAU DE BORD'!F4</f>
        <v>60</v>
      </c>
      <c r="E12" s="86" t="str">
        <f>'TABLEAU DE BORD'!G4</f>
        <v>A</v>
      </c>
      <c r="F12" s="86" t="str">
        <f>'TABLEAU DE BORD'!J4</f>
        <v>A</v>
      </c>
      <c r="G12" s="69" t="str">
        <f>'TABLEAU DE BORD'!K4</f>
        <v>&gt;&gt; COMMANDER</v>
      </c>
      <c r="H12" s="87">
        <f>'TABLEAU DE BORD'!H4</f>
        <v>0</v>
      </c>
      <c r="I12" s="88">
        <f>'TABLEAU DE BORD'!I4</f>
        <v>0</v>
      </c>
      <c r="J12" s="89" t="str">
        <f>IF('TABLEAU DE BORD'!K4="!! RUPTURE","1 — CRITIQUE",IF('TABLEAU DE BORD'!K4="&gt;&gt; COMMANDER","2 — URGENT",IF('TABLEAU DE BORD'!K4="~ ALERTE","3 — ATTENTION","4 — Normal")))</f>
        <v>2 — URGENT</v>
      </c>
      <c r="K12" s="90" t="str">
        <f>IF('TABLEAU DE BORD'!K4="!! RUPTURE","⛔ BLOQUER sorties — Lancer BC immédiatement",IF('TABLEAU DE BORD'!K4="&gt;&gt; COMMANDER","📋 Émettre BC maintenant (stock ≤ ROP)",IF('TABLEAU DE BORD'!K4="~ ALERTE","⚠ Surveiller — préparer commande sous 3 jours","✔ Aucune action requise")))</f>
        <v>📋 Émettre BC maintenant (stock ≤ ROP)</v>
      </c>
    </row>
    <row r="13" spans="1:11" ht="21.75" customHeight="1">
      <c r="A13" s="69" t="str">
        <f>'TABLEAU DE BORD'!A5</f>
        <v>ART-002</v>
      </c>
      <c r="B13" s="91" t="str">
        <f>'TABLEAU DE BORD'!B5</f>
        <v>Rame papier A4 80g/m2</v>
      </c>
      <c r="C13" s="92" t="str">
        <f>'TABLEAU DE BORD'!C5</f>
        <v>Fournitures Bureau</v>
      </c>
      <c r="D13" s="85">
        <f>'TABLEAU DE BORD'!F5</f>
        <v>22</v>
      </c>
      <c r="E13" s="58" t="str">
        <f>'TABLEAU DE BORD'!G5</f>
        <v>A</v>
      </c>
      <c r="F13" s="58" t="str">
        <f>'TABLEAU DE BORD'!J5</f>
        <v>A</v>
      </c>
      <c r="G13" s="69" t="str">
        <f>'TABLEAU DE BORD'!K5</f>
        <v>&gt;&gt; COMMANDER</v>
      </c>
      <c r="H13" s="93">
        <f>'TABLEAU DE BORD'!H5</f>
        <v>0</v>
      </c>
      <c r="I13" s="94">
        <f>'TABLEAU DE BORD'!I5</f>
        <v>0</v>
      </c>
      <c r="J13" s="89" t="str">
        <f>IF('TABLEAU DE BORD'!K5="!! RUPTURE","1 — CRITIQUE",IF('TABLEAU DE BORD'!K5="&gt;&gt; COMMANDER","2 — URGENT",IF('TABLEAU DE BORD'!K5="~ ALERTE","3 — ATTENTION","4 — Normal")))</f>
        <v>2 — URGENT</v>
      </c>
      <c r="K13" s="90" t="str">
        <f>IF('TABLEAU DE BORD'!K5="!! RUPTURE","⛔ BLOQUER sorties — Lancer BC immédiatement",IF('TABLEAU DE BORD'!K5="&gt;&gt; COMMANDER","📋 Émettre BC maintenant (stock ≤ ROP)",IF('TABLEAU DE BORD'!K5="~ ALERTE","⚠ Surveiller — préparer commande sous 3 jours","✔ Aucune action requise")))</f>
        <v>📋 Émettre BC maintenant (stock ≤ ROP)</v>
      </c>
    </row>
    <row r="14" spans="1:11" ht="21.75" customHeight="1">
      <c r="A14" s="69" t="str">
        <f>'TABLEAU DE BORD'!A6</f>
        <v>ART-003</v>
      </c>
      <c r="B14" s="28" t="str">
        <f>'TABLEAU DE BORD'!B6</f>
        <v>Rame papier A3 80g/m2</v>
      </c>
      <c r="C14" s="27" t="str">
        <f>'TABLEAU DE BORD'!C6</f>
        <v>Fournitures Bureau</v>
      </c>
      <c r="D14" s="85">
        <f>'TABLEAU DE BORD'!F6</f>
        <v>11</v>
      </c>
      <c r="E14" s="86" t="str">
        <f>'TABLEAU DE BORD'!G6</f>
        <v>B</v>
      </c>
      <c r="F14" s="86" t="str">
        <f>'TABLEAU DE BORD'!J6</f>
        <v>B</v>
      </c>
      <c r="G14" s="69" t="str">
        <f>'TABLEAU DE BORD'!K6</f>
        <v>&gt;&gt; COMMANDER</v>
      </c>
      <c r="H14" s="87">
        <f>'TABLEAU DE BORD'!H6</f>
        <v>0</v>
      </c>
      <c r="I14" s="88">
        <f>'TABLEAU DE BORD'!I6</f>
        <v>0</v>
      </c>
      <c r="J14" s="89" t="str">
        <f>IF('TABLEAU DE BORD'!K6="!! RUPTURE","1 — CRITIQUE",IF('TABLEAU DE BORD'!K6="&gt;&gt; COMMANDER","2 — URGENT",IF('TABLEAU DE BORD'!K6="~ ALERTE","3 — ATTENTION","4 — Normal")))</f>
        <v>2 — URGENT</v>
      </c>
      <c r="K14" s="90" t="str">
        <f>IF('TABLEAU DE BORD'!K6="!! RUPTURE","⛔ BLOQUER sorties — Lancer BC immédiatement",IF('TABLEAU DE BORD'!K6="&gt;&gt; COMMANDER","📋 Émettre BC maintenant (stock ≤ ROP)",IF('TABLEAU DE BORD'!K6="~ ALERTE","⚠ Surveiller — préparer commande sous 3 jours","✔ Aucune action requise")))</f>
        <v>📋 Émettre BC maintenant (stock ≤ ROP)</v>
      </c>
    </row>
    <row r="15" spans="1:11" ht="21.75" customHeight="1">
      <c r="A15" s="69" t="str">
        <f>'TABLEAU DE BORD'!A7</f>
        <v>ART-004</v>
      </c>
      <c r="B15" s="91" t="str">
        <f>'TABLEAU DE BORD'!B7</f>
        <v>Boite archives carton</v>
      </c>
      <c r="C15" s="92" t="str">
        <f>'TABLEAU DE BORD'!C7</f>
        <v>Admin</v>
      </c>
      <c r="D15" s="85">
        <f>'TABLEAU DE BORD'!F7</f>
        <v>0</v>
      </c>
      <c r="E15" s="58" t="str">
        <f>'TABLEAU DE BORD'!G7</f>
        <v>B</v>
      </c>
      <c r="F15" s="58" t="str">
        <f>'TABLEAU DE BORD'!J7</f>
        <v>B</v>
      </c>
      <c r="G15" s="69" t="str">
        <f>'TABLEAU DE BORD'!K7</f>
        <v>!! RUPTURE</v>
      </c>
      <c r="H15" s="93">
        <f>'TABLEAU DE BORD'!H7</f>
        <v>0</v>
      </c>
      <c r="I15" s="94">
        <f>'TABLEAU DE BORD'!I7</f>
        <v>0</v>
      </c>
      <c r="J15" s="89" t="str">
        <f>IF('TABLEAU DE BORD'!K7="!! RUPTURE","1 — CRITIQUE",IF('TABLEAU DE BORD'!K7="&gt;&gt; COMMANDER","2 — URGENT",IF('TABLEAU DE BORD'!K7="~ ALERTE","3 — ATTENTION","4 — Normal")))</f>
        <v>1 — CRITIQUE</v>
      </c>
      <c r="K15" s="90" t="str">
        <f>IF('TABLEAU DE BORD'!K7="!! RUPTURE","⛔ BLOQUER sorties — Lancer BC immédiatement",IF('TABLEAU DE BORD'!K7="&gt;&gt; COMMANDER","📋 Émettre BC maintenant (stock ≤ ROP)",IF('TABLEAU DE BORD'!K7="~ ALERTE","⚠ Surveiller — préparer commande sous 3 jours","✔ Aucune action requise")))</f>
        <v>⛔ BLOQUER sorties — Lancer BC immédiatement</v>
      </c>
    </row>
    <row r="16" spans="1:11" ht="21.75" customHeight="1">
      <c r="A16" s="69" t="str">
        <f>'TABLEAU DE BORD'!A8</f>
        <v>ART-005</v>
      </c>
      <c r="B16" s="28" t="str">
        <f>'TABLEAU DE BORD'!B8</f>
        <v>Agrafeuse de bureau</v>
      </c>
      <c r="C16" s="27" t="str">
        <f>'TABLEAU DE BORD'!C8</f>
        <v>Fournitures Bureau</v>
      </c>
      <c r="D16" s="85">
        <f>'TABLEAU DE BORD'!F8</f>
        <v>-13</v>
      </c>
      <c r="E16" s="86" t="str">
        <f>'TABLEAU DE BORD'!G8</f>
        <v>C</v>
      </c>
      <c r="F16" s="86" t="str">
        <f>'TABLEAU DE BORD'!J8</f>
        <v>C</v>
      </c>
      <c r="G16" s="69" t="str">
        <f>'TABLEAU DE BORD'!K8</f>
        <v>&gt;&gt; COMMANDER</v>
      </c>
      <c r="H16" s="87">
        <f>'TABLEAU DE BORD'!H8</f>
        <v>0</v>
      </c>
      <c r="I16" s="88">
        <f>'TABLEAU DE BORD'!I8</f>
        <v>0</v>
      </c>
      <c r="J16" s="89" t="str">
        <f>IF('TABLEAU DE BORD'!K8="!! RUPTURE","1 — CRITIQUE",IF('TABLEAU DE BORD'!K8="&gt;&gt; COMMANDER","2 — URGENT",IF('TABLEAU DE BORD'!K8="~ ALERTE","3 — ATTENTION","4 — Normal")))</f>
        <v>2 — URGENT</v>
      </c>
      <c r="K16" s="90" t="str">
        <f>IF('TABLEAU DE BORD'!K8="!! RUPTURE","⛔ BLOQUER sorties — Lancer BC immédiatement",IF('TABLEAU DE BORD'!K8="&gt;&gt; COMMANDER","📋 Émettre BC maintenant (stock ≤ ROP)",IF('TABLEAU DE BORD'!K8="~ ALERTE","⚠ Surveiller — préparer commande sous 3 jours","✔ Aucune action requise")))</f>
        <v>📋 Émettre BC maintenant (stock ≤ ROP)</v>
      </c>
    </row>
    <row r="17" spans="1:11" ht="21.75" customHeight="1">
      <c r="A17" s="69" t="str">
        <f>'TABLEAU DE BORD'!A9</f>
        <v>ART-006</v>
      </c>
      <c r="B17" s="91" t="str">
        <f>'TABLEAU DE BORD'!B9</f>
        <v>Stylos bille boite/50</v>
      </c>
      <c r="C17" s="92" t="str">
        <f>'TABLEAU DE BORD'!C9</f>
        <v>Fournitures Bureau</v>
      </c>
      <c r="D17" s="85">
        <f>'TABLEAU DE BORD'!F9</f>
        <v>-22</v>
      </c>
      <c r="E17" s="58" t="str">
        <f>'TABLEAU DE BORD'!G9</f>
        <v>B</v>
      </c>
      <c r="F17" s="58" t="str">
        <f>'TABLEAU DE BORD'!J9</f>
        <v>B</v>
      </c>
      <c r="G17" s="69" t="str">
        <f>'TABLEAU DE BORD'!K9</f>
        <v>&gt;&gt; COMMANDER</v>
      </c>
      <c r="H17" s="93">
        <f>'TABLEAU DE BORD'!H9</f>
        <v>0</v>
      </c>
      <c r="I17" s="94">
        <f>'TABLEAU DE BORD'!I9</f>
        <v>0</v>
      </c>
      <c r="J17" s="89" t="str">
        <f>IF('TABLEAU DE BORD'!K9="!! RUPTURE","1 — CRITIQUE",IF('TABLEAU DE BORD'!K9="&gt;&gt; COMMANDER","2 — URGENT",IF('TABLEAU DE BORD'!K9="~ ALERTE","3 — ATTENTION","4 — Normal")))</f>
        <v>2 — URGENT</v>
      </c>
      <c r="K17" s="90" t="str">
        <f>IF('TABLEAU DE BORD'!K9="!! RUPTURE","⛔ BLOQUER sorties — Lancer BC immédiatement",IF('TABLEAU DE BORD'!K9="&gt;&gt; COMMANDER","📋 Émettre BC maintenant (stock ≤ ROP)",IF('TABLEAU DE BORD'!K9="~ ALERTE","⚠ Surveiller — préparer commande sous 3 jours","✔ Aucune action requise")))</f>
        <v>📋 Émettre BC maintenant (stock ≤ ROP)</v>
      </c>
    </row>
    <row r="18" spans="1:11" ht="21.75" customHeight="1">
      <c r="A18" s="69" t="str">
        <f>'TABLEAU DE BORD'!A10</f>
        <v>ART-007</v>
      </c>
      <c r="B18" s="28" t="str">
        <f>'TABLEAU DE BORD'!B10</f>
        <v>Registre grand format 5m</v>
      </c>
      <c r="C18" s="27" t="str">
        <f>'TABLEAU DE BORD'!C10</f>
        <v>Admin</v>
      </c>
      <c r="D18" s="85">
        <f>'TABLEAU DE BORD'!F10</f>
        <v>-22</v>
      </c>
      <c r="E18" s="86" t="str">
        <f>'TABLEAU DE BORD'!G10</f>
        <v>C</v>
      </c>
      <c r="F18" s="86" t="str">
        <f>'TABLEAU DE BORD'!J10</f>
        <v>C</v>
      </c>
      <c r="G18" s="69" t="str">
        <f>'TABLEAU DE BORD'!K10</f>
        <v>&gt;&gt; COMMANDER</v>
      </c>
      <c r="H18" s="87">
        <f>'TABLEAU DE BORD'!H10</f>
        <v>0</v>
      </c>
      <c r="I18" s="88">
        <f>'TABLEAU DE BORD'!I10</f>
        <v>0</v>
      </c>
      <c r="J18" s="89" t="str">
        <f>IF('TABLEAU DE BORD'!K10="!! RUPTURE","1 — CRITIQUE",IF('TABLEAU DE BORD'!K10="&gt;&gt; COMMANDER","2 — URGENT",IF('TABLEAU DE BORD'!K10="~ ALERTE","3 — ATTENTION","4 — Normal")))</f>
        <v>2 — URGENT</v>
      </c>
      <c r="K18" s="90" t="str">
        <f>IF('TABLEAU DE BORD'!K10="!! RUPTURE","⛔ BLOQUER sorties — Lancer BC immédiatement",IF('TABLEAU DE BORD'!K10="&gt;&gt; COMMANDER","📋 Émettre BC maintenant (stock ≤ ROP)",IF('TABLEAU DE BORD'!K10="~ ALERTE","⚠ Surveiller — préparer commande sous 3 jours","✔ Aucune action requise")))</f>
        <v>📋 Émettre BC maintenant (stock ≤ ROP)</v>
      </c>
    </row>
    <row r="19" spans="1:11" ht="21.75" customHeight="1">
      <c r="A19" s="69" t="str">
        <f>'TABLEAU DE BORD'!A11</f>
        <v>ART-008</v>
      </c>
      <c r="B19" s="91" t="str">
        <f>'TABLEAU DE BORD'!B11</f>
        <v>Encre tampon</v>
      </c>
      <c r="C19" s="92" t="str">
        <f>'TABLEAU DE BORD'!C11</f>
        <v>Fournitures Bureau</v>
      </c>
      <c r="D19" s="85">
        <f>'TABLEAU DE BORD'!F11</f>
        <v>-8</v>
      </c>
      <c r="E19" s="58" t="str">
        <f>'TABLEAU DE BORD'!G11</f>
        <v>C</v>
      </c>
      <c r="F19" s="58" t="str">
        <f>'TABLEAU DE BORD'!J11</f>
        <v>C</v>
      </c>
      <c r="G19" s="69" t="str">
        <f>'TABLEAU DE BORD'!K11</f>
        <v>&gt;&gt; COMMANDER</v>
      </c>
      <c r="H19" s="93">
        <f>'TABLEAU DE BORD'!H11</f>
        <v>0</v>
      </c>
      <c r="I19" s="94">
        <f>'TABLEAU DE BORD'!I11</f>
        <v>0</v>
      </c>
      <c r="J19" s="89" t="str">
        <f>IF('TABLEAU DE BORD'!K11="!! RUPTURE","1 — CRITIQUE",IF('TABLEAU DE BORD'!K11="&gt;&gt; COMMANDER","2 — URGENT",IF('TABLEAU DE BORD'!K11="~ ALERTE","3 — ATTENTION","4 — Normal")))</f>
        <v>2 — URGENT</v>
      </c>
      <c r="K19" s="90" t="str">
        <f>IF('TABLEAU DE BORD'!K11="!! RUPTURE","⛔ BLOQUER sorties — Lancer BC immédiatement",IF('TABLEAU DE BORD'!K11="&gt;&gt; COMMANDER","📋 Émettre BC maintenant (stock ≤ ROP)",IF('TABLEAU DE BORD'!K11="~ ALERTE","⚠ Surveiller — préparer commande sous 3 jours","✔ Aucune action requise")))</f>
        <v>📋 Émettre BC maintenant (stock ≤ ROP)</v>
      </c>
    </row>
    <row r="20" spans="1:11" ht="21.75" customHeight="1">
      <c r="A20" s="69" t="str">
        <f>'TABLEAU DE BORD'!A12</f>
        <v>ART-009</v>
      </c>
      <c r="B20" s="28" t="str">
        <f>'TABLEAU DE BORD'!B12</f>
        <v>Sous-chemise carton</v>
      </c>
      <c r="C20" s="27" t="str">
        <f>'TABLEAU DE BORD'!C12</f>
        <v>Fournitures Bureau</v>
      </c>
      <c r="D20" s="85">
        <f>'TABLEAU DE BORD'!F12</f>
        <v>-25</v>
      </c>
      <c r="E20" s="86" t="str">
        <f>'TABLEAU DE BORD'!G12</f>
        <v>B</v>
      </c>
      <c r="F20" s="86" t="str">
        <f>'TABLEAU DE BORD'!J12</f>
        <v>B</v>
      </c>
      <c r="G20" s="69" t="str">
        <f>'TABLEAU DE BORD'!K12</f>
        <v>&gt;&gt; COMMANDER</v>
      </c>
      <c r="H20" s="87">
        <f>'TABLEAU DE BORD'!H12</f>
        <v>0</v>
      </c>
      <c r="I20" s="88">
        <f>'TABLEAU DE BORD'!I12</f>
        <v>0</v>
      </c>
      <c r="J20" s="89" t="str">
        <f>IF('TABLEAU DE BORD'!K12="!! RUPTURE","1 — CRITIQUE",IF('TABLEAU DE BORD'!K12="&gt;&gt; COMMANDER","2 — URGENT",IF('TABLEAU DE BORD'!K12="~ ALERTE","3 — ATTENTION","4 — Normal")))</f>
        <v>2 — URGENT</v>
      </c>
      <c r="K20" s="90" t="str">
        <f>IF('TABLEAU DE BORD'!K12="!! RUPTURE","⛔ BLOQUER sorties — Lancer BC immédiatement",IF('TABLEAU DE BORD'!K12="&gt;&gt; COMMANDER","📋 Émettre BC maintenant (stock ≤ ROP)",IF('TABLEAU DE BORD'!K12="~ ALERTE","⚠ Surveiller — préparer commande sous 3 jours","✔ Aucune action requise")))</f>
        <v>📋 Émettre BC maintenant (stock ≤ ROP)</v>
      </c>
    </row>
    <row r="21" spans="1:11" ht="21.75" customHeight="1">
      <c r="A21" s="69" t="str">
        <f>'TABLEAU DE BORD'!A13</f>
        <v>ART-010</v>
      </c>
      <c r="B21" s="91" t="str">
        <f>'TABLEAU DE BORD'!B13</f>
        <v>Chemise cartonnee</v>
      </c>
      <c r="C21" s="92" t="str">
        <f>'TABLEAU DE BORD'!C13</f>
        <v>Fournitures Bureau</v>
      </c>
      <c r="D21" s="85">
        <f>'TABLEAU DE BORD'!F13</f>
        <v>7</v>
      </c>
      <c r="E21" s="58" t="str">
        <f>'TABLEAU DE BORD'!G13</f>
        <v>B</v>
      </c>
      <c r="F21" s="58" t="str">
        <f>'TABLEAU DE BORD'!J13</f>
        <v>B</v>
      </c>
      <c r="G21" s="69" t="str">
        <f>'TABLEAU DE BORD'!K13</f>
        <v>&gt;&gt; COMMANDER</v>
      </c>
      <c r="H21" s="93">
        <f>'TABLEAU DE BORD'!H13</f>
        <v>0</v>
      </c>
      <c r="I21" s="94">
        <f>'TABLEAU DE BORD'!I13</f>
        <v>0</v>
      </c>
      <c r="J21" s="89" t="str">
        <f>IF('TABLEAU DE BORD'!K13="!! RUPTURE","1 — CRITIQUE",IF('TABLEAU DE BORD'!K13="&gt;&gt; COMMANDER","2 — URGENT",IF('TABLEAU DE BORD'!K13="~ ALERTE","3 — ATTENTION","4 — Normal")))</f>
        <v>2 — URGENT</v>
      </c>
      <c r="K21" s="90" t="str">
        <f>IF('TABLEAU DE BORD'!K13="!! RUPTURE","⛔ BLOQUER sorties — Lancer BC immédiatement",IF('TABLEAU DE BORD'!K13="&gt;&gt; COMMANDER","📋 Émettre BC maintenant (stock ≤ ROP)",IF('TABLEAU DE BORD'!K13="~ ALERTE","⚠ Surveiller — préparer commande sous 3 jours","✔ Aucune action requise")))</f>
        <v>📋 Émettre BC maintenant (stock ≤ ROP)</v>
      </c>
    </row>
    <row r="22" spans="1:11" ht="21.75" customHeight="1">
      <c r="A22" s="69" t="str">
        <f>'TABLEAU DE BORD'!A14</f>
        <v>ART-011</v>
      </c>
      <c r="B22" s="28" t="str">
        <f>'TABLEAU DE BORD'!B14</f>
        <v>Rouleau papier fax</v>
      </c>
      <c r="C22" s="27" t="str">
        <f>'TABLEAU DE BORD'!C14</f>
        <v>Informatique</v>
      </c>
      <c r="D22" s="85">
        <f>'TABLEAU DE BORD'!F14</f>
        <v>-5</v>
      </c>
      <c r="E22" s="86" t="str">
        <f>'TABLEAU DE BORD'!G14</f>
        <v>C</v>
      </c>
      <c r="F22" s="86" t="str">
        <f>'TABLEAU DE BORD'!J14</f>
        <v>C</v>
      </c>
      <c r="G22" s="69" t="str">
        <f>'TABLEAU DE BORD'!K14</f>
        <v>&gt;&gt; COMMANDER</v>
      </c>
      <c r="H22" s="87">
        <f>'TABLEAU DE BORD'!H14</f>
        <v>0</v>
      </c>
      <c r="I22" s="88">
        <f>'TABLEAU DE BORD'!I14</f>
        <v>0</v>
      </c>
      <c r="J22" s="89" t="str">
        <f>IF('TABLEAU DE BORD'!K14="!! RUPTURE","1 — CRITIQUE",IF('TABLEAU DE BORD'!K14="&gt;&gt; COMMANDER","2 — URGENT",IF('TABLEAU DE BORD'!K14="~ ALERTE","3 — ATTENTION","4 — Normal")))</f>
        <v>2 — URGENT</v>
      </c>
      <c r="K22" s="90" t="str">
        <f>IF('TABLEAU DE BORD'!K14="!! RUPTURE","⛔ BLOQUER sorties — Lancer BC immédiatement",IF('TABLEAU DE BORD'!K14="&gt;&gt; COMMANDER","📋 Émettre BC maintenant (stock ≤ ROP)",IF('TABLEAU DE BORD'!K14="~ ALERTE","⚠ Surveiller — préparer commande sous 3 jours","✔ Aucune action requise")))</f>
        <v>📋 Émettre BC maintenant (stock ≤ ROP)</v>
      </c>
    </row>
    <row r="23" spans="1:11" ht="21.75" customHeight="1">
      <c r="A23" s="69" t="str">
        <f>'TABLEAU DE BORD'!A15</f>
        <v>ART-012</v>
      </c>
      <c r="B23" s="91" t="str">
        <f>'TABLEAU DE BORD'!B15</f>
        <v>Marqueur permanent noir</v>
      </c>
      <c r="C23" s="92" t="str">
        <f>'TABLEAU DE BORD'!C15</f>
        <v>Fournitures Bureau</v>
      </c>
      <c r="D23" s="85">
        <f>'TABLEAU DE BORD'!F15</f>
        <v>-30</v>
      </c>
      <c r="E23" s="58" t="str">
        <f>'TABLEAU DE BORD'!G15</f>
        <v>C</v>
      </c>
      <c r="F23" s="58" t="str">
        <f>'TABLEAU DE BORD'!J15</f>
        <v>C</v>
      </c>
      <c r="G23" s="69" t="str">
        <f>'TABLEAU DE BORD'!K15</f>
        <v>&gt;&gt; COMMANDER</v>
      </c>
      <c r="H23" s="93">
        <f>'TABLEAU DE BORD'!H15</f>
        <v>0</v>
      </c>
      <c r="I23" s="94">
        <f>'TABLEAU DE BORD'!I15</f>
        <v>0</v>
      </c>
      <c r="J23" s="89" t="str">
        <f>IF('TABLEAU DE BORD'!K15="!! RUPTURE","1 — CRITIQUE",IF('TABLEAU DE BORD'!K15="&gt;&gt; COMMANDER","2 — URGENT",IF('TABLEAU DE BORD'!K15="~ ALERTE","3 — ATTENTION","4 — Normal")))</f>
        <v>2 — URGENT</v>
      </c>
      <c r="K23" s="90" t="str">
        <f>IF('TABLEAU DE BORD'!K15="!! RUPTURE","⛔ BLOQUER sorties — Lancer BC immédiatement",IF('TABLEAU DE BORD'!K15="&gt;&gt; COMMANDER","📋 Émettre BC maintenant (stock ≤ ROP)",IF('TABLEAU DE BORD'!K15="~ ALERTE","⚠ Surveiller — préparer commande sous 3 jours","✔ Aucune action requise")))</f>
        <v>📋 Émettre BC maintenant (stock ≤ ROP)</v>
      </c>
    </row>
    <row r="25" spans="1:11" ht="15" customHeight="1">
      <c r="A25" s="226" t="s">
        <v>204</v>
      </c>
      <c r="B25" s="187"/>
      <c r="C25" s="187"/>
      <c r="D25" s="187"/>
      <c r="E25" s="187"/>
      <c r="F25" s="187"/>
      <c r="G25" s="187"/>
      <c r="H25" s="187"/>
      <c r="I25" s="187"/>
      <c r="J25" s="187"/>
      <c r="K25" s="187"/>
    </row>
  </sheetData>
  <sheetProtection algorithmName="SHA-512" hashValue="5gaAJ3UISN2YiLh5/k7G0BRFsqD5LptUnHaMwv74lWEZqVjyenI86IN7VyNy7PENFnq4U2LW0zqyKFWpmk/1ug==" saltValue="EVWQKhT8PYzgkqudop/OLw==" spinCount="100000" sheet="1" objects="1" scenarios="1" autoFilter="0"/>
  <mergeCells count="18">
    <mergeCell ref="A25:K25"/>
    <mergeCell ref="A6:C6"/>
    <mergeCell ref="J7:K7"/>
    <mergeCell ref="A10:K10"/>
    <mergeCell ref="D6:F6"/>
    <mergeCell ref="A7:C7"/>
    <mergeCell ref="A3:K3"/>
    <mergeCell ref="G6:I6"/>
    <mergeCell ref="J6:K6"/>
    <mergeCell ref="A8:C8"/>
    <mergeCell ref="A1:K1"/>
    <mergeCell ref="D7:F7"/>
    <mergeCell ref="D8:F8"/>
    <mergeCell ref="G7:I7"/>
    <mergeCell ref="A5:K5"/>
    <mergeCell ref="A2:K2"/>
    <mergeCell ref="G8:I8"/>
    <mergeCell ref="J8:K8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4A148C"/>
  </sheetPr>
  <dimension ref="A1:G16"/>
  <sheetViews>
    <sheetView zoomScaleNormal="100" workbookViewId="0">
      <selection activeCell="G17" sqref="A1:G17"/>
    </sheetView>
  </sheetViews>
  <sheetFormatPr defaultColWidth="8.7109375" defaultRowHeight="15"/>
  <cols>
    <col min="1" max="1" width="11" style="1" customWidth="1"/>
    <col min="2" max="2" width="32" style="1" customWidth="1"/>
    <col min="3" max="4" width="20" style="1" customWidth="1"/>
    <col min="5" max="5" width="16" style="1" customWidth="1"/>
    <col min="6" max="6" width="10" style="1" customWidth="1"/>
    <col min="7" max="7" width="14" style="1" customWidth="1"/>
  </cols>
  <sheetData>
    <row r="1" spans="1:7" ht="27.75" customHeight="1">
      <c r="A1" s="231" t="s">
        <v>205</v>
      </c>
      <c r="B1" s="187"/>
      <c r="C1" s="187"/>
      <c r="D1" s="187"/>
      <c r="E1" s="187"/>
      <c r="F1" s="187"/>
      <c r="G1" s="187"/>
    </row>
    <row r="2" spans="1:7" ht="39.75" customHeight="1">
      <c r="A2" s="95" t="s">
        <v>72</v>
      </c>
      <c r="B2" s="95" t="s">
        <v>175</v>
      </c>
      <c r="C2" s="95" t="s">
        <v>206</v>
      </c>
      <c r="D2" s="95" t="s">
        <v>207</v>
      </c>
      <c r="E2" s="95" t="s">
        <v>208</v>
      </c>
      <c r="F2" s="95" t="s">
        <v>209</v>
      </c>
      <c r="G2" s="95" t="s">
        <v>183</v>
      </c>
    </row>
    <row r="3" spans="1:7" ht="15" customHeight="1">
      <c r="A3" s="96" t="s">
        <v>52</v>
      </c>
      <c r="B3" s="28" t="str">
        <f>IFERROR(VLOOKUP(A3,ARTICLES!$A$2:$B$485,2,0),"")</f>
        <v>Toner imprimante G030 (noir)</v>
      </c>
      <c r="C3" s="86">
        <f>SUMIFS(MOUVEMENTS!$E$3:$E$461,MOUVEMENTS!$B$3:$B$461,A3,MOUVEMENTS!$D$3:$D$461,"IN")-SUMIFS(MOUVEMENTS!$E$3:$E$461,MOUVEMENTS!$B$3:$B$461,A3,MOUVEMENTS!$D$3:$D$461,"OUT")</f>
        <v>60</v>
      </c>
      <c r="D3" s="86"/>
      <c r="E3" s="86">
        <f t="shared" ref="E3:E14" si="0">IFERROR(D3-C3,"—")</f>
        <v>-60</v>
      </c>
      <c r="F3" s="97">
        <f t="shared" ref="F3:F14" si="1">IFERROR(E3/C3,"—")</f>
        <v>-1</v>
      </c>
      <c r="G3" s="96" t="str">
        <f t="shared" ref="G3:G14" si="2">IF(D3="","⏳ À compter",IF(E3=0,"✔ Conforme",IF(ABS(E3)&gt;0,"⚠ Écart","—")))</f>
        <v>⏳ À compter</v>
      </c>
    </row>
    <row r="4" spans="1:7" ht="15" customHeight="1">
      <c r="A4" s="98" t="s">
        <v>55</v>
      </c>
      <c r="B4" s="91" t="str">
        <f>IFERROR(VLOOKUP(A4,ARTICLES!$A$2:$B$485,2,0),"")</f>
        <v>Rame papier A4 80g/m2</v>
      </c>
      <c r="C4" s="58">
        <f>SUMIFS(MOUVEMENTS!$E$3:$E$461,MOUVEMENTS!$B$3:$B$461,A4,MOUVEMENTS!$D$3:$D$461,"IN")-SUMIFS(MOUVEMENTS!$E$3:$E$461,MOUVEMENTS!$B$3:$B$461,A4,MOUVEMENTS!$D$3:$D$461,"OUT")</f>
        <v>22</v>
      </c>
      <c r="D4" s="58"/>
      <c r="E4" s="58">
        <f t="shared" si="0"/>
        <v>-22</v>
      </c>
      <c r="F4" s="99">
        <f t="shared" si="1"/>
        <v>-1</v>
      </c>
      <c r="G4" s="98" t="str">
        <f t="shared" si="2"/>
        <v>⏳ À compter</v>
      </c>
    </row>
    <row r="5" spans="1:7" ht="15" customHeight="1">
      <c r="A5" s="96" t="s">
        <v>58</v>
      </c>
      <c r="B5" s="28" t="str">
        <f>IFERROR(VLOOKUP(A5,ARTICLES!$A$2:$B$485,2,0),"")</f>
        <v>Rame papier A3 80g/m2</v>
      </c>
      <c r="C5" s="86">
        <f>SUMIFS(MOUVEMENTS!$E$3:$E$461,MOUVEMENTS!$B$3:$B$461,A5,MOUVEMENTS!$D$3:$D$461,"IN")-SUMIFS(MOUVEMENTS!$E$3:$E$461,MOUVEMENTS!$B$3:$B$461,A5,MOUVEMENTS!$D$3:$D$461,"OUT")</f>
        <v>11</v>
      </c>
      <c r="D5" s="86"/>
      <c r="E5" s="86">
        <f t="shared" si="0"/>
        <v>-11</v>
      </c>
      <c r="F5" s="97">
        <f t="shared" si="1"/>
        <v>-1</v>
      </c>
      <c r="G5" s="96" t="str">
        <f t="shared" si="2"/>
        <v>⏳ À compter</v>
      </c>
    </row>
    <row r="6" spans="1:7" ht="15" customHeight="1">
      <c r="A6" s="98" t="s">
        <v>59</v>
      </c>
      <c r="B6" s="91" t="str">
        <f>IFERROR(VLOOKUP(A6,ARTICLES!$A$2:$B$485,2,0),"")</f>
        <v>Boite archives carton</v>
      </c>
      <c r="C6" s="58">
        <f>SUMIFS(MOUVEMENTS!$E$3:$E$461,MOUVEMENTS!$B$3:$B$461,A6,MOUVEMENTS!$D$3:$D$461,"IN")-SUMIFS(MOUVEMENTS!$E$3:$E$461,MOUVEMENTS!$B$3:$B$461,A6,MOUVEMENTS!$D$3:$D$461,"OUT")</f>
        <v>0</v>
      </c>
      <c r="D6" s="58"/>
      <c r="E6" s="58">
        <f t="shared" si="0"/>
        <v>0</v>
      </c>
      <c r="F6" s="99" t="str">
        <f t="shared" si="1"/>
        <v>—</v>
      </c>
      <c r="G6" s="98" t="str">
        <f t="shared" si="2"/>
        <v>⏳ À compter</v>
      </c>
    </row>
    <row r="7" spans="1:7" ht="15" customHeight="1">
      <c r="A7" s="96" t="s">
        <v>61</v>
      </c>
      <c r="B7" s="28" t="str">
        <f>IFERROR(VLOOKUP(A7,ARTICLES!$A$2:$B$485,2,0),"")</f>
        <v>Agrafeuse de bureau</v>
      </c>
      <c r="C7" s="86">
        <f>SUMIFS(MOUVEMENTS!$E$3:$E$461,MOUVEMENTS!$B$3:$B$461,A7,MOUVEMENTS!$D$3:$D$461,"IN")-SUMIFS(MOUVEMENTS!$E$3:$E$461,MOUVEMENTS!$B$3:$B$461,A7,MOUVEMENTS!$D$3:$D$461,"OUT")</f>
        <v>-13</v>
      </c>
      <c r="D7" s="86"/>
      <c r="E7" s="86">
        <f t="shared" si="0"/>
        <v>13</v>
      </c>
      <c r="F7" s="97">
        <f t="shared" si="1"/>
        <v>-1</v>
      </c>
      <c r="G7" s="96" t="str">
        <f t="shared" si="2"/>
        <v>⏳ À compter</v>
      </c>
    </row>
    <row r="8" spans="1:7" ht="15" customHeight="1">
      <c r="A8" s="98" t="s">
        <v>63</v>
      </c>
      <c r="B8" s="91" t="str">
        <f>IFERROR(VLOOKUP(A8,ARTICLES!$A$2:$B$485,2,0),"")</f>
        <v>Stylos bille boite/50</v>
      </c>
      <c r="C8" s="58">
        <f>SUMIFS(MOUVEMENTS!$E$3:$E$461,MOUVEMENTS!$B$3:$B$461,A8,MOUVEMENTS!$D$3:$D$461,"IN")-SUMIFS(MOUVEMENTS!$E$3:$E$461,MOUVEMENTS!$B$3:$B$461,A8,MOUVEMENTS!$D$3:$D$461,"OUT")</f>
        <v>-22</v>
      </c>
      <c r="D8" s="58"/>
      <c r="E8" s="58">
        <f t="shared" si="0"/>
        <v>22</v>
      </c>
      <c r="F8" s="99">
        <f t="shared" si="1"/>
        <v>-1</v>
      </c>
      <c r="G8" s="98" t="str">
        <f t="shared" si="2"/>
        <v>⏳ À compter</v>
      </c>
    </row>
    <row r="9" spans="1:7" ht="15" customHeight="1">
      <c r="A9" s="96" t="s">
        <v>64</v>
      </c>
      <c r="B9" s="28" t="str">
        <f>IFERROR(VLOOKUP(A9,ARTICLES!$A$2:$B$485,2,0),"")</f>
        <v>Registre grand format 5m</v>
      </c>
      <c r="C9" s="86">
        <f>SUMIFS(MOUVEMENTS!$E$3:$E$461,MOUVEMENTS!$B$3:$B$461,A9,MOUVEMENTS!$D$3:$D$461,"IN")-SUMIFS(MOUVEMENTS!$E$3:$E$461,MOUVEMENTS!$B$3:$B$461,A9,MOUVEMENTS!$D$3:$D$461,"OUT")</f>
        <v>-22</v>
      </c>
      <c r="D9" s="86"/>
      <c r="E9" s="86">
        <f t="shared" si="0"/>
        <v>22</v>
      </c>
      <c r="F9" s="97">
        <f t="shared" si="1"/>
        <v>-1</v>
      </c>
      <c r="G9" s="96" t="str">
        <f t="shared" si="2"/>
        <v>⏳ À compter</v>
      </c>
    </row>
    <row r="10" spans="1:7" ht="15" customHeight="1">
      <c r="A10" s="98" t="s">
        <v>66</v>
      </c>
      <c r="B10" s="91" t="str">
        <f>IFERROR(VLOOKUP(A10,ARTICLES!$A$2:$B$485,2,0),"")</f>
        <v>Encre tampon</v>
      </c>
      <c r="C10" s="58">
        <f>SUMIFS(MOUVEMENTS!$E$3:$E$461,MOUVEMENTS!$B$3:$B$461,A10,MOUVEMENTS!$D$3:$D$461,"IN")-SUMIFS(MOUVEMENTS!$E$3:$E$461,MOUVEMENTS!$B$3:$B$461,A10,MOUVEMENTS!$D$3:$D$461,"OUT")</f>
        <v>-8</v>
      </c>
      <c r="D10" s="58"/>
      <c r="E10" s="58">
        <f t="shared" si="0"/>
        <v>8</v>
      </c>
      <c r="F10" s="99">
        <f t="shared" si="1"/>
        <v>-1</v>
      </c>
      <c r="G10" s="98" t="str">
        <f t="shared" si="2"/>
        <v>⏳ À compter</v>
      </c>
    </row>
    <row r="11" spans="1:7" ht="15" customHeight="1">
      <c r="A11" s="96" t="s">
        <v>67</v>
      </c>
      <c r="B11" s="28" t="str">
        <f>IFERROR(VLOOKUP(A11,ARTICLES!$A$2:$B$485,2,0),"")</f>
        <v>Sous-chemise carton</v>
      </c>
      <c r="C11" s="86">
        <f>SUMIFS(MOUVEMENTS!$E$3:$E$461,MOUVEMENTS!$B$3:$B$461,A11,MOUVEMENTS!$D$3:$D$461,"IN")-SUMIFS(MOUVEMENTS!$E$3:$E$461,MOUVEMENTS!$B$3:$B$461,A11,MOUVEMENTS!$D$3:$D$461,"OUT")</f>
        <v>-25</v>
      </c>
      <c r="D11" s="86"/>
      <c r="E11" s="86">
        <f t="shared" si="0"/>
        <v>25</v>
      </c>
      <c r="F11" s="97">
        <f t="shared" si="1"/>
        <v>-1</v>
      </c>
      <c r="G11" s="96" t="str">
        <f t="shared" si="2"/>
        <v>⏳ À compter</v>
      </c>
    </row>
    <row r="12" spans="1:7" ht="15" customHeight="1">
      <c r="A12" s="98" t="s">
        <v>68</v>
      </c>
      <c r="B12" s="91" t="str">
        <f>IFERROR(VLOOKUP(A12,ARTICLES!$A$2:$B$485,2,0),"")</f>
        <v>Chemise cartonnee</v>
      </c>
      <c r="C12" s="58">
        <f>SUMIFS(MOUVEMENTS!$E$3:$E$461,MOUVEMENTS!$B$3:$B$461,A12,MOUVEMENTS!$D$3:$D$461,"IN")-SUMIFS(MOUVEMENTS!$E$3:$E$461,MOUVEMENTS!$B$3:$B$461,A12,MOUVEMENTS!$D$3:$D$461,"OUT")</f>
        <v>7</v>
      </c>
      <c r="D12" s="58"/>
      <c r="E12" s="58">
        <f t="shared" si="0"/>
        <v>-7</v>
      </c>
      <c r="F12" s="99">
        <f t="shared" si="1"/>
        <v>-1</v>
      </c>
      <c r="G12" s="98" t="str">
        <f t="shared" si="2"/>
        <v>⏳ À compter</v>
      </c>
    </row>
    <row r="13" spans="1:7" ht="15" customHeight="1">
      <c r="A13" s="96" t="s">
        <v>69</v>
      </c>
      <c r="B13" s="28" t="str">
        <f>IFERROR(VLOOKUP(A13,ARTICLES!$A$2:$B$485,2,0),"")</f>
        <v>Rouleau papier fax</v>
      </c>
      <c r="C13" s="86">
        <f>SUMIFS(MOUVEMENTS!$E$3:$E$461,MOUVEMENTS!$B$3:$B$461,A13,MOUVEMENTS!$D$3:$D$461,"IN")-SUMIFS(MOUVEMENTS!$E$3:$E$461,MOUVEMENTS!$B$3:$B$461,A13,MOUVEMENTS!$D$3:$D$461,"OUT")</f>
        <v>-5</v>
      </c>
      <c r="D13" s="86"/>
      <c r="E13" s="86">
        <f t="shared" si="0"/>
        <v>5</v>
      </c>
      <c r="F13" s="97">
        <f t="shared" si="1"/>
        <v>-1</v>
      </c>
      <c r="G13" s="96" t="str">
        <f t="shared" si="2"/>
        <v>⏳ À compter</v>
      </c>
    </row>
    <row r="14" spans="1:7" ht="15" customHeight="1">
      <c r="A14" s="98" t="s">
        <v>70</v>
      </c>
      <c r="B14" s="91" t="str">
        <f>IFERROR(VLOOKUP(A14,ARTICLES!$A$2:$B$485,2,0),"")</f>
        <v>Marqueur permanent noir</v>
      </c>
      <c r="C14" s="58">
        <f>SUMIFS(MOUVEMENTS!$E$3:$E$461,MOUVEMENTS!$B$3:$B$461,A14,MOUVEMENTS!$D$3:$D$461,"IN")-SUMIFS(MOUVEMENTS!$E$3:$E$461,MOUVEMENTS!$B$3:$B$461,A14,MOUVEMENTS!$D$3:$D$461,"OUT")</f>
        <v>-30</v>
      </c>
      <c r="D14" s="58"/>
      <c r="E14" s="58">
        <f t="shared" si="0"/>
        <v>30</v>
      </c>
      <c r="F14" s="99">
        <f t="shared" si="1"/>
        <v>-1</v>
      </c>
      <c r="G14" s="98" t="str">
        <f t="shared" si="2"/>
        <v>⏳ À compter</v>
      </c>
    </row>
    <row r="16" spans="1:7" ht="15" customHeight="1">
      <c r="A16" s="226" t="s">
        <v>210</v>
      </c>
      <c r="B16" s="187"/>
      <c r="C16" s="187"/>
      <c r="D16" s="187"/>
      <c r="E16" s="187"/>
      <c r="F16" s="187"/>
      <c r="G16" s="187"/>
    </row>
  </sheetData>
  <sheetProtection algorithmName="SHA-512" hashValue="mU68YU7VcnvpmNlCWNmxNP1BkJtbYj+jeF/NPmo1loKeUEMXHkJVyQjUgaDI6Otl8/QTxYK/nHzQ99oqvliaKw==" saltValue="i6Lp+/HanSBLyfvxBQC8tQ==" spinCount="100000" sheet="1" objects="1" scenarios="1" autoFilter="0"/>
  <mergeCells count="2">
    <mergeCell ref="A16:G16"/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00695C"/>
  </sheetPr>
  <dimension ref="A1:H79"/>
  <sheetViews>
    <sheetView zoomScaleNormal="100" workbookViewId="0">
      <selection sqref="A1:H80"/>
    </sheetView>
  </sheetViews>
  <sheetFormatPr defaultColWidth="8.7109375" defaultRowHeight="15"/>
  <cols>
    <col min="1" max="1" width="14" style="1" customWidth="1"/>
    <col min="2" max="2" width="30" style="1" customWidth="1"/>
    <col min="3" max="6" width="14" style="1" customWidth="1"/>
    <col min="7" max="7" width="16" style="1" customWidth="1"/>
    <col min="8" max="8" width="14" style="1" customWidth="1"/>
  </cols>
  <sheetData>
    <row r="1" spans="1:8" ht="27.75" customHeight="1">
      <c r="A1" s="197" t="s">
        <v>211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35" t="s">
        <v>212</v>
      </c>
      <c r="B2" s="195"/>
      <c r="C2" s="195"/>
      <c r="D2" s="195"/>
      <c r="E2" s="195"/>
      <c r="F2" s="195"/>
      <c r="G2" s="195"/>
      <c r="H2" s="183"/>
    </row>
    <row r="4" spans="1:8" ht="24" customHeight="1">
      <c r="A4" s="232" t="s">
        <v>213</v>
      </c>
      <c r="B4" s="201"/>
      <c r="C4" s="201"/>
      <c r="D4" s="201"/>
      <c r="E4" s="201"/>
      <c r="F4" s="201"/>
      <c r="G4" s="201"/>
      <c r="H4" s="202"/>
    </row>
    <row r="5" spans="1:8" ht="21.75" customHeight="1">
      <c r="A5" s="100" t="s">
        <v>214</v>
      </c>
      <c r="B5" s="101">
        <f ca="1">TODAY()-7</f>
        <v>46151</v>
      </c>
      <c r="C5" s="102" t="s">
        <v>215</v>
      </c>
      <c r="D5" s="101">
        <f ca="1">TODAY()</f>
        <v>46158</v>
      </c>
      <c r="E5" s="233" t="s">
        <v>216</v>
      </c>
      <c r="F5" s="187"/>
      <c r="G5" s="187"/>
      <c r="H5" s="187"/>
    </row>
    <row r="6" spans="1:8" ht="31.5" customHeight="1">
      <c r="A6" s="103" t="s">
        <v>217</v>
      </c>
      <c r="B6" s="103" t="s">
        <v>218</v>
      </c>
      <c r="C6" s="103" t="s">
        <v>219</v>
      </c>
      <c r="D6" s="103" t="s">
        <v>220</v>
      </c>
      <c r="E6" s="103" t="s">
        <v>221</v>
      </c>
      <c r="F6" s="103" t="s">
        <v>222</v>
      </c>
      <c r="G6" s="103" t="s">
        <v>223</v>
      </c>
      <c r="H6" s="103" t="s">
        <v>224</v>
      </c>
    </row>
    <row r="7" spans="1:8" ht="18" customHeight="1">
      <c r="A7" s="104" t="s">
        <v>52</v>
      </c>
      <c r="B7" s="40" t="str">
        <f>IFERROR(VLOOKUP(A7,ARTICLES!$A$2:$B$485,2,0),"")</f>
        <v>Toner imprimante G030 (noir)</v>
      </c>
      <c r="C7" s="105" t="str">
        <f>IFERROR(VLOOKUP(A7,ARTICLES!$A$2:$E$485,5,0),"")</f>
        <v>Informatique</v>
      </c>
      <c r="D7" s="106">
        <f ca="1">IFERROR(SUMPRODUCT((MOUVEMENTS!$B$3:$B$461=A7)*(MOUVEMENTS!$D$3:$D$461="IN")*(MOUVEMENTS!$A$3:$A$461&gt;=B5)*(MOUVEMENTS!$A$3:$A$461&lt;=D5)*MOUVEMENTS!$E$3:$E$461),0)</f>
        <v>0</v>
      </c>
      <c r="E7" s="106">
        <f ca="1">IFERROR(SUMPRODUCT((MOUVEMENTS!$B$3:$B$461=A7)*(MOUVEMENTS!$D$3:$D$461="OUT")*(MOUVEMENTS!$A$3:$A$461&gt;=B5)*(MOUVEMENTS!$A$3:$A$461&lt;=D5)*MOUVEMENTS!$E$3:$E$461),0)</f>
        <v>0</v>
      </c>
      <c r="F7" s="107">
        <f t="shared" ref="F7:F18" ca="1" si="0">D7-E7</f>
        <v>0</v>
      </c>
      <c r="G7" s="106">
        <f ca="1">IFERROR(F7*VLOOKUP(A7,ARTICLES!$A$2:$G$485,7,0),0)</f>
        <v>0</v>
      </c>
      <c r="H7" s="104" t="str">
        <f t="shared" ref="H7:H18" ca="1" si="1">IF(F7&lt;0,"!! NÉGATIF",IF(F7=0,"!! RUPTURE","OK"))</f>
        <v>!! RUPTURE</v>
      </c>
    </row>
    <row r="8" spans="1:8" ht="18" customHeight="1">
      <c r="A8" s="108" t="s">
        <v>55</v>
      </c>
      <c r="B8" s="109" t="str">
        <f>IFERROR(VLOOKUP(A8,ARTICLES!$A$2:$B$485,2,0),"")</f>
        <v>Rame papier A4 80g/m2</v>
      </c>
      <c r="C8" s="110" t="str">
        <f>IFERROR(VLOOKUP(A8,ARTICLES!$A$2:$E$485,5,0),"")</f>
        <v>Fournitures Bureau</v>
      </c>
      <c r="D8" s="111">
        <f ca="1">IFERROR(SUMPRODUCT((MOUVEMENTS!$B$3:$B$461=A8)*(MOUVEMENTS!$D$3:$D$461="IN")*(MOUVEMENTS!$A$3:$A$461&gt;=B5)*(MOUVEMENTS!$A$3:$A$461&lt;=D5)*MOUVEMENTS!$E$3:$E$461),0)</f>
        <v>0</v>
      </c>
      <c r="E8" s="111">
        <f ca="1">IFERROR(SUMPRODUCT((MOUVEMENTS!$B$3:$B$461=A8)*(MOUVEMENTS!$D$3:$D$461="OUT")*(MOUVEMENTS!$A$3:$A$461&gt;=B5)*(MOUVEMENTS!$A$3:$A$461&lt;=D5)*MOUVEMENTS!$E$3:$E$461),0)</f>
        <v>0</v>
      </c>
      <c r="F8" s="112">
        <f t="shared" ca="1" si="0"/>
        <v>0</v>
      </c>
      <c r="G8" s="111">
        <f ca="1">IFERROR(F8*VLOOKUP(A8,ARTICLES!$A$2:$G$485,7,0),0)</f>
        <v>0</v>
      </c>
      <c r="H8" s="108" t="str">
        <f t="shared" ca="1" si="1"/>
        <v>!! RUPTURE</v>
      </c>
    </row>
    <row r="9" spans="1:8" ht="18" customHeight="1">
      <c r="A9" s="104" t="s">
        <v>58</v>
      </c>
      <c r="B9" s="40" t="str">
        <f>IFERROR(VLOOKUP(A9,ARTICLES!$A$2:$B$485,2,0),"")</f>
        <v>Rame papier A3 80g/m2</v>
      </c>
      <c r="C9" s="105" t="str">
        <f>IFERROR(VLOOKUP(A9,ARTICLES!$A$2:$E$485,5,0),"")</f>
        <v>Fournitures Bureau</v>
      </c>
      <c r="D9" s="106">
        <f ca="1">IFERROR(SUMPRODUCT((MOUVEMENTS!$B$3:$B$461=A9)*(MOUVEMENTS!$D$3:$D$461="IN")*(MOUVEMENTS!$A$3:$A$461&gt;=B5)*(MOUVEMENTS!$A$3:$A$461&lt;=D5)*MOUVEMENTS!$E$3:$E$461),0)</f>
        <v>0</v>
      </c>
      <c r="E9" s="106">
        <f ca="1">IFERROR(SUMPRODUCT((MOUVEMENTS!$B$3:$B$461=A9)*(MOUVEMENTS!$D$3:$D$461="OUT")*(MOUVEMENTS!$A$3:$A$461&gt;=B5)*(MOUVEMENTS!$A$3:$A$461&lt;=D5)*MOUVEMENTS!$E$3:$E$461),0)</f>
        <v>0</v>
      </c>
      <c r="F9" s="107">
        <f t="shared" ca="1" si="0"/>
        <v>0</v>
      </c>
      <c r="G9" s="106">
        <f ca="1">IFERROR(F9*VLOOKUP(A9,ARTICLES!$A$2:$G$485,7,0),0)</f>
        <v>0</v>
      </c>
      <c r="H9" s="104" t="str">
        <f t="shared" ca="1" si="1"/>
        <v>!! RUPTURE</v>
      </c>
    </row>
    <row r="10" spans="1:8" ht="18" customHeight="1">
      <c r="A10" s="108" t="s">
        <v>59</v>
      </c>
      <c r="B10" s="109" t="str">
        <f>IFERROR(VLOOKUP(A10,ARTICLES!$A$2:$B$485,2,0),"")</f>
        <v>Boite archives carton</v>
      </c>
      <c r="C10" s="110" t="str">
        <f>IFERROR(VLOOKUP(A10,ARTICLES!$A$2:$E$485,5,0),"")</f>
        <v>Admin</v>
      </c>
      <c r="D10" s="111">
        <f ca="1">IFERROR(SUMPRODUCT((MOUVEMENTS!$B$3:$B$461=A10)*(MOUVEMENTS!$D$3:$D$461="IN")*(MOUVEMENTS!$A$3:$A$461&gt;=B5)*(MOUVEMENTS!$A$3:$A$461&lt;=D5)*MOUVEMENTS!$E$3:$E$461),0)</f>
        <v>0</v>
      </c>
      <c r="E10" s="111">
        <f ca="1">IFERROR(SUMPRODUCT((MOUVEMENTS!$B$3:$B$461=A10)*(MOUVEMENTS!$D$3:$D$461="OUT")*(MOUVEMENTS!$A$3:$A$461&gt;=B5)*(MOUVEMENTS!$A$3:$A$461&lt;=D5)*MOUVEMENTS!$E$3:$E$461),0)</f>
        <v>0</v>
      </c>
      <c r="F10" s="112">
        <f t="shared" ca="1" si="0"/>
        <v>0</v>
      </c>
      <c r="G10" s="111">
        <f ca="1">IFERROR(F10*VLOOKUP(A10,ARTICLES!$A$2:$G$485,7,0),0)</f>
        <v>0</v>
      </c>
      <c r="H10" s="108" t="str">
        <f t="shared" ca="1" si="1"/>
        <v>!! RUPTURE</v>
      </c>
    </row>
    <row r="11" spans="1:8" ht="18" customHeight="1">
      <c r="A11" s="104" t="s">
        <v>61</v>
      </c>
      <c r="B11" s="40" t="str">
        <f>IFERROR(VLOOKUP(A11,ARTICLES!$A$2:$B$485,2,0),"")</f>
        <v>Agrafeuse de bureau</v>
      </c>
      <c r="C11" s="105" t="str">
        <f>IFERROR(VLOOKUP(A11,ARTICLES!$A$2:$E$485,5,0),"")</f>
        <v>Fournitures Bureau</v>
      </c>
      <c r="D11" s="106">
        <f ca="1">IFERROR(SUMPRODUCT((MOUVEMENTS!$B$3:$B$461=A11)*(MOUVEMENTS!$D$3:$D$461="IN")*(MOUVEMENTS!$A$3:$A$461&gt;=B5)*(MOUVEMENTS!$A$3:$A$461&lt;=D5)*MOUVEMENTS!$E$3:$E$461),0)</f>
        <v>0</v>
      </c>
      <c r="E11" s="106">
        <f ca="1">IFERROR(SUMPRODUCT((MOUVEMENTS!$B$3:$B$461=A11)*(MOUVEMENTS!$D$3:$D$461="OUT")*(MOUVEMENTS!$A$3:$A$461&gt;=B5)*(MOUVEMENTS!$A$3:$A$461&lt;=D5)*MOUVEMENTS!$E$3:$E$461),0)</f>
        <v>0</v>
      </c>
      <c r="F11" s="107">
        <f t="shared" ca="1" si="0"/>
        <v>0</v>
      </c>
      <c r="G11" s="106">
        <f ca="1">IFERROR(F11*VLOOKUP(A11,ARTICLES!$A$2:$G$485,7,0),0)</f>
        <v>0</v>
      </c>
      <c r="H11" s="104" t="str">
        <f t="shared" ca="1" si="1"/>
        <v>!! RUPTURE</v>
      </c>
    </row>
    <row r="12" spans="1:8" ht="18" customHeight="1">
      <c r="A12" s="108" t="s">
        <v>63</v>
      </c>
      <c r="B12" s="109" t="str">
        <f>IFERROR(VLOOKUP(A12,ARTICLES!$A$2:$B$485,2,0),"")</f>
        <v>Stylos bille boite/50</v>
      </c>
      <c r="C12" s="110" t="str">
        <f>IFERROR(VLOOKUP(A12,ARTICLES!$A$2:$E$485,5,0),"")</f>
        <v>Fournitures Bureau</v>
      </c>
      <c r="D12" s="111">
        <f ca="1">IFERROR(SUMPRODUCT((MOUVEMENTS!$B$3:$B$461=A12)*(MOUVEMENTS!$D$3:$D$461="IN")*(MOUVEMENTS!$A$3:$A$461&gt;=B5)*(MOUVEMENTS!$A$3:$A$461&lt;=D5)*MOUVEMENTS!$E$3:$E$461),0)</f>
        <v>0</v>
      </c>
      <c r="E12" s="111">
        <f ca="1">IFERROR(SUMPRODUCT((MOUVEMENTS!$B$3:$B$461=A12)*(MOUVEMENTS!$D$3:$D$461="OUT")*(MOUVEMENTS!$A$3:$A$461&gt;=B5)*(MOUVEMENTS!$A$3:$A$461&lt;=D5)*MOUVEMENTS!$E$3:$E$461),0)</f>
        <v>0</v>
      </c>
      <c r="F12" s="112">
        <f t="shared" ca="1" si="0"/>
        <v>0</v>
      </c>
      <c r="G12" s="111">
        <f ca="1">IFERROR(F12*VLOOKUP(A12,ARTICLES!$A$2:$G$485,7,0),0)</f>
        <v>0</v>
      </c>
      <c r="H12" s="108" t="str">
        <f t="shared" ca="1" si="1"/>
        <v>!! RUPTURE</v>
      </c>
    </row>
    <row r="13" spans="1:8" ht="18" customHeight="1">
      <c r="A13" s="104" t="s">
        <v>64</v>
      </c>
      <c r="B13" s="40" t="str">
        <f>IFERROR(VLOOKUP(A13,ARTICLES!$A$2:$B$485,2,0),"")</f>
        <v>Registre grand format 5m</v>
      </c>
      <c r="C13" s="105" t="str">
        <f>IFERROR(VLOOKUP(A13,ARTICLES!$A$2:$E$485,5,0),"")</f>
        <v>Admin</v>
      </c>
      <c r="D13" s="106">
        <f ca="1">IFERROR(SUMPRODUCT((MOUVEMENTS!$B$3:$B$461=A13)*(MOUVEMENTS!$D$3:$D$461="IN")*(MOUVEMENTS!$A$3:$A$461&gt;=B5)*(MOUVEMENTS!$A$3:$A$461&lt;=D5)*MOUVEMENTS!$E$3:$E$461),0)</f>
        <v>0</v>
      </c>
      <c r="E13" s="106">
        <f ca="1">IFERROR(SUMPRODUCT((MOUVEMENTS!$B$3:$B$461=A13)*(MOUVEMENTS!$D$3:$D$461="OUT")*(MOUVEMENTS!$A$3:$A$461&gt;=B5)*(MOUVEMENTS!$A$3:$A$461&lt;=D5)*MOUVEMENTS!$E$3:$E$461),0)</f>
        <v>0</v>
      </c>
      <c r="F13" s="107">
        <f t="shared" ca="1" si="0"/>
        <v>0</v>
      </c>
      <c r="G13" s="106">
        <f ca="1">IFERROR(F13*VLOOKUP(A13,ARTICLES!$A$2:$G$485,7,0),0)</f>
        <v>0</v>
      </c>
      <c r="H13" s="104" t="str">
        <f t="shared" ca="1" si="1"/>
        <v>!! RUPTURE</v>
      </c>
    </row>
    <row r="14" spans="1:8" ht="18" customHeight="1">
      <c r="A14" s="108" t="s">
        <v>66</v>
      </c>
      <c r="B14" s="109" t="str">
        <f>IFERROR(VLOOKUP(A14,ARTICLES!$A$2:$B$485,2,0),"")</f>
        <v>Encre tampon</v>
      </c>
      <c r="C14" s="110" t="str">
        <f>IFERROR(VLOOKUP(A14,ARTICLES!$A$2:$E$485,5,0),"")</f>
        <v>Fournitures Bureau</v>
      </c>
      <c r="D14" s="111">
        <f ca="1">IFERROR(SUMPRODUCT((MOUVEMENTS!$B$3:$B$461=A14)*(MOUVEMENTS!$D$3:$D$461="IN")*(MOUVEMENTS!$A$3:$A$461&gt;=B5)*(MOUVEMENTS!$A$3:$A$461&lt;=D5)*MOUVEMENTS!$E$3:$E$461),0)</f>
        <v>0</v>
      </c>
      <c r="E14" s="111">
        <f ca="1">IFERROR(SUMPRODUCT((MOUVEMENTS!$B$3:$B$461=A14)*(MOUVEMENTS!$D$3:$D$461="OUT")*(MOUVEMENTS!$A$3:$A$461&gt;=B5)*(MOUVEMENTS!$A$3:$A$461&lt;=D5)*MOUVEMENTS!$E$3:$E$461),0)</f>
        <v>0</v>
      </c>
      <c r="F14" s="112">
        <f t="shared" ca="1" si="0"/>
        <v>0</v>
      </c>
      <c r="G14" s="111">
        <f ca="1">IFERROR(F14*VLOOKUP(A14,ARTICLES!$A$2:$G$485,7,0),0)</f>
        <v>0</v>
      </c>
      <c r="H14" s="108" t="str">
        <f t="shared" ca="1" si="1"/>
        <v>!! RUPTURE</v>
      </c>
    </row>
    <row r="15" spans="1:8" ht="18" customHeight="1">
      <c r="A15" s="104" t="s">
        <v>67</v>
      </c>
      <c r="B15" s="40" t="str">
        <f>IFERROR(VLOOKUP(A15,ARTICLES!$A$2:$B$485,2,0),"")</f>
        <v>Sous-chemise carton</v>
      </c>
      <c r="C15" s="105" t="str">
        <f>IFERROR(VLOOKUP(A15,ARTICLES!$A$2:$E$485,5,0),"")</f>
        <v>Fournitures Bureau</v>
      </c>
      <c r="D15" s="106">
        <f ca="1">IFERROR(SUMPRODUCT((MOUVEMENTS!$B$3:$B$461=A15)*(MOUVEMENTS!$D$3:$D$461="IN")*(MOUVEMENTS!$A$3:$A$461&gt;=B5)*(MOUVEMENTS!$A$3:$A$461&lt;=D5)*MOUVEMENTS!$E$3:$E$461),0)</f>
        <v>0</v>
      </c>
      <c r="E15" s="106">
        <f ca="1">IFERROR(SUMPRODUCT((MOUVEMENTS!$B$3:$B$461=A15)*(MOUVEMENTS!$D$3:$D$461="OUT")*(MOUVEMENTS!$A$3:$A$461&gt;=B5)*(MOUVEMENTS!$A$3:$A$461&lt;=D5)*MOUVEMENTS!$E$3:$E$461),0)</f>
        <v>0</v>
      </c>
      <c r="F15" s="107">
        <f t="shared" ca="1" si="0"/>
        <v>0</v>
      </c>
      <c r="G15" s="106">
        <f ca="1">IFERROR(F15*VLOOKUP(A15,ARTICLES!$A$2:$G$485,7,0),0)</f>
        <v>0</v>
      </c>
      <c r="H15" s="104" t="str">
        <f t="shared" ca="1" si="1"/>
        <v>!! RUPTURE</v>
      </c>
    </row>
    <row r="16" spans="1:8" ht="18" customHeight="1">
      <c r="A16" s="108" t="s">
        <v>68</v>
      </c>
      <c r="B16" s="109" t="str">
        <f>IFERROR(VLOOKUP(A16,ARTICLES!$A$2:$B$485,2,0),"")</f>
        <v>Chemise cartonnee</v>
      </c>
      <c r="C16" s="110" t="str">
        <f>IFERROR(VLOOKUP(A16,ARTICLES!$A$2:$E$485,5,0),"")</f>
        <v>Fournitures Bureau</v>
      </c>
      <c r="D16" s="111">
        <f ca="1">IFERROR(SUMPRODUCT((MOUVEMENTS!$B$3:$B$461=A16)*(MOUVEMENTS!$D$3:$D$461="IN")*(MOUVEMENTS!$A$3:$A$461&gt;=B5)*(MOUVEMENTS!$A$3:$A$461&lt;=D5)*MOUVEMENTS!$E$3:$E$461),0)</f>
        <v>0</v>
      </c>
      <c r="E16" s="111">
        <f ca="1">IFERROR(SUMPRODUCT((MOUVEMENTS!$B$3:$B$461=A16)*(MOUVEMENTS!$D$3:$D$461="OUT")*(MOUVEMENTS!$A$3:$A$461&gt;=B5)*(MOUVEMENTS!$A$3:$A$461&lt;=D5)*MOUVEMENTS!$E$3:$E$461),0)</f>
        <v>0</v>
      </c>
      <c r="F16" s="112">
        <f t="shared" ca="1" si="0"/>
        <v>0</v>
      </c>
      <c r="G16" s="111">
        <f ca="1">IFERROR(F16*VLOOKUP(A16,ARTICLES!$A$2:$G$485,7,0),0)</f>
        <v>0</v>
      </c>
      <c r="H16" s="108" t="str">
        <f t="shared" ca="1" si="1"/>
        <v>!! RUPTURE</v>
      </c>
    </row>
    <row r="17" spans="1:8" ht="18" customHeight="1">
      <c r="A17" s="104" t="s">
        <v>69</v>
      </c>
      <c r="B17" s="40" t="str">
        <f>IFERROR(VLOOKUP(A17,ARTICLES!$A$2:$B$485,2,0),"")</f>
        <v>Rouleau papier fax</v>
      </c>
      <c r="C17" s="105" t="str">
        <f>IFERROR(VLOOKUP(A17,ARTICLES!$A$2:$E$485,5,0),"")</f>
        <v>Informatique</v>
      </c>
      <c r="D17" s="106">
        <f ca="1">IFERROR(SUMPRODUCT((MOUVEMENTS!$B$3:$B$461=A17)*(MOUVEMENTS!$D$3:$D$461="IN")*(MOUVEMENTS!$A$3:$A$461&gt;=B5)*(MOUVEMENTS!$A$3:$A$461&lt;=D5)*MOUVEMENTS!$E$3:$E$461),0)</f>
        <v>0</v>
      </c>
      <c r="E17" s="106">
        <f ca="1">IFERROR(SUMPRODUCT((MOUVEMENTS!$B$3:$B$461=A17)*(MOUVEMENTS!$D$3:$D$461="OUT")*(MOUVEMENTS!$A$3:$A$461&gt;=B5)*(MOUVEMENTS!$A$3:$A$461&lt;=D5)*MOUVEMENTS!$E$3:$E$461),0)</f>
        <v>0</v>
      </c>
      <c r="F17" s="107">
        <f t="shared" ca="1" si="0"/>
        <v>0</v>
      </c>
      <c r="G17" s="106">
        <f ca="1">IFERROR(F17*VLOOKUP(A17,ARTICLES!$A$2:$G$485,7,0),0)</f>
        <v>0</v>
      </c>
      <c r="H17" s="104" t="str">
        <f t="shared" ca="1" si="1"/>
        <v>!! RUPTURE</v>
      </c>
    </row>
    <row r="18" spans="1:8" ht="18" customHeight="1">
      <c r="A18" s="108" t="s">
        <v>70</v>
      </c>
      <c r="B18" s="109" t="str">
        <f>IFERROR(VLOOKUP(A18,ARTICLES!$A$2:$B$485,2,0),"")</f>
        <v>Marqueur permanent noir</v>
      </c>
      <c r="C18" s="110" t="str">
        <f>IFERROR(VLOOKUP(A18,ARTICLES!$A$2:$E$485,5,0),"")</f>
        <v>Fournitures Bureau</v>
      </c>
      <c r="D18" s="111">
        <f ca="1">IFERROR(SUMPRODUCT((MOUVEMENTS!$B$3:$B$461=A18)*(MOUVEMENTS!$D$3:$D$461="IN")*(MOUVEMENTS!$A$3:$A$461&gt;=B5)*(MOUVEMENTS!$A$3:$A$461&lt;=D5)*MOUVEMENTS!$E$3:$E$461),0)</f>
        <v>0</v>
      </c>
      <c r="E18" s="111">
        <f ca="1">IFERROR(SUMPRODUCT((MOUVEMENTS!$B$3:$B$461=A18)*(MOUVEMENTS!$D$3:$D$461="OUT")*(MOUVEMENTS!$A$3:$A$461&gt;=B5)*(MOUVEMENTS!$A$3:$A$461&lt;=D5)*MOUVEMENTS!$E$3:$E$461),0)</f>
        <v>0</v>
      </c>
      <c r="F18" s="112">
        <f t="shared" ca="1" si="0"/>
        <v>0</v>
      </c>
      <c r="G18" s="111">
        <f ca="1">IFERROR(F18*VLOOKUP(A18,ARTICLES!$A$2:$G$485,7,0),0)</f>
        <v>0</v>
      </c>
      <c r="H18" s="108" t="str">
        <f t="shared" ca="1" si="1"/>
        <v>!! RUPTURE</v>
      </c>
    </row>
    <row r="19" spans="1:8" ht="21.75" customHeight="1">
      <c r="A19" s="113" t="s">
        <v>189</v>
      </c>
      <c r="B19" s="234" t="s">
        <v>225</v>
      </c>
      <c r="C19" s="202"/>
      <c r="D19" s="114">
        <f ca="1">SUM(D7:D18)</f>
        <v>0</v>
      </c>
      <c r="E19" s="114">
        <f ca="1">SUM(E7:E18)</f>
        <v>0</v>
      </c>
      <c r="F19" s="114">
        <f ca="1">SUM(F7:F18)</f>
        <v>0</v>
      </c>
      <c r="G19" s="114">
        <f ca="1">SUM(G7:G18)</f>
        <v>0</v>
      </c>
      <c r="H19" s="115"/>
    </row>
    <row r="20" spans="1:8" ht="25.5" customHeight="1">
      <c r="A20" s="236" t="s">
        <v>226</v>
      </c>
      <c r="B20" s="208"/>
      <c r="C20" s="208"/>
      <c r="D20" s="208"/>
      <c r="E20" s="208"/>
      <c r="F20" s="208"/>
      <c r="G20" s="208"/>
      <c r="H20" s="208"/>
    </row>
    <row r="23" spans="1:8" ht="24" customHeight="1">
      <c r="A23" s="232" t="s">
        <v>227</v>
      </c>
      <c r="B23" s="201"/>
      <c r="C23" s="201"/>
      <c r="D23" s="201"/>
      <c r="E23" s="201"/>
      <c r="F23" s="201"/>
      <c r="G23" s="201"/>
      <c r="H23" s="202"/>
    </row>
    <row r="24" spans="1:8" ht="21.75" customHeight="1">
      <c r="A24" s="100" t="s">
        <v>214</v>
      </c>
      <c r="B24" s="116">
        <f ca="1">TODAY()-30</f>
        <v>46128</v>
      </c>
      <c r="C24" s="102" t="s">
        <v>215</v>
      </c>
      <c r="D24" s="116">
        <f ca="1">TODAY()</f>
        <v>46158</v>
      </c>
      <c r="E24" s="233" t="s">
        <v>216</v>
      </c>
      <c r="F24" s="187"/>
      <c r="G24" s="187"/>
      <c r="H24" s="187"/>
    </row>
    <row r="25" spans="1:8" ht="31.5" customHeight="1">
      <c r="A25" s="103" t="s">
        <v>217</v>
      </c>
      <c r="B25" s="103" t="s">
        <v>218</v>
      </c>
      <c r="C25" s="103" t="s">
        <v>219</v>
      </c>
      <c r="D25" s="103" t="s">
        <v>220</v>
      </c>
      <c r="E25" s="103" t="s">
        <v>221</v>
      </c>
      <c r="F25" s="103" t="s">
        <v>222</v>
      </c>
      <c r="G25" s="103" t="s">
        <v>223</v>
      </c>
      <c r="H25" s="103" t="s">
        <v>224</v>
      </c>
    </row>
    <row r="26" spans="1:8" ht="18" customHeight="1">
      <c r="A26" s="104" t="s">
        <v>52</v>
      </c>
      <c r="B26" s="40" t="str">
        <f>IFERROR(VLOOKUP(A26,ARTICLES!$A$2:$B$485,2,0),"")</f>
        <v>Toner imprimante G030 (noir)</v>
      </c>
      <c r="C26" s="105" t="str">
        <f>IFERROR(VLOOKUP(A26,ARTICLES!$A$2:$E$485,5,0),"")</f>
        <v>Informatique</v>
      </c>
      <c r="D26" s="106">
        <f ca="1">IFERROR(SUMPRODUCT((MOUVEMENTS!$B$3:$B$461=A26)*(MOUVEMENTS!$D$3:$D$461="IN")*(MOUVEMENTS!$A$3:$A$461&gt;=B24)*(MOUVEMENTS!$A$3:$A$461&lt;=D24)*MOUVEMENTS!$E$3:$E$461),0)</f>
        <v>0</v>
      </c>
      <c r="E26" s="106">
        <f ca="1">IFERROR(SUMPRODUCT((MOUVEMENTS!$B$3:$B$461=A26)*(MOUVEMENTS!$D$3:$D$461="OUT")*(MOUVEMENTS!$A$3:$A$461&gt;=B24)*(MOUVEMENTS!$A$3:$A$461&lt;=D24)*MOUVEMENTS!$E$3:$E$461),0)</f>
        <v>0</v>
      </c>
      <c r="F26" s="107">
        <f t="shared" ref="F26:F37" ca="1" si="2">D26-E26</f>
        <v>0</v>
      </c>
      <c r="G26" s="106">
        <f ca="1">IFERROR(F26*VLOOKUP(A26,ARTICLES!$A$2:$G$485,7,0),0)</f>
        <v>0</v>
      </c>
      <c r="H26" s="104" t="str">
        <f t="shared" ref="H26:H37" ca="1" si="3">IF(F26&lt;0,"!! NÉGATIF",IF(F26=0,"!! RUPTURE","OK"))</f>
        <v>!! RUPTURE</v>
      </c>
    </row>
    <row r="27" spans="1:8" ht="18" customHeight="1">
      <c r="A27" s="108" t="s">
        <v>55</v>
      </c>
      <c r="B27" s="109" t="str">
        <f>IFERROR(VLOOKUP(A27,ARTICLES!$A$2:$B$485,2,0),"")</f>
        <v>Rame papier A4 80g/m2</v>
      </c>
      <c r="C27" s="110" t="str">
        <f>IFERROR(VLOOKUP(A27,ARTICLES!$A$2:$E$485,5,0),"")</f>
        <v>Fournitures Bureau</v>
      </c>
      <c r="D27" s="111">
        <f ca="1">IFERROR(SUMPRODUCT((MOUVEMENTS!$B$3:$B$461=A27)*(MOUVEMENTS!$D$3:$D$461="IN")*(MOUVEMENTS!$A$3:$A$461&gt;=B24)*(MOUVEMENTS!$A$3:$A$461&lt;=D24)*MOUVEMENTS!$E$3:$E$461),0)</f>
        <v>0</v>
      </c>
      <c r="E27" s="111">
        <f ca="1">IFERROR(SUMPRODUCT((MOUVEMENTS!$B$3:$B$461=A27)*(MOUVEMENTS!$D$3:$D$461="OUT")*(MOUVEMENTS!$A$3:$A$461&gt;=B24)*(MOUVEMENTS!$A$3:$A$461&lt;=D24)*MOUVEMENTS!$E$3:$E$461),0)</f>
        <v>0</v>
      </c>
      <c r="F27" s="112">
        <f t="shared" ca="1" si="2"/>
        <v>0</v>
      </c>
      <c r="G27" s="111">
        <f ca="1">IFERROR(F27*VLOOKUP(A27,ARTICLES!$A$2:$G$485,7,0),0)</f>
        <v>0</v>
      </c>
      <c r="H27" s="108" t="str">
        <f t="shared" ca="1" si="3"/>
        <v>!! RUPTURE</v>
      </c>
    </row>
    <row r="28" spans="1:8" ht="18" customHeight="1">
      <c r="A28" s="104" t="s">
        <v>58</v>
      </c>
      <c r="B28" s="40" t="str">
        <f>IFERROR(VLOOKUP(A28,ARTICLES!$A$2:$B$485,2,0),"")</f>
        <v>Rame papier A3 80g/m2</v>
      </c>
      <c r="C28" s="105" t="str">
        <f>IFERROR(VLOOKUP(A28,ARTICLES!$A$2:$E$485,5,0),"")</f>
        <v>Fournitures Bureau</v>
      </c>
      <c r="D28" s="106">
        <f ca="1">IFERROR(SUMPRODUCT((MOUVEMENTS!$B$3:$B$461=A28)*(MOUVEMENTS!$D$3:$D$461="IN")*(MOUVEMENTS!$A$3:$A$461&gt;=B24)*(MOUVEMENTS!$A$3:$A$461&lt;=D24)*MOUVEMENTS!$E$3:$E$461),0)</f>
        <v>0</v>
      </c>
      <c r="E28" s="106">
        <f ca="1">IFERROR(SUMPRODUCT((MOUVEMENTS!$B$3:$B$461=A28)*(MOUVEMENTS!$D$3:$D$461="OUT")*(MOUVEMENTS!$A$3:$A$461&gt;=B24)*(MOUVEMENTS!$A$3:$A$461&lt;=D24)*MOUVEMENTS!$E$3:$E$461),0)</f>
        <v>0</v>
      </c>
      <c r="F28" s="107">
        <f t="shared" ca="1" si="2"/>
        <v>0</v>
      </c>
      <c r="G28" s="106">
        <f ca="1">IFERROR(F28*VLOOKUP(A28,ARTICLES!$A$2:$G$485,7,0),0)</f>
        <v>0</v>
      </c>
      <c r="H28" s="104" t="str">
        <f t="shared" ca="1" si="3"/>
        <v>!! RUPTURE</v>
      </c>
    </row>
    <row r="29" spans="1:8" ht="18" customHeight="1">
      <c r="A29" s="108" t="s">
        <v>59</v>
      </c>
      <c r="B29" s="109" t="str">
        <f>IFERROR(VLOOKUP(A29,ARTICLES!$A$2:$B$485,2,0),"")</f>
        <v>Boite archives carton</v>
      </c>
      <c r="C29" s="110" t="str">
        <f>IFERROR(VLOOKUP(A29,ARTICLES!$A$2:$E$485,5,0),"")</f>
        <v>Admin</v>
      </c>
      <c r="D29" s="111">
        <f ca="1">IFERROR(SUMPRODUCT((MOUVEMENTS!$B$3:$B$461=A29)*(MOUVEMENTS!$D$3:$D$461="IN")*(MOUVEMENTS!$A$3:$A$461&gt;=B24)*(MOUVEMENTS!$A$3:$A$461&lt;=D24)*MOUVEMENTS!$E$3:$E$461),0)</f>
        <v>0</v>
      </c>
      <c r="E29" s="111">
        <f ca="1">IFERROR(SUMPRODUCT((MOUVEMENTS!$B$3:$B$461=A29)*(MOUVEMENTS!$D$3:$D$461="OUT")*(MOUVEMENTS!$A$3:$A$461&gt;=B24)*(MOUVEMENTS!$A$3:$A$461&lt;=D24)*MOUVEMENTS!$E$3:$E$461),0)</f>
        <v>0</v>
      </c>
      <c r="F29" s="112">
        <f t="shared" ca="1" si="2"/>
        <v>0</v>
      </c>
      <c r="G29" s="111">
        <f ca="1">IFERROR(F29*VLOOKUP(A29,ARTICLES!$A$2:$G$485,7,0),0)</f>
        <v>0</v>
      </c>
      <c r="H29" s="108" t="str">
        <f t="shared" ca="1" si="3"/>
        <v>!! RUPTURE</v>
      </c>
    </row>
    <row r="30" spans="1:8" ht="18" customHeight="1">
      <c r="A30" s="104" t="s">
        <v>61</v>
      </c>
      <c r="B30" s="40" t="str">
        <f>IFERROR(VLOOKUP(A30,ARTICLES!$A$2:$B$485,2,0),"")</f>
        <v>Agrafeuse de bureau</v>
      </c>
      <c r="C30" s="105" t="str">
        <f>IFERROR(VLOOKUP(A30,ARTICLES!$A$2:$E$485,5,0),"")</f>
        <v>Fournitures Bureau</v>
      </c>
      <c r="D30" s="106">
        <f ca="1">IFERROR(SUMPRODUCT((MOUVEMENTS!$B$3:$B$461=A30)*(MOUVEMENTS!$D$3:$D$461="IN")*(MOUVEMENTS!$A$3:$A$461&gt;=B24)*(MOUVEMENTS!$A$3:$A$461&lt;=D24)*MOUVEMENTS!$E$3:$E$461),0)</f>
        <v>0</v>
      </c>
      <c r="E30" s="106">
        <f ca="1">IFERROR(SUMPRODUCT((MOUVEMENTS!$B$3:$B$461=A30)*(MOUVEMENTS!$D$3:$D$461="OUT")*(MOUVEMENTS!$A$3:$A$461&gt;=B24)*(MOUVEMENTS!$A$3:$A$461&lt;=D24)*MOUVEMENTS!$E$3:$E$461),0)</f>
        <v>0</v>
      </c>
      <c r="F30" s="107">
        <f t="shared" ca="1" si="2"/>
        <v>0</v>
      </c>
      <c r="G30" s="106">
        <f ca="1">IFERROR(F30*VLOOKUP(A30,ARTICLES!$A$2:$G$485,7,0),0)</f>
        <v>0</v>
      </c>
      <c r="H30" s="104" t="str">
        <f t="shared" ca="1" si="3"/>
        <v>!! RUPTURE</v>
      </c>
    </row>
    <row r="31" spans="1:8" ht="18" customHeight="1">
      <c r="A31" s="108" t="s">
        <v>63</v>
      </c>
      <c r="B31" s="109" t="str">
        <f>IFERROR(VLOOKUP(A31,ARTICLES!$A$2:$B$485,2,0),"")</f>
        <v>Stylos bille boite/50</v>
      </c>
      <c r="C31" s="110" t="str">
        <f>IFERROR(VLOOKUP(A31,ARTICLES!$A$2:$E$485,5,0),"")</f>
        <v>Fournitures Bureau</v>
      </c>
      <c r="D31" s="111">
        <f ca="1">IFERROR(SUMPRODUCT((MOUVEMENTS!$B$3:$B$461=A31)*(MOUVEMENTS!$D$3:$D$461="IN")*(MOUVEMENTS!$A$3:$A$461&gt;=B24)*(MOUVEMENTS!$A$3:$A$461&lt;=D24)*MOUVEMENTS!$E$3:$E$461),0)</f>
        <v>0</v>
      </c>
      <c r="E31" s="111">
        <f ca="1">IFERROR(SUMPRODUCT((MOUVEMENTS!$B$3:$B$461=A31)*(MOUVEMENTS!$D$3:$D$461="OUT")*(MOUVEMENTS!$A$3:$A$461&gt;=B24)*(MOUVEMENTS!$A$3:$A$461&lt;=D24)*MOUVEMENTS!$E$3:$E$461),0)</f>
        <v>0</v>
      </c>
      <c r="F31" s="112">
        <f t="shared" ca="1" si="2"/>
        <v>0</v>
      </c>
      <c r="G31" s="111">
        <f ca="1">IFERROR(F31*VLOOKUP(A31,ARTICLES!$A$2:$G$485,7,0),0)</f>
        <v>0</v>
      </c>
      <c r="H31" s="108" t="str">
        <f t="shared" ca="1" si="3"/>
        <v>!! RUPTURE</v>
      </c>
    </row>
    <row r="32" spans="1:8" ht="18" customHeight="1">
      <c r="A32" s="104" t="s">
        <v>64</v>
      </c>
      <c r="B32" s="40" t="str">
        <f>IFERROR(VLOOKUP(A32,ARTICLES!$A$2:$B$485,2,0),"")</f>
        <v>Registre grand format 5m</v>
      </c>
      <c r="C32" s="105" t="str">
        <f>IFERROR(VLOOKUP(A32,ARTICLES!$A$2:$E$485,5,0),"")</f>
        <v>Admin</v>
      </c>
      <c r="D32" s="106">
        <f ca="1">IFERROR(SUMPRODUCT((MOUVEMENTS!$B$3:$B$461=A32)*(MOUVEMENTS!$D$3:$D$461="IN")*(MOUVEMENTS!$A$3:$A$461&gt;=B24)*(MOUVEMENTS!$A$3:$A$461&lt;=D24)*MOUVEMENTS!$E$3:$E$461),0)</f>
        <v>0</v>
      </c>
      <c r="E32" s="106">
        <f ca="1">IFERROR(SUMPRODUCT((MOUVEMENTS!$B$3:$B$461=A32)*(MOUVEMENTS!$D$3:$D$461="OUT")*(MOUVEMENTS!$A$3:$A$461&gt;=B24)*(MOUVEMENTS!$A$3:$A$461&lt;=D24)*MOUVEMENTS!$E$3:$E$461),0)</f>
        <v>0</v>
      </c>
      <c r="F32" s="107">
        <f t="shared" ca="1" si="2"/>
        <v>0</v>
      </c>
      <c r="G32" s="106">
        <f ca="1">IFERROR(F32*VLOOKUP(A32,ARTICLES!$A$2:$G$485,7,0),0)</f>
        <v>0</v>
      </c>
      <c r="H32" s="104" t="str">
        <f t="shared" ca="1" si="3"/>
        <v>!! RUPTURE</v>
      </c>
    </row>
    <row r="33" spans="1:8" ht="18" customHeight="1">
      <c r="A33" s="108" t="s">
        <v>66</v>
      </c>
      <c r="B33" s="109" t="str">
        <f>IFERROR(VLOOKUP(A33,ARTICLES!$A$2:$B$485,2,0),"")</f>
        <v>Encre tampon</v>
      </c>
      <c r="C33" s="110" t="str">
        <f>IFERROR(VLOOKUP(A33,ARTICLES!$A$2:$E$485,5,0),"")</f>
        <v>Fournitures Bureau</v>
      </c>
      <c r="D33" s="111">
        <f ca="1">IFERROR(SUMPRODUCT((MOUVEMENTS!$B$3:$B$461=A33)*(MOUVEMENTS!$D$3:$D$461="IN")*(MOUVEMENTS!$A$3:$A$461&gt;=B24)*(MOUVEMENTS!$A$3:$A$461&lt;=D24)*MOUVEMENTS!$E$3:$E$461),0)</f>
        <v>0</v>
      </c>
      <c r="E33" s="111">
        <f ca="1">IFERROR(SUMPRODUCT((MOUVEMENTS!$B$3:$B$461=A33)*(MOUVEMENTS!$D$3:$D$461="OUT")*(MOUVEMENTS!$A$3:$A$461&gt;=B24)*(MOUVEMENTS!$A$3:$A$461&lt;=D24)*MOUVEMENTS!$E$3:$E$461),0)</f>
        <v>0</v>
      </c>
      <c r="F33" s="112">
        <f t="shared" ca="1" si="2"/>
        <v>0</v>
      </c>
      <c r="G33" s="111">
        <f ca="1">IFERROR(F33*VLOOKUP(A33,ARTICLES!$A$2:$G$485,7,0),0)</f>
        <v>0</v>
      </c>
      <c r="H33" s="108" t="str">
        <f t="shared" ca="1" si="3"/>
        <v>!! RUPTURE</v>
      </c>
    </row>
    <row r="34" spans="1:8" ht="18" customHeight="1">
      <c r="A34" s="104" t="s">
        <v>67</v>
      </c>
      <c r="B34" s="40" t="str">
        <f>IFERROR(VLOOKUP(A34,ARTICLES!$A$2:$B$485,2,0),"")</f>
        <v>Sous-chemise carton</v>
      </c>
      <c r="C34" s="105" t="str">
        <f>IFERROR(VLOOKUP(A34,ARTICLES!$A$2:$E$485,5,0),"")</f>
        <v>Fournitures Bureau</v>
      </c>
      <c r="D34" s="106">
        <f ca="1">IFERROR(SUMPRODUCT((MOUVEMENTS!$B$3:$B$461=A34)*(MOUVEMENTS!$D$3:$D$461="IN")*(MOUVEMENTS!$A$3:$A$461&gt;=B24)*(MOUVEMENTS!$A$3:$A$461&lt;=D24)*MOUVEMENTS!$E$3:$E$461),0)</f>
        <v>0</v>
      </c>
      <c r="E34" s="106">
        <f ca="1">IFERROR(SUMPRODUCT((MOUVEMENTS!$B$3:$B$461=A34)*(MOUVEMENTS!$D$3:$D$461="OUT")*(MOUVEMENTS!$A$3:$A$461&gt;=B24)*(MOUVEMENTS!$A$3:$A$461&lt;=D24)*MOUVEMENTS!$E$3:$E$461),0)</f>
        <v>0</v>
      </c>
      <c r="F34" s="107">
        <f t="shared" ca="1" si="2"/>
        <v>0</v>
      </c>
      <c r="G34" s="106">
        <f ca="1">IFERROR(F34*VLOOKUP(A34,ARTICLES!$A$2:$G$485,7,0),0)</f>
        <v>0</v>
      </c>
      <c r="H34" s="104" t="str">
        <f t="shared" ca="1" si="3"/>
        <v>!! RUPTURE</v>
      </c>
    </row>
    <row r="35" spans="1:8" ht="18" customHeight="1">
      <c r="A35" s="108" t="s">
        <v>68</v>
      </c>
      <c r="B35" s="109" t="str">
        <f>IFERROR(VLOOKUP(A35,ARTICLES!$A$2:$B$485,2,0),"")</f>
        <v>Chemise cartonnee</v>
      </c>
      <c r="C35" s="110" t="str">
        <f>IFERROR(VLOOKUP(A35,ARTICLES!$A$2:$E$485,5,0),"")</f>
        <v>Fournitures Bureau</v>
      </c>
      <c r="D35" s="111">
        <f ca="1">IFERROR(SUMPRODUCT((MOUVEMENTS!$B$3:$B$461=A35)*(MOUVEMENTS!$D$3:$D$461="IN")*(MOUVEMENTS!$A$3:$A$461&gt;=B24)*(MOUVEMENTS!$A$3:$A$461&lt;=D24)*MOUVEMENTS!$E$3:$E$461),0)</f>
        <v>0</v>
      </c>
      <c r="E35" s="111">
        <f ca="1">IFERROR(SUMPRODUCT((MOUVEMENTS!$B$3:$B$461=A35)*(MOUVEMENTS!$D$3:$D$461="OUT")*(MOUVEMENTS!$A$3:$A$461&gt;=B24)*(MOUVEMENTS!$A$3:$A$461&lt;=D24)*MOUVEMENTS!$E$3:$E$461),0)</f>
        <v>0</v>
      </c>
      <c r="F35" s="112">
        <f t="shared" ca="1" si="2"/>
        <v>0</v>
      </c>
      <c r="G35" s="111">
        <f ca="1">IFERROR(F35*VLOOKUP(A35,ARTICLES!$A$2:$G$485,7,0),0)</f>
        <v>0</v>
      </c>
      <c r="H35" s="108" t="str">
        <f t="shared" ca="1" si="3"/>
        <v>!! RUPTURE</v>
      </c>
    </row>
    <row r="36" spans="1:8" ht="18" customHeight="1">
      <c r="A36" s="104" t="s">
        <v>69</v>
      </c>
      <c r="B36" s="40" t="str">
        <f>IFERROR(VLOOKUP(A36,ARTICLES!$A$2:$B$485,2,0),"")</f>
        <v>Rouleau papier fax</v>
      </c>
      <c r="C36" s="105" t="str">
        <f>IFERROR(VLOOKUP(A36,ARTICLES!$A$2:$E$485,5,0),"")</f>
        <v>Informatique</v>
      </c>
      <c r="D36" s="106">
        <f ca="1">IFERROR(SUMPRODUCT((MOUVEMENTS!$B$3:$B$461=A36)*(MOUVEMENTS!$D$3:$D$461="IN")*(MOUVEMENTS!$A$3:$A$461&gt;=B24)*(MOUVEMENTS!$A$3:$A$461&lt;=D24)*MOUVEMENTS!$E$3:$E$461),0)</f>
        <v>0</v>
      </c>
      <c r="E36" s="106">
        <f ca="1">IFERROR(SUMPRODUCT((MOUVEMENTS!$B$3:$B$461=A36)*(MOUVEMENTS!$D$3:$D$461="OUT")*(MOUVEMENTS!$A$3:$A$461&gt;=B24)*(MOUVEMENTS!$A$3:$A$461&lt;=D24)*MOUVEMENTS!$E$3:$E$461),0)</f>
        <v>0</v>
      </c>
      <c r="F36" s="107">
        <f t="shared" ca="1" si="2"/>
        <v>0</v>
      </c>
      <c r="G36" s="106">
        <f ca="1">IFERROR(F36*VLOOKUP(A36,ARTICLES!$A$2:$G$485,7,0),0)</f>
        <v>0</v>
      </c>
      <c r="H36" s="104" t="str">
        <f t="shared" ca="1" si="3"/>
        <v>!! RUPTURE</v>
      </c>
    </row>
    <row r="37" spans="1:8" ht="18" customHeight="1">
      <c r="A37" s="108" t="s">
        <v>70</v>
      </c>
      <c r="B37" s="109" t="str">
        <f>IFERROR(VLOOKUP(A37,ARTICLES!$A$2:$B$485,2,0),"")</f>
        <v>Marqueur permanent noir</v>
      </c>
      <c r="C37" s="110" t="str">
        <f>IFERROR(VLOOKUP(A37,ARTICLES!$A$2:$E$485,5,0),"")</f>
        <v>Fournitures Bureau</v>
      </c>
      <c r="D37" s="111">
        <f ca="1">IFERROR(SUMPRODUCT((MOUVEMENTS!$B$3:$B$461=A37)*(MOUVEMENTS!$D$3:$D$461="IN")*(MOUVEMENTS!$A$3:$A$461&gt;=B24)*(MOUVEMENTS!$A$3:$A$461&lt;=D24)*MOUVEMENTS!$E$3:$E$461),0)</f>
        <v>0</v>
      </c>
      <c r="E37" s="111">
        <f ca="1">IFERROR(SUMPRODUCT((MOUVEMENTS!$B$3:$B$461=A37)*(MOUVEMENTS!$D$3:$D$461="OUT")*(MOUVEMENTS!$A$3:$A$461&gt;=B24)*(MOUVEMENTS!$A$3:$A$461&lt;=D24)*MOUVEMENTS!$E$3:$E$461),0)</f>
        <v>0</v>
      </c>
      <c r="F37" s="112">
        <f t="shared" ca="1" si="2"/>
        <v>0</v>
      </c>
      <c r="G37" s="111">
        <f ca="1">IFERROR(F37*VLOOKUP(A37,ARTICLES!$A$2:$G$485,7,0),0)</f>
        <v>0</v>
      </c>
      <c r="H37" s="108" t="str">
        <f t="shared" ca="1" si="3"/>
        <v>!! RUPTURE</v>
      </c>
    </row>
    <row r="38" spans="1:8" ht="21.75" customHeight="1">
      <c r="A38" s="113" t="s">
        <v>189</v>
      </c>
      <c r="B38" s="234" t="s">
        <v>225</v>
      </c>
      <c r="C38" s="202"/>
      <c r="D38" s="114">
        <f ca="1">SUM(D26:D37)</f>
        <v>0</v>
      </c>
      <c r="E38" s="114">
        <f ca="1">SUM(E26:E37)</f>
        <v>0</v>
      </c>
      <c r="F38" s="114">
        <f ca="1">SUM(F26:F37)</f>
        <v>0</v>
      </c>
      <c r="G38" s="114">
        <f ca="1">SUM(G26:G37)</f>
        <v>0</v>
      </c>
      <c r="H38" s="115"/>
    </row>
    <row r="39" spans="1:8" ht="25.5" customHeight="1">
      <c r="A39" s="236" t="s">
        <v>228</v>
      </c>
      <c r="B39" s="208"/>
      <c r="C39" s="208"/>
      <c r="D39" s="208"/>
      <c r="E39" s="208"/>
      <c r="F39" s="208"/>
      <c r="G39" s="208"/>
      <c r="H39" s="208"/>
    </row>
    <row r="42" spans="1:8" ht="24" customHeight="1">
      <c r="A42" s="232" t="s">
        <v>229</v>
      </c>
      <c r="B42" s="201"/>
      <c r="C42" s="201"/>
      <c r="D42" s="201"/>
      <c r="E42" s="201"/>
      <c r="F42" s="201"/>
      <c r="G42" s="201"/>
      <c r="H42" s="202"/>
    </row>
    <row r="43" spans="1:8" ht="21.75" customHeight="1">
      <c r="A43" s="100" t="s">
        <v>214</v>
      </c>
      <c r="B43" s="117"/>
      <c r="C43" s="102" t="s">
        <v>215</v>
      </c>
      <c r="D43" s="117"/>
      <c r="E43" s="233" t="s">
        <v>216</v>
      </c>
      <c r="F43" s="187"/>
      <c r="G43" s="187"/>
      <c r="H43" s="187"/>
    </row>
    <row r="44" spans="1:8" ht="31.5" customHeight="1">
      <c r="A44" s="103" t="s">
        <v>217</v>
      </c>
      <c r="B44" s="103" t="s">
        <v>218</v>
      </c>
      <c r="C44" s="103" t="s">
        <v>219</v>
      </c>
      <c r="D44" s="103" t="s">
        <v>220</v>
      </c>
      <c r="E44" s="103" t="s">
        <v>221</v>
      </c>
      <c r="F44" s="103" t="s">
        <v>222</v>
      </c>
      <c r="G44" s="103" t="s">
        <v>223</v>
      </c>
      <c r="H44" s="103" t="s">
        <v>224</v>
      </c>
    </row>
    <row r="45" spans="1:8" ht="18" customHeight="1">
      <c r="A45" s="104" t="s">
        <v>52</v>
      </c>
      <c r="B45" s="40" t="str">
        <f>IFERROR(VLOOKUP(A45,ARTICLES!$A$2:$B$485,2,0),"")</f>
        <v>Toner imprimante G030 (noir)</v>
      </c>
      <c r="C45" s="105" t="str">
        <f>IFERROR(VLOOKUP(A45,ARTICLES!$A$2:$E$485,5,0),"")</f>
        <v>Informatique</v>
      </c>
      <c r="D45" s="106">
        <f>IFERROR(SUMPRODUCT((MOUVEMENTS!$B$3:$B$461=A45)*(MOUVEMENTS!$D$3:$D$461="IN")*(MOUVEMENTS!$A$3:$A$461&gt;=B43)*(MOUVEMENTS!$A$3:$A$461&lt;=D43)*MOUVEMENTS!$E$3:$E$461),0)</f>
        <v>0</v>
      </c>
      <c r="E45" s="106">
        <f>IFERROR(SUMPRODUCT((MOUVEMENTS!$B$3:$B$461=A45)*(MOUVEMENTS!$D$3:$D$461="OUT")*(MOUVEMENTS!$A$3:$A$461&gt;=B43)*(MOUVEMENTS!$A$3:$A$461&lt;=D43)*MOUVEMENTS!$E$3:$E$461),0)</f>
        <v>0</v>
      </c>
      <c r="F45" s="107">
        <f t="shared" ref="F45:F56" si="4">D45-E45</f>
        <v>0</v>
      </c>
      <c r="G45" s="106">
        <f>IFERROR(F45*VLOOKUP(A45,ARTICLES!$A$2:$G$485,7,0),0)</f>
        <v>0</v>
      </c>
      <c r="H45" s="104" t="str">
        <f t="shared" ref="H45:H56" si="5">IF(F45&lt;0,"!! NÉGATIF",IF(F45=0,"!! RUPTURE","OK"))</f>
        <v>!! RUPTURE</v>
      </c>
    </row>
    <row r="46" spans="1:8" ht="18" customHeight="1">
      <c r="A46" s="108" t="s">
        <v>55</v>
      </c>
      <c r="B46" s="109" t="str">
        <f>IFERROR(VLOOKUP(A46,ARTICLES!$A$2:$B$485,2,0),"")</f>
        <v>Rame papier A4 80g/m2</v>
      </c>
      <c r="C46" s="110" t="str">
        <f>IFERROR(VLOOKUP(A46,ARTICLES!$A$2:$E$485,5,0),"")</f>
        <v>Fournitures Bureau</v>
      </c>
      <c r="D46" s="111">
        <f>IFERROR(SUMPRODUCT((MOUVEMENTS!$B$3:$B$461=A46)*(MOUVEMENTS!$D$3:$D$461="IN")*(MOUVEMENTS!$A$3:$A$461&gt;=B43)*(MOUVEMENTS!$A$3:$A$461&lt;=D43)*MOUVEMENTS!$E$3:$E$461),0)</f>
        <v>0</v>
      </c>
      <c r="E46" s="111">
        <f>IFERROR(SUMPRODUCT((MOUVEMENTS!$B$3:$B$461=A46)*(MOUVEMENTS!$D$3:$D$461="OUT")*(MOUVEMENTS!$A$3:$A$461&gt;=B43)*(MOUVEMENTS!$A$3:$A$461&lt;=D43)*MOUVEMENTS!$E$3:$E$461),0)</f>
        <v>0</v>
      </c>
      <c r="F46" s="112">
        <f t="shared" si="4"/>
        <v>0</v>
      </c>
      <c r="G46" s="111">
        <f>IFERROR(F46*VLOOKUP(A46,ARTICLES!$A$2:$G$485,7,0),0)</f>
        <v>0</v>
      </c>
      <c r="H46" s="108" t="str">
        <f t="shared" si="5"/>
        <v>!! RUPTURE</v>
      </c>
    </row>
    <row r="47" spans="1:8" ht="18" customHeight="1">
      <c r="A47" s="104" t="s">
        <v>58</v>
      </c>
      <c r="B47" s="40" t="str">
        <f>IFERROR(VLOOKUP(A47,ARTICLES!$A$2:$B$485,2,0),"")</f>
        <v>Rame papier A3 80g/m2</v>
      </c>
      <c r="C47" s="105" t="str">
        <f>IFERROR(VLOOKUP(A47,ARTICLES!$A$2:$E$485,5,0),"")</f>
        <v>Fournitures Bureau</v>
      </c>
      <c r="D47" s="106">
        <f>IFERROR(SUMPRODUCT((MOUVEMENTS!$B$3:$B$461=A47)*(MOUVEMENTS!$D$3:$D$461="IN")*(MOUVEMENTS!$A$3:$A$461&gt;=B43)*(MOUVEMENTS!$A$3:$A$461&lt;=D43)*MOUVEMENTS!$E$3:$E$461),0)</f>
        <v>0</v>
      </c>
      <c r="E47" s="106">
        <f>IFERROR(SUMPRODUCT((MOUVEMENTS!$B$3:$B$461=A47)*(MOUVEMENTS!$D$3:$D$461="OUT")*(MOUVEMENTS!$A$3:$A$461&gt;=B43)*(MOUVEMENTS!$A$3:$A$461&lt;=D43)*MOUVEMENTS!$E$3:$E$461),0)</f>
        <v>0</v>
      </c>
      <c r="F47" s="107">
        <f t="shared" si="4"/>
        <v>0</v>
      </c>
      <c r="G47" s="106">
        <f>IFERROR(F47*VLOOKUP(A47,ARTICLES!$A$2:$G$485,7,0),0)</f>
        <v>0</v>
      </c>
      <c r="H47" s="104" t="str">
        <f t="shared" si="5"/>
        <v>!! RUPTURE</v>
      </c>
    </row>
    <row r="48" spans="1:8" ht="18" customHeight="1">
      <c r="A48" s="108" t="s">
        <v>59</v>
      </c>
      <c r="B48" s="109" t="str">
        <f>IFERROR(VLOOKUP(A48,ARTICLES!$A$2:$B$485,2,0),"")</f>
        <v>Boite archives carton</v>
      </c>
      <c r="C48" s="110" t="str">
        <f>IFERROR(VLOOKUP(A48,ARTICLES!$A$2:$E$485,5,0),"")</f>
        <v>Admin</v>
      </c>
      <c r="D48" s="111">
        <f>IFERROR(SUMPRODUCT((MOUVEMENTS!$B$3:$B$461=A48)*(MOUVEMENTS!$D$3:$D$461="IN")*(MOUVEMENTS!$A$3:$A$461&gt;=B43)*(MOUVEMENTS!$A$3:$A$461&lt;=D43)*MOUVEMENTS!$E$3:$E$461),0)</f>
        <v>0</v>
      </c>
      <c r="E48" s="111">
        <f>IFERROR(SUMPRODUCT((MOUVEMENTS!$B$3:$B$461=A48)*(MOUVEMENTS!$D$3:$D$461="OUT")*(MOUVEMENTS!$A$3:$A$461&gt;=B43)*(MOUVEMENTS!$A$3:$A$461&lt;=D43)*MOUVEMENTS!$E$3:$E$461),0)</f>
        <v>0</v>
      </c>
      <c r="F48" s="112">
        <f t="shared" si="4"/>
        <v>0</v>
      </c>
      <c r="G48" s="111">
        <f>IFERROR(F48*VLOOKUP(A48,ARTICLES!$A$2:$G$485,7,0),0)</f>
        <v>0</v>
      </c>
      <c r="H48" s="108" t="str">
        <f t="shared" si="5"/>
        <v>!! RUPTURE</v>
      </c>
    </row>
    <row r="49" spans="1:8" ht="18" customHeight="1">
      <c r="A49" s="104" t="s">
        <v>61</v>
      </c>
      <c r="B49" s="40" t="str">
        <f>IFERROR(VLOOKUP(A49,ARTICLES!$A$2:$B$485,2,0),"")</f>
        <v>Agrafeuse de bureau</v>
      </c>
      <c r="C49" s="105" t="str">
        <f>IFERROR(VLOOKUP(A49,ARTICLES!$A$2:$E$485,5,0),"")</f>
        <v>Fournitures Bureau</v>
      </c>
      <c r="D49" s="106">
        <f>IFERROR(SUMPRODUCT((MOUVEMENTS!$B$3:$B$461=A49)*(MOUVEMENTS!$D$3:$D$461="IN")*(MOUVEMENTS!$A$3:$A$461&gt;=B43)*(MOUVEMENTS!$A$3:$A$461&lt;=D43)*MOUVEMENTS!$E$3:$E$461),0)</f>
        <v>0</v>
      </c>
      <c r="E49" s="106">
        <f>IFERROR(SUMPRODUCT((MOUVEMENTS!$B$3:$B$461=A49)*(MOUVEMENTS!$D$3:$D$461="OUT")*(MOUVEMENTS!$A$3:$A$461&gt;=B43)*(MOUVEMENTS!$A$3:$A$461&lt;=D43)*MOUVEMENTS!$E$3:$E$461),0)</f>
        <v>0</v>
      </c>
      <c r="F49" s="107">
        <f t="shared" si="4"/>
        <v>0</v>
      </c>
      <c r="G49" s="106">
        <f>IFERROR(F49*VLOOKUP(A49,ARTICLES!$A$2:$G$485,7,0),0)</f>
        <v>0</v>
      </c>
      <c r="H49" s="104" t="str">
        <f t="shared" si="5"/>
        <v>!! RUPTURE</v>
      </c>
    </row>
    <row r="50" spans="1:8" ht="18" customHeight="1">
      <c r="A50" s="108" t="s">
        <v>63</v>
      </c>
      <c r="B50" s="109" t="str">
        <f>IFERROR(VLOOKUP(A50,ARTICLES!$A$2:$B$485,2,0),"")</f>
        <v>Stylos bille boite/50</v>
      </c>
      <c r="C50" s="110" t="str">
        <f>IFERROR(VLOOKUP(A50,ARTICLES!$A$2:$E$485,5,0),"")</f>
        <v>Fournitures Bureau</v>
      </c>
      <c r="D50" s="111">
        <f>IFERROR(SUMPRODUCT((MOUVEMENTS!$B$3:$B$461=A50)*(MOUVEMENTS!$D$3:$D$461="IN")*(MOUVEMENTS!$A$3:$A$461&gt;=B43)*(MOUVEMENTS!$A$3:$A$461&lt;=D43)*MOUVEMENTS!$E$3:$E$461),0)</f>
        <v>0</v>
      </c>
      <c r="E50" s="111">
        <f>IFERROR(SUMPRODUCT((MOUVEMENTS!$B$3:$B$461=A50)*(MOUVEMENTS!$D$3:$D$461="OUT")*(MOUVEMENTS!$A$3:$A$461&gt;=B43)*(MOUVEMENTS!$A$3:$A$461&lt;=D43)*MOUVEMENTS!$E$3:$E$461),0)</f>
        <v>0</v>
      </c>
      <c r="F50" s="112">
        <f t="shared" si="4"/>
        <v>0</v>
      </c>
      <c r="G50" s="111">
        <f>IFERROR(F50*VLOOKUP(A50,ARTICLES!$A$2:$G$485,7,0),0)</f>
        <v>0</v>
      </c>
      <c r="H50" s="108" t="str">
        <f t="shared" si="5"/>
        <v>!! RUPTURE</v>
      </c>
    </row>
    <row r="51" spans="1:8" ht="18" customHeight="1">
      <c r="A51" s="104" t="s">
        <v>64</v>
      </c>
      <c r="B51" s="40" t="str">
        <f>IFERROR(VLOOKUP(A51,ARTICLES!$A$2:$B$485,2,0),"")</f>
        <v>Registre grand format 5m</v>
      </c>
      <c r="C51" s="105" t="str">
        <f>IFERROR(VLOOKUP(A51,ARTICLES!$A$2:$E$485,5,0),"")</f>
        <v>Admin</v>
      </c>
      <c r="D51" s="106">
        <f>IFERROR(SUMPRODUCT((MOUVEMENTS!$B$3:$B$461=A51)*(MOUVEMENTS!$D$3:$D$461="IN")*(MOUVEMENTS!$A$3:$A$461&gt;=B43)*(MOUVEMENTS!$A$3:$A$461&lt;=D43)*MOUVEMENTS!$E$3:$E$461),0)</f>
        <v>0</v>
      </c>
      <c r="E51" s="106">
        <f>IFERROR(SUMPRODUCT((MOUVEMENTS!$B$3:$B$461=A51)*(MOUVEMENTS!$D$3:$D$461="OUT")*(MOUVEMENTS!$A$3:$A$461&gt;=B43)*(MOUVEMENTS!$A$3:$A$461&lt;=D43)*MOUVEMENTS!$E$3:$E$461),0)</f>
        <v>0</v>
      </c>
      <c r="F51" s="107">
        <f t="shared" si="4"/>
        <v>0</v>
      </c>
      <c r="G51" s="106">
        <f>IFERROR(F51*VLOOKUP(A51,ARTICLES!$A$2:$G$485,7,0),0)</f>
        <v>0</v>
      </c>
      <c r="H51" s="104" t="str">
        <f t="shared" si="5"/>
        <v>!! RUPTURE</v>
      </c>
    </row>
    <row r="52" spans="1:8" ht="18" customHeight="1">
      <c r="A52" s="108" t="s">
        <v>66</v>
      </c>
      <c r="B52" s="109" t="str">
        <f>IFERROR(VLOOKUP(A52,ARTICLES!$A$2:$B$485,2,0),"")</f>
        <v>Encre tampon</v>
      </c>
      <c r="C52" s="110" t="str">
        <f>IFERROR(VLOOKUP(A52,ARTICLES!$A$2:$E$485,5,0),"")</f>
        <v>Fournitures Bureau</v>
      </c>
      <c r="D52" s="111">
        <f>IFERROR(SUMPRODUCT((MOUVEMENTS!$B$3:$B$461=A52)*(MOUVEMENTS!$D$3:$D$461="IN")*(MOUVEMENTS!$A$3:$A$461&gt;=B43)*(MOUVEMENTS!$A$3:$A$461&lt;=D43)*MOUVEMENTS!$E$3:$E$461),0)</f>
        <v>0</v>
      </c>
      <c r="E52" s="111">
        <f>IFERROR(SUMPRODUCT((MOUVEMENTS!$B$3:$B$461=A52)*(MOUVEMENTS!$D$3:$D$461="OUT")*(MOUVEMENTS!$A$3:$A$461&gt;=B43)*(MOUVEMENTS!$A$3:$A$461&lt;=D43)*MOUVEMENTS!$E$3:$E$461),0)</f>
        <v>0</v>
      </c>
      <c r="F52" s="112">
        <f t="shared" si="4"/>
        <v>0</v>
      </c>
      <c r="G52" s="111">
        <f>IFERROR(F52*VLOOKUP(A52,ARTICLES!$A$2:$G$485,7,0),0)</f>
        <v>0</v>
      </c>
      <c r="H52" s="108" t="str">
        <f t="shared" si="5"/>
        <v>!! RUPTURE</v>
      </c>
    </row>
    <row r="53" spans="1:8" ht="18" customHeight="1">
      <c r="A53" s="104" t="s">
        <v>67</v>
      </c>
      <c r="B53" s="40" t="str">
        <f>IFERROR(VLOOKUP(A53,ARTICLES!$A$2:$B$485,2,0),"")</f>
        <v>Sous-chemise carton</v>
      </c>
      <c r="C53" s="105" t="str">
        <f>IFERROR(VLOOKUP(A53,ARTICLES!$A$2:$E$485,5,0),"")</f>
        <v>Fournitures Bureau</v>
      </c>
      <c r="D53" s="106">
        <f>IFERROR(SUMPRODUCT((MOUVEMENTS!$B$3:$B$461=A53)*(MOUVEMENTS!$D$3:$D$461="IN")*(MOUVEMENTS!$A$3:$A$461&gt;=B43)*(MOUVEMENTS!$A$3:$A$461&lt;=D43)*MOUVEMENTS!$E$3:$E$461),0)</f>
        <v>0</v>
      </c>
      <c r="E53" s="106">
        <f>IFERROR(SUMPRODUCT((MOUVEMENTS!$B$3:$B$461=A53)*(MOUVEMENTS!$D$3:$D$461="OUT")*(MOUVEMENTS!$A$3:$A$461&gt;=B43)*(MOUVEMENTS!$A$3:$A$461&lt;=D43)*MOUVEMENTS!$E$3:$E$461),0)</f>
        <v>0</v>
      </c>
      <c r="F53" s="107">
        <f t="shared" si="4"/>
        <v>0</v>
      </c>
      <c r="G53" s="106">
        <f>IFERROR(F53*VLOOKUP(A53,ARTICLES!$A$2:$G$485,7,0),0)</f>
        <v>0</v>
      </c>
      <c r="H53" s="104" t="str">
        <f t="shared" si="5"/>
        <v>!! RUPTURE</v>
      </c>
    </row>
    <row r="54" spans="1:8" ht="18" customHeight="1">
      <c r="A54" s="108" t="s">
        <v>68</v>
      </c>
      <c r="B54" s="109" t="str">
        <f>IFERROR(VLOOKUP(A54,ARTICLES!$A$2:$B$485,2,0),"")</f>
        <v>Chemise cartonnee</v>
      </c>
      <c r="C54" s="110" t="str">
        <f>IFERROR(VLOOKUP(A54,ARTICLES!$A$2:$E$485,5,0),"")</f>
        <v>Fournitures Bureau</v>
      </c>
      <c r="D54" s="111">
        <f>IFERROR(SUMPRODUCT((MOUVEMENTS!$B$3:$B$461=A54)*(MOUVEMENTS!$D$3:$D$461="IN")*(MOUVEMENTS!$A$3:$A$461&gt;=B43)*(MOUVEMENTS!$A$3:$A$461&lt;=D43)*MOUVEMENTS!$E$3:$E$461),0)</f>
        <v>0</v>
      </c>
      <c r="E54" s="111">
        <f>IFERROR(SUMPRODUCT((MOUVEMENTS!$B$3:$B$461=A54)*(MOUVEMENTS!$D$3:$D$461="OUT")*(MOUVEMENTS!$A$3:$A$461&gt;=B43)*(MOUVEMENTS!$A$3:$A$461&lt;=D43)*MOUVEMENTS!$E$3:$E$461),0)</f>
        <v>0</v>
      </c>
      <c r="F54" s="112">
        <f t="shared" si="4"/>
        <v>0</v>
      </c>
      <c r="G54" s="111">
        <f>IFERROR(F54*VLOOKUP(A54,ARTICLES!$A$2:$G$485,7,0),0)</f>
        <v>0</v>
      </c>
      <c r="H54" s="108" t="str">
        <f t="shared" si="5"/>
        <v>!! RUPTURE</v>
      </c>
    </row>
    <row r="55" spans="1:8" ht="18" customHeight="1">
      <c r="A55" s="104" t="s">
        <v>69</v>
      </c>
      <c r="B55" s="40" t="str">
        <f>IFERROR(VLOOKUP(A55,ARTICLES!$A$2:$B$485,2,0),"")</f>
        <v>Rouleau papier fax</v>
      </c>
      <c r="C55" s="105" t="str">
        <f>IFERROR(VLOOKUP(A55,ARTICLES!$A$2:$E$485,5,0),"")</f>
        <v>Informatique</v>
      </c>
      <c r="D55" s="106">
        <f>IFERROR(SUMPRODUCT((MOUVEMENTS!$B$3:$B$461=A55)*(MOUVEMENTS!$D$3:$D$461="IN")*(MOUVEMENTS!$A$3:$A$461&gt;=B43)*(MOUVEMENTS!$A$3:$A$461&lt;=D43)*MOUVEMENTS!$E$3:$E$461),0)</f>
        <v>0</v>
      </c>
      <c r="E55" s="106">
        <f>IFERROR(SUMPRODUCT((MOUVEMENTS!$B$3:$B$461=A55)*(MOUVEMENTS!$D$3:$D$461="OUT")*(MOUVEMENTS!$A$3:$A$461&gt;=B43)*(MOUVEMENTS!$A$3:$A$461&lt;=D43)*MOUVEMENTS!$E$3:$E$461),0)</f>
        <v>0</v>
      </c>
      <c r="F55" s="107">
        <f t="shared" si="4"/>
        <v>0</v>
      </c>
      <c r="G55" s="106">
        <f>IFERROR(F55*VLOOKUP(A55,ARTICLES!$A$2:$G$485,7,0),0)</f>
        <v>0</v>
      </c>
      <c r="H55" s="104" t="str">
        <f t="shared" si="5"/>
        <v>!! RUPTURE</v>
      </c>
    </row>
    <row r="56" spans="1:8" ht="18" customHeight="1">
      <c r="A56" s="108" t="s">
        <v>70</v>
      </c>
      <c r="B56" s="109" t="str">
        <f>IFERROR(VLOOKUP(A56,ARTICLES!$A$2:$B$485,2,0),"")</f>
        <v>Marqueur permanent noir</v>
      </c>
      <c r="C56" s="110" t="str">
        <f>IFERROR(VLOOKUP(A56,ARTICLES!$A$2:$E$485,5,0),"")</f>
        <v>Fournitures Bureau</v>
      </c>
      <c r="D56" s="111">
        <f>IFERROR(SUMPRODUCT((MOUVEMENTS!$B$3:$B$461=A56)*(MOUVEMENTS!$D$3:$D$461="IN")*(MOUVEMENTS!$A$3:$A$461&gt;=B43)*(MOUVEMENTS!$A$3:$A$461&lt;=D43)*MOUVEMENTS!$E$3:$E$461),0)</f>
        <v>0</v>
      </c>
      <c r="E56" s="111">
        <f>IFERROR(SUMPRODUCT((MOUVEMENTS!$B$3:$B$461=A56)*(MOUVEMENTS!$D$3:$D$461="OUT")*(MOUVEMENTS!$A$3:$A$461&gt;=B43)*(MOUVEMENTS!$A$3:$A$461&lt;=D43)*MOUVEMENTS!$E$3:$E$461),0)</f>
        <v>0</v>
      </c>
      <c r="F56" s="112">
        <f t="shared" si="4"/>
        <v>0</v>
      </c>
      <c r="G56" s="111">
        <f>IFERROR(F56*VLOOKUP(A56,ARTICLES!$A$2:$G$485,7,0),0)</f>
        <v>0</v>
      </c>
      <c r="H56" s="108" t="str">
        <f t="shared" si="5"/>
        <v>!! RUPTURE</v>
      </c>
    </row>
    <row r="57" spans="1:8" ht="21.75" customHeight="1">
      <c r="A57" s="113" t="s">
        <v>189</v>
      </c>
      <c r="B57" s="234" t="s">
        <v>225</v>
      </c>
      <c r="C57" s="202"/>
      <c r="D57" s="114">
        <f>SUM(D45:D56)</f>
        <v>0</v>
      </c>
      <c r="E57" s="114">
        <f>SUM(E45:E56)</f>
        <v>0</v>
      </c>
      <c r="F57" s="114">
        <f>SUM(F45:F56)</f>
        <v>0</v>
      </c>
      <c r="G57" s="114">
        <f>SUM(G45:G56)</f>
        <v>0</v>
      </c>
      <c r="H57" s="115"/>
    </row>
    <row r="58" spans="1:8" ht="25.5" customHeight="1">
      <c r="A58" s="236" t="s">
        <v>230</v>
      </c>
      <c r="B58" s="208"/>
      <c r="C58" s="208"/>
      <c r="D58" s="208"/>
      <c r="E58" s="208"/>
      <c r="F58" s="208"/>
      <c r="G58" s="208"/>
      <c r="H58" s="208"/>
    </row>
    <row r="61" spans="1:8" ht="24" customHeight="1">
      <c r="A61" s="232" t="s">
        <v>231</v>
      </c>
      <c r="B61" s="201"/>
      <c r="C61" s="201"/>
      <c r="D61" s="201"/>
      <c r="E61" s="201"/>
      <c r="F61" s="201"/>
      <c r="G61" s="201"/>
      <c r="H61" s="202"/>
    </row>
    <row r="62" spans="1:8" ht="21.75" customHeight="1">
      <c r="A62" s="100" t="s">
        <v>214</v>
      </c>
      <c r="B62" s="117"/>
      <c r="C62" s="102" t="s">
        <v>215</v>
      </c>
      <c r="D62" s="117"/>
      <c r="E62" s="233" t="s">
        <v>216</v>
      </c>
      <c r="F62" s="187"/>
      <c r="G62" s="187"/>
      <c r="H62" s="187"/>
    </row>
    <row r="63" spans="1:8" ht="31.5" customHeight="1">
      <c r="A63" s="103" t="s">
        <v>217</v>
      </c>
      <c r="B63" s="103" t="s">
        <v>218</v>
      </c>
      <c r="C63" s="103" t="s">
        <v>219</v>
      </c>
      <c r="D63" s="103" t="s">
        <v>220</v>
      </c>
      <c r="E63" s="103" t="s">
        <v>221</v>
      </c>
      <c r="F63" s="103" t="s">
        <v>222</v>
      </c>
      <c r="G63" s="103" t="s">
        <v>223</v>
      </c>
      <c r="H63" s="103" t="s">
        <v>224</v>
      </c>
    </row>
    <row r="64" spans="1:8" ht="18" customHeight="1">
      <c r="A64" s="104" t="s">
        <v>52</v>
      </c>
      <c r="B64" s="40" t="str">
        <f>IFERROR(VLOOKUP(A64,ARTICLES!$A$2:$B$485,2,0),"")</f>
        <v>Toner imprimante G030 (noir)</v>
      </c>
      <c r="C64" s="105" t="str">
        <f>IFERROR(VLOOKUP(A64,ARTICLES!$A$2:$E$485,5,0),"")</f>
        <v>Informatique</v>
      </c>
      <c r="D64" s="106">
        <f>IFERROR(SUMPRODUCT((MOUVEMENTS!$B$3:$B$461=A64)*(MOUVEMENTS!$D$3:$D$461="IN")*(MOUVEMENTS!$A$3:$A$461&gt;=B62)*(MOUVEMENTS!$A$3:$A$461&lt;=D62)*MOUVEMENTS!$E$3:$E$461),0)</f>
        <v>0</v>
      </c>
      <c r="E64" s="106">
        <f>IFERROR(SUMPRODUCT((MOUVEMENTS!$B$3:$B$461=A64)*(MOUVEMENTS!$D$3:$D$461="OUT")*(MOUVEMENTS!$A$3:$A$461&gt;=B62)*(MOUVEMENTS!$A$3:$A$461&lt;=D62)*MOUVEMENTS!$E$3:$E$461),0)</f>
        <v>0</v>
      </c>
      <c r="F64" s="107">
        <f t="shared" ref="F64:F75" si="6">D64-E64</f>
        <v>0</v>
      </c>
      <c r="G64" s="106">
        <f>IFERROR(F64*VLOOKUP(A64,ARTICLES!$A$2:$G$485,7,0),0)</f>
        <v>0</v>
      </c>
      <c r="H64" s="104" t="str">
        <f t="shared" ref="H64:H75" si="7">IF(F64&lt;0,"!! NÉGATIF",IF(F64=0,"!! RUPTURE","OK"))</f>
        <v>!! RUPTURE</v>
      </c>
    </row>
    <row r="65" spans="1:8" ht="18" customHeight="1">
      <c r="A65" s="108" t="s">
        <v>55</v>
      </c>
      <c r="B65" s="109" t="str">
        <f>IFERROR(VLOOKUP(A65,ARTICLES!$A$2:$B$485,2,0),"")</f>
        <v>Rame papier A4 80g/m2</v>
      </c>
      <c r="C65" s="110" t="str">
        <f>IFERROR(VLOOKUP(A65,ARTICLES!$A$2:$E$485,5,0),"")</f>
        <v>Fournitures Bureau</v>
      </c>
      <c r="D65" s="111">
        <f>IFERROR(SUMPRODUCT((MOUVEMENTS!$B$3:$B$461=A65)*(MOUVEMENTS!$D$3:$D$461="IN")*(MOUVEMENTS!$A$3:$A$461&gt;=B62)*(MOUVEMENTS!$A$3:$A$461&lt;=D62)*MOUVEMENTS!$E$3:$E$461),0)</f>
        <v>0</v>
      </c>
      <c r="E65" s="111">
        <f>IFERROR(SUMPRODUCT((MOUVEMENTS!$B$3:$B$461=A65)*(MOUVEMENTS!$D$3:$D$461="OUT")*(MOUVEMENTS!$A$3:$A$461&gt;=B62)*(MOUVEMENTS!$A$3:$A$461&lt;=D62)*MOUVEMENTS!$E$3:$E$461),0)</f>
        <v>0</v>
      </c>
      <c r="F65" s="112">
        <f t="shared" si="6"/>
        <v>0</v>
      </c>
      <c r="G65" s="111">
        <f>IFERROR(F65*VLOOKUP(A65,ARTICLES!$A$2:$G$485,7,0),0)</f>
        <v>0</v>
      </c>
      <c r="H65" s="108" t="str">
        <f t="shared" si="7"/>
        <v>!! RUPTURE</v>
      </c>
    </row>
    <row r="66" spans="1:8" ht="18" customHeight="1">
      <c r="A66" s="104" t="s">
        <v>58</v>
      </c>
      <c r="B66" s="40" t="str">
        <f>IFERROR(VLOOKUP(A66,ARTICLES!$A$2:$B$485,2,0),"")</f>
        <v>Rame papier A3 80g/m2</v>
      </c>
      <c r="C66" s="105" t="str">
        <f>IFERROR(VLOOKUP(A66,ARTICLES!$A$2:$E$485,5,0),"")</f>
        <v>Fournitures Bureau</v>
      </c>
      <c r="D66" s="106">
        <f>IFERROR(SUMPRODUCT((MOUVEMENTS!$B$3:$B$461=A66)*(MOUVEMENTS!$D$3:$D$461="IN")*(MOUVEMENTS!$A$3:$A$461&gt;=B62)*(MOUVEMENTS!$A$3:$A$461&lt;=D62)*MOUVEMENTS!$E$3:$E$461),0)</f>
        <v>0</v>
      </c>
      <c r="E66" s="106">
        <f>IFERROR(SUMPRODUCT((MOUVEMENTS!$B$3:$B$461=A66)*(MOUVEMENTS!$D$3:$D$461="OUT")*(MOUVEMENTS!$A$3:$A$461&gt;=B62)*(MOUVEMENTS!$A$3:$A$461&lt;=D62)*MOUVEMENTS!$E$3:$E$461),0)</f>
        <v>0</v>
      </c>
      <c r="F66" s="107">
        <f t="shared" si="6"/>
        <v>0</v>
      </c>
      <c r="G66" s="106">
        <f>IFERROR(F66*VLOOKUP(A66,ARTICLES!$A$2:$G$485,7,0),0)</f>
        <v>0</v>
      </c>
      <c r="H66" s="104" t="str">
        <f t="shared" si="7"/>
        <v>!! RUPTURE</v>
      </c>
    </row>
    <row r="67" spans="1:8" ht="18" customHeight="1">
      <c r="A67" s="108" t="s">
        <v>59</v>
      </c>
      <c r="B67" s="109" t="str">
        <f>IFERROR(VLOOKUP(A67,ARTICLES!$A$2:$B$485,2,0),"")</f>
        <v>Boite archives carton</v>
      </c>
      <c r="C67" s="110" t="str">
        <f>IFERROR(VLOOKUP(A67,ARTICLES!$A$2:$E$485,5,0),"")</f>
        <v>Admin</v>
      </c>
      <c r="D67" s="111">
        <f>IFERROR(SUMPRODUCT((MOUVEMENTS!$B$3:$B$461=A67)*(MOUVEMENTS!$D$3:$D$461="IN")*(MOUVEMENTS!$A$3:$A$461&gt;=B62)*(MOUVEMENTS!$A$3:$A$461&lt;=D62)*MOUVEMENTS!$E$3:$E$461),0)</f>
        <v>0</v>
      </c>
      <c r="E67" s="111">
        <f>IFERROR(SUMPRODUCT((MOUVEMENTS!$B$3:$B$461=A67)*(MOUVEMENTS!$D$3:$D$461="OUT")*(MOUVEMENTS!$A$3:$A$461&gt;=B62)*(MOUVEMENTS!$A$3:$A$461&lt;=D62)*MOUVEMENTS!$E$3:$E$461),0)</f>
        <v>0</v>
      </c>
      <c r="F67" s="112">
        <f t="shared" si="6"/>
        <v>0</v>
      </c>
      <c r="G67" s="111">
        <f>IFERROR(F67*VLOOKUP(A67,ARTICLES!$A$2:$G$485,7,0),0)</f>
        <v>0</v>
      </c>
      <c r="H67" s="108" t="str">
        <f t="shared" si="7"/>
        <v>!! RUPTURE</v>
      </c>
    </row>
    <row r="68" spans="1:8" ht="18" customHeight="1">
      <c r="A68" s="104" t="s">
        <v>61</v>
      </c>
      <c r="B68" s="40" t="str">
        <f>IFERROR(VLOOKUP(A68,ARTICLES!$A$2:$B$485,2,0),"")</f>
        <v>Agrafeuse de bureau</v>
      </c>
      <c r="C68" s="105" t="str">
        <f>IFERROR(VLOOKUP(A68,ARTICLES!$A$2:$E$485,5,0),"")</f>
        <v>Fournitures Bureau</v>
      </c>
      <c r="D68" s="106">
        <f>IFERROR(SUMPRODUCT((MOUVEMENTS!$B$3:$B$461=A68)*(MOUVEMENTS!$D$3:$D$461="IN")*(MOUVEMENTS!$A$3:$A$461&gt;=B62)*(MOUVEMENTS!$A$3:$A$461&lt;=D62)*MOUVEMENTS!$E$3:$E$461),0)</f>
        <v>0</v>
      </c>
      <c r="E68" s="106">
        <f>IFERROR(SUMPRODUCT((MOUVEMENTS!$B$3:$B$461=A68)*(MOUVEMENTS!$D$3:$D$461="OUT")*(MOUVEMENTS!$A$3:$A$461&gt;=B62)*(MOUVEMENTS!$A$3:$A$461&lt;=D62)*MOUVEMENTS!$E$3:$E$461),0)</f>
        <v>0</v>
      </c>
      <c r="F68" s="107">
        <f t="shared" si="6"/>
        <v>0</v>
      </c>
      <c r="G68" s="106">
        <f>IFERROR(F68*VLOOKUP(A68,ARTICLES!$A$2:$G$485,7,0),0)</f>
        <v>0</v>
      </c>
      <c r="H68" s="104" t="str">
        <f t="shared" si="7"/>
        <v>!! RUPTURE</v>
      </c>
    </row>
    <row r="69" spans="1:8" ht="18" customHeight="1">
      <c r="A69" s="108" t="s">
        <v>63</v>
      </c>
      <c r="B69" s="109" t="str">
        <f>IFERROR(VLOOKUP(A69,ARTICLES!$A$2:$B$485,2,0),"")</f>
        <v>Stylos bille boite/50</v>
      </c>
      <c r="C69" s="110" t="str">
        <f>IFERROR(VLOOKUP(A69,ARTICLES!$A$2:$E$485,5,0),"")</f>
        <v>Fournitures Bureau</v>
      </c>
      <c r="D69" s="111">
        <f>IFERROR(SUMPRODUCT((MOUVEMENTS!$B$3:$B$461=A69)*(MOUVEMENTS!$D$3:$D$461="IN")*(MOUVEMENTS!$A$3:$A$461&gt;=B62)*(MOUVEMENTS!$A$3:$A$461&lt;=D62)*MOUVEMENTS!$E$3:$E$461),0)</f>
        <v>0</v>
      </c>
      <c r="E69" s="111">
        <f>IFERROR(SUMPRODUCT((MOUVEMENTS!$B$3:$B$461=A69)*(MOUVEMENTS!$D$3:$D$461="OUT")*(MOUVEMENTS!$A$3:$A$461&gt;=B62)*(MOUVEMENTS!$A$3:$A$461&lt;=D62)*MOUVEMENTS!$E$3:$E$461),0)</f>
        <v>0</v>
      </c>
      <c r="F69" s="112">
        <f t="shared" si="6"/>
        <v>0</v>
      </c>
      <c r="G69" s="111">
        <f>IFERROR(F69*VLOOKUP(A69,ARTICLES!$A$2:$G$485,7,0),0)</f>
        <v>0</v>
      </c>
      <c r="H69" s="108" t="str">
        <f t="shared" si="7"/>
        <v>!! RUPTURE</v>
      </c>
    </row>
    <row r="70" spans="1:8" ht="18" customHeight="1">
      <c r="A70" s="104" t="s">
        <v>64</v>
      </c>
      <c r="B70" s="40" t="str">
        <f>IFERROR(VLOOKUP(A70,ARTICLES!$A$2:$B$485,2,0),"")</f>
        <v>Registre grand format 5m</v>
      </c>
      <c r="C70" s="105" t="str">
        <f>IFERROR(VLOOKUP(A70,ARTICLES!$A$2:$E$485,5,0),"")</f>
        <v>Admin</v>
      </c>
      <c r="D70" s="106">
        <f>IFERROR(SUMPRODUCT((MOUVEMENTS!$B$3:$B$461=A70)*(MOUVEMENTS!$D$3:$D$461="IN")*(MOUVEMENTS!$A$3:$A$461&gt;=B62)*(MOUVEMENTS!$A$3:$A$461&lt;=D62)*MOUVEMENTS!$E$3:$E$461),0)</f>
        <v>0</v>
      </c>
      <c r="E70" s="106">
        <f>IFERROR(SUMPRODUCT((MOUVEMENTS!$B$3:$B$461=A70)*(MOUVEMENTS!$D$3:$D$461="OUT")*(MOUVEMENTS!$A$3:$A$461&gt;=B62)*(MOUVEMENTS!$A$3:$A$461&lt;=D62)*MOUVEMENTS!$E$3:$E$461),0)</f>
        <v>0</v>
      </c>
      <c r="F70" s="107">
        <f t="shared" si="6"/>
        <v>0</v>
      </c>
      <c r="G70" s="106">
        <f>IFERROR(F70*VLOOKUP(A70,ARTICLES!$A$2:$G$485,7,0),0)</f>
        <v>0</v>
      </c>
      <c r="H70" s="104" t="str">
        <f t="shared" si="7"/>
        <v>!! RUPTURE</v>
      </c>
    </row>
    <row r="71" spans="1:8" ht="18" customHeight="1">
      <c r="A71" s="108" t="s">
        <v>66</v>
      </c>
      <c r="B71" s="109" t="str">
        <f>IFERROR(VLOOKUP(A71,ARTICLES!$A$2:$B$485,2,0),"")</f>
        <v>Encre tampon</v>
      </c>
      <c r="C71" s="110" t="str">
        <f>IFERROR(VLOOKUP(A71,ARTICLES!$A$2:$E$485,5,0),"")</f>
        <v>Fournitures Bureau</v>
      </c>
      <c r="D71" s="111">
        <f>IFERROR(SUMPRODUCT((MOUVEMENTS!$B$3:$B$461=A71)*(MOUVEMENTS!$D$3:$D$461="IN")*(MOUVEMENTS!$A$3:$A$461&gt;=B62)*(MOUVEMENTS!$A$3:$A$461&lt;=D62)*MOUVEMENTS!$E$3:$E$461),0)</f>
        <v>0</v>
      </c>
      <c r="E71" s="111">
        <f>IFERROR(SUMPRODUCT((MOUVEMENTS!$B$3:$B$461=A71)*(MOUVEMENTS!$D$3:$D$461="OUT")*(MOUVEMENTS!$A$3:$A$461&gt;=B62)*(MOUVEMENTS!$A$3:$A$461&lt;=D62)*MOUVEMENTS!$E$3:$E$461),0)</f>
        <v>0</v>
      </c>
      <c r="F71" s="112">
        <f t="shared" si="6"/>
        <v>0</v>
      </c>
      <c r="G71" s="111">
        <f>IFERROR(F71*VLOOKUP(A71,ARTICLES!$A$2:$G$485,7,0),0)</f>
        <v>0</v>
      </c>
      <c r="H71" s="108" t="str">
        <f t="shared" si="7"/>
        <v>!! RUPTURE</v>
      </c>
    </row>
    <row r="72" spans="1:8" ht="18" customHeight="1">
      <c r="A72" s="104" t="s">
        <v>67</v>
      </c>
      <c r="B72" s="40" t="str">
        <f>IFERROR(VLOOKUP(A72,ARTICLES!$A$2:$B$485,2,0),"")</f>
        <v>Sous-chemise carton</v>
      </c>
      <c r="C72" s="105" t="str">
        <f>IFERROR(VLOOKUP(A72,ARTICLES!$A$2:$E$485,5,0),"")</f>
        <v>Fournitures Bureau</v>
      </c>
      <c r="D72" s="106">
        <f>IFERROR(SUMPRODUCT((MOUVEMENTS!$B$3:$B$461=A72)*(MOUVEMENTS!$D$3:$D$461="IN")*(MOUVEMENTS!$A$3:$A$461&gt;=B62)*(MOUVEMENTS!$A$3:$A$461&lt;=D62)*MOUVEMENTS!$E$3:$E$461),0)</f>
        <v>0</v>
      </c>
      <c r="E72" s="106">
        <f>IFERROR(SUMPRODUCT((MOUVEMENTS!$B$3:$B$461=A72)*(MOUVEMENTS!$D$3:$D$461="OUT")*(MOUVEMENTS!$A$3:$A$461&gt;=B62)*(MOUVEMENTS!$A$3:$A$461&lt;=D62)*MOUVEMENTS!$E$3:$E$461),0)</f>
        <v>0</v>
      </c>
      <c r="F72" s="107">
        <f t="shared" si="6"/>
        <v>0</v>
      </c>
      <c r="G72" s="106">
        <f>IFERROR(F72*VLOOKUP(A72,ARTICLES!$A$2:$G$485,7,0),0)</f>
        <v>0</v>
      </c>
      <c r="H72" s="104" t="str">
        <f t="shared" si="7"/>
        <v>!! RUPTURE</v>
      </c>
    </row>
    <row r="73" spans="1:8" ht="18" customHeight="1">
      <c r="A73" s="108" t="s">
        <v>68</v>
      </c>
      <c r="B73" s="109" t="str">
        <f>IFERROR(VLOOKUP(A73,ARTICLES!$A$2:$B$485,2,0),"")</f>
        <v>Chemise cartonnee</v>
      </c>
      <c r="C73" s="110" t="str">
        <f>IFERROR(VLOOKUP(A73,ARTICLES!$A$2:$E$485,5,0),"")</f>
        <v>Fournitures Bureau</v>
      </c>
      <c r="D73" s="111">
        <f>IFERROR(SUMPRODUCT((MOUVEMENTS!$B$3:$B$461=A73)*(MOUVEMENTS!$D$3:$D$461="IN")*(MOUVEMENTS!$A$3:$A$461&gt;=B62)*(MOUVEMENTS!$A$3:$A$461&lt;=D62)*MOUVEMENTS!$E$3:$E$461),0)</f>
        <v>0</v>
      </c>
      <c r="E73" s="111">
        <f>IFERROR(SUMPRODUCT((MOUVEMENTS!$B$3:$B$461=A73)*(MOUVEMENTS!$D$3:$D$461="OUT")*(MOUVEMENTS!$A$3:$A$461&gt;=B62)*(MOUVEMENTS!$A$3:$A$461&lt;=D62)*MOUVEMENTS!$E$3:$E$461),0)</f>
        <v>0</v>
      </c>
      <c r="F73" s="112">
        <f t="shared" si="6"/>
        <v>0</v>
      </c>
      <c r="G73" s="111">
        <f>IFERROR(F73*VLOOKUP(A73,ARTICLES!$A$2:$G$485,7,0),0)</f>
        <v>0</v>
      </c>
      <c r="H73" s="108" t="str">
        <f t="shared" si="7"/>
        <v>!! RUPTURE</v>
      </c>
    </row>
    <row r="74" spans="1:8" ht="18" customHeight="1">
      <c r="A74" s="104" t="s">
        <v>69</v>
      </c>
      <c r="B74" s="40" t="str">
        <f>IFERROR(VLOOKUP(A74,ARTICLES!$A$2:$B$485,2,0),"")</f>
        <v>Rouleau papier fax</v>
      </c>
      <c r="C74" s="105" t="str">
        <f>IFERROR(VLOOKUP(A74,ARTICLES!$A$2:$E$485,5,0),"")</f>
        <v>Informatique</v>
      </c>
      <c r="D74" s="106">
        <f>IFERROR(SUMPRODUCT((MOUVEMENTS!$B$3:$B$461=A74)*(MOUVEMENTS!$D$3:$D$461="IN")*(MOUVEMENTS!$A$3:$A$461&gt;=B62)*(MOUVEMENTS!$A$3:$A$461&lt;=D62)*MOUVEMENTS!$E$3:$E$461),0)</f>
        <v>0</v>
      </c>
      <c r="E74" s="106">
        <f>IFERROR(SUMPRODUCT((MOUVEMENTS!$B$3:$B$461=A74)*(MOUVEMENTS!$D$3:$D$461="OUT")*(MOUVEMENTS!$A$3:$A$461&gt;=B62)*(MOUVEMENTS!$A$3:$A$461&lt;=D62)*MOUVEMENTS!$E$3:$E$461),0)</f>
        <v>0</v>
      </c>
      <c r="F74" s="107">
        <f t="shared" si="6"/>
        <v>0</v>
      </c>
      <c r="G74" s="106">
        <f>IFERROR(F74*VLOOKUP(A74,ARTICLES!$A$2:$G$485,7,0),0)</f>
        <v>0</v>
      </c>
      <c r="H74" s="104" t="str">
        <f t="shared" si="7"/>
        <v>!! RUPTURE</v>
      </c>
    </row>
    <row r="75" spans="1:8" ht="18" customHeight="1">
      <c r="A75" s="108" t="s">
        <v>70</v>
      </c>
      <c r="B75" s="109" t="str">
        <f>IFERROR(VLOOKUP(A75,ARTICLES!$A$2:$B$485,2,0),"")</f>
        <v>Marqueur permanent noir</v>
      </c>
      <c r="C75" s="110" t="str">
        <f>IFERROR(VLOOKUP(A75,ARTICLES!$A$2:$E$485,5,0),"")</f>
        <v>Fournitures Bureau</v>
      </c>
      <c r="D75" s="111">
        <f>IFERROR(SUMPRODUCT((MOUVEMENTS!$B$3:$B$461=A75)*(MOUVEMENTS!$D$3:$D$461="IN")*(MOUVEMENTS!$A$3:$A$461&gt;=B62)*(MOUVEMENTS!$A$3:$A$461&lt;=D62)*MOUVEMENTS!$E$3:$E$461),0)</f>
        <v>0</v>
      </c>
      <c r="E75" s="111">
        <f>IFERROR(SUMPRODUCT((MOUVEMENTS!$B$3:$B$461=A75)*(MOUVEMENTS!$D$3:$D$461="OUT")*(MOUVEMENTS!$A$3:$A$461&gt;=B62)*(MOUVEMENTS!$A$3:$A$461&lt;=D62)*MOUVEMENTS!$E$3:$E$461),0)</f>
        <v>0</v>
      </c>
      <c r="F75" s="112">
        <f t="shared" si="6"/>
        <v>0</v>
      </c>
      <c r="G75" s="111">
        <f>IFERROR(F75*VLOOKUP(A75,ARTICLES!$A$2:$G$485,7,0),0)</f>
        <v>0</v>
      </c>
      <c r="H75" s="108" t="str">
        <f t="shared" si="7"/>
        <v>!! RUPTURE</v>
      </c>
    </row>
    <row r="76" spans="1:8" ht="21.75" customHeight="1">
      <c r="A76" s="113" t="s">
        <v>189</v>
      </c>
      <c r="B76" s="234" t="s">
        <v>225</v>
      </c>
      <c r="C76" s="202"/>
      <c r="D76" s="114">
        <f>SUM(D64:D75)</f>
        <v>0</v>
      </c>
      <c r="E76" s="114">
        <f>SUM(E64:E75)</f>
        <v>0</v>
      </c>
      <c r="F76" s="114">
        <f>SUM(F64:F75)</f>
        <v>0</v>
      </c>
      <c r="G76" s="114">
        <f>SUM(G64:G75)</f>
        <v>0</v>
      </c>
      <c r="H76" s="115"/>
    </row>
    <row r="77" spans="1:8" ht="25.5" customHeight="1">
      <c r="A77" s="236" t="s">
        <v>232</v>
      </c>
      <c r="B77" s="208"/>
      <c r="C77" s="208"/>
      <c r="D77" s="208"/>
      <c r="E77" s="208"/>
      <c r="F77" s="208"/>
      <c r="G77" s="208"/>
      <c r="H77" s="208"/>
    </row>
    <row r="79" spans="1:8" ht="13.5" customHeight="1">
      <c r="A79" s="194" t="s">
        <v>157</v>
      </c>
      <c r="B79" s="195"/>
      <c r="C79" s="195"/>
      <c r="D79" s="195"/>
      <c r="E79" s="195"/>
      <c r="F79" s="195"/>
      <c r="G79" s="195"/>
      <c r="H79" s="183"/>
    </row>
  </sheetData>
  <sheetProtection algorithmName="SHA-512" hashValue="zq6rRIBrBKgkxqnXBz7uYco8QtNIe0/Dhsqc6z6ME2TUkiw/ZfXNFJZJIeOUykiQR1mnmPaXW+5WU9T2KPBoyg==" saltValue="EV/gduZuKFS6UFNwGJF3eg==" spinCount="100000" sheet="1" objects="1" scenarios="1" autoFilter="0"/>
  <mergeCells count="19">
    <mergeCell ref="A58:H58"/>
    <mergeCell ref="A77:H77"/>
    <mergeCell ref="A39:H39"/>
    <mergeCell ref="A1:H1"/>
    <mergeCell ref="A79:H79"/>
    <mergeCell ref="A61:H61"/>
    <mergeCell ref="E43:H43"/>
    <mergeCell ref="E62:H62"/>
    <mergeCell ref="B57:C57"/>
    <mergeCell ref="E24:H24"/>
    <mergeCell ref="E5:H5"/>
    <mergeCell ref="B38:C38"/>
    <mergeCell ref="B19:C19"/>
    <mergeCell ref="A2:H2"/>
    <mergeCell ref="A42:H42"/>
    <mergeCell ref="A23:H23"/>
    <mergeCell ref="A4:H4"/>
    <mergeCell ref="A20:H20"/>
    <mergeCell ref="B76:C76"/>
  </mergeCell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6A1B9A"/>
  </sheetPr>
  <dimension ref="A1:D18"/>
  <sheetViews>
    <sheetView topLeftCell="A12" zoomScaleNormal="100" workbookViewId="0">
      <selection activeCell="D20" sqref="A1:D20"/>
    </sheetView>
  </sheetViews>
  <sheetFormatPr defaultColWidth="8.7109375" defaultRowHeight="15"/>
  <cols>
    <col min="1" max="1" width="10" style="1" customWidth="1"/>
    <col min="2" max="2" width="46" style="1" customWidth="1"/>
    <col min="3" max="3" width="20" style="1" customWidth="1"/>
    <col min="4" max="4" width="16" style="1" customWidth="1"/>
  </cols>
  <sheetData>
    <row r="1" spans="1:4" ht="27.75" customHeight="1">
      <c r="A1" s="237" t="s">
        <v>233</v>
      </c>
      <c r="B1" s="187"/>
      <c r="C1" s="187"/>
      <c r="D1" s="187"/>
    </row>
    <row r="3" spans="1:4" ht="21.75" customHeight="1">
      <c r="A3" s="118" t="s">
        <v>234</v>
      </c>
      <c r="B3" s="119" t="s">
        <v>235</v>
      </c>
      <c r="C3" s="120">
        <v>2900</v>
      </c>
      <c r="D3" s="71" t="s">
        <v>236</v>
      </c>
    </row>
    <row r="4" spans="1:4" ht="21.75" customHeight="1">
      <c r="A4" s="118" t="s">
        <v>237</v>
      </c>
      <c r="B4" s="119" t="s">
        <v>238</v>
      </c>
      <c r="C4" s="120">
        <v>50</v>
      </c>
      <c r="D4" s="71" t="s">
        <v>239</v>
      </c>
    </row>
    <row r="5" spans="1:4" ht="21.75" customHeight="1">
      <c r="A5" s="118" t="s">
        <v>240</v>
      </c>
      <c r="B5" s="119" t="s">
        <v>241</v>
      </c>
      <c r="C5" s="120">
        <v>400</v>
      </c>
      <c r="D5" s="71" t="s">
        <v>242</v>
      </c>
    </row>
    <row r="6" spans="1:4" ht="21.75" customHeight="1">
      <c r="A6" s="118" t="s">
        <v>243</v>
      </c>
      <c r="B6" s="119" t="s">
        <v>244</v>
      </c>
      <c r="C6" s="121">
        <v>0.2</v>
      </c>
      <c r="D6" s="71" t="s">
        <v>245</v>
      </c>
    </row>
    <row r="7" spans="1:4" ht="21.75" customHeight="1">
      <c r="A7" s="118" t="s">
        <v>246</v>
      </c>
      <c r="B7" s="119" t="s">
        <v>247</v>
      </c>
      <c r="C7" s="120">
        <v>200</v>
      </c>
      <c r="D7" s="71" t="s">
        <v>248</v>
      </c>
    </row>
    <row r="8" spans="1:4" ht="21.75" customHeight="1">
      <c r="A8" s="118" t="s">
        <v>249</v>
      </c>
      <c r="B8" s="119" t="s">
        <v>250</v>
      </c>
      <c r="C8" s="120">
        <v>2</v>
      </c>
      <c r="D8" s="71" t="s">
        <v>251</v>
      </c>
    </row>
    <row r="9" spans="1:4" ht="9.75" customHeight="1"/>
    <row r="10" spans="1:4" ht="15" customHeight="1">
      <c r="A10" s="239" t="s">
        <v>252</v>
      </c>
      <c r="B10" s="187"/>
      <c r="C10" s="187"/>
      <c r="D10" s="187"/>
    </row>
    <row r="11" spans="1:4" ht="21.75" customHeight="1">
      <c r="A11" s="122" t="s">
        <v>253</v>
      </c>
      <c r="B11" s="119" t="s">
        <v>254</v>
      </c>
      <c r="C11" s="123">
        <f>ROUND(SQRT(2*C3*C4/(C6*C5)),0)</f>
        <v>60</v>
      </c>
      <c r="D11" s="71" t="s">
        <v>248</v>
      </c>
    </row>
    <row r="12" spans="1:4" ht="21.75" customHeight="1">
      <c r="A12" s="122" t="s">
        <v>255</v>
      </c>
      <c r="B12" s="119" t="s">
        <v>256</v>
      </c>
      <c r="C12" s="123">
        <f>ROUND(C3/C11,1)</f>
        <v>48.3</v>
      </c>
      <c r="D12" s="71" t="s">
        <v>257</v>
      </c>
    </row>
    <row r="13" spans="1:4" ht="21.75" customHeight="1">
      <c r="A13" s="122" t="s">
        <v>201</v>
      </c>
      <c r="B13" s="119" t="s">
        <v>258</v>
      </c>
      <c r="C13" s="123">
        <f>ROUND(C7+(C3/250)*C8,0)</f>
        <v>223</v>
      </c>
      <c r="D13" s="71" t="s">
        <v>248</v>
      </c>
    </row>
    <row r="14" spans="1:4" ht="21.75" customHeight="1">
      <c r="A14" s="122" t="s">
        <v>259</v>
      </c>
      <c r="B14" s="119" t="s">
        <v>260</v>
      </c>
      <c r="C14" s="123">
        <f>ROUND((C3/C11)*C4,0)</f>
        <v>2417</v>
      </c>
      <c r="D14" s="71" t="s">
        <v>261</v>
      </c>
    </row>
    <row r="15" spans="1:4" ht="21.75" customHeight="1">
      <c r="A15" s="122" t="s">
        <v>262</v>
      </c>
      <c r="B15" s="119" t="s">
        <v>263</v>
      </c>
      <c r="C15" s="123">
        <f>ROUND((C11/2+C7)*C6*C5,0)</f>
        <v>18400</v>
      </c>
      <c r="D15" s="71" t="s">
        <v>261</v>
      </c>
    </row>
    <row r="16" spans="1:4" ht="21.75" customHeight="1">
      <c r="A16" s="122" t="s">
        <v>264</v>
      </c>
      <c r="B16" s="119" t="s">
        <v>265</v>
      </c>
      <c r="C16" s="123">
        <f>C14+C15</f>
        <v>20817</v>
      </c>
      <c r="D16" s="71" t="s">
        <v>261</v>
      </c>
    </row>
    <row r="18" spans="1:4" ht="36" customHeight="1">
      <c r="A18" s="238" t="s">
        <v>266</v>
      </c>
      <c r="B18" s="187"/>
      <c r="C18" s="187"/>
      <c r="D18" s="187"/>
    </row>
  </sheetData>
  <sheetProtection algorithmName="SHA-512" hashValue="K/6lAjsSTGhlRrUWb3t9SXaJopnY858uy1jNUYlx/8W/PSZ9pNkXt1k+4qfjFqWE3Tr7h7pgRe+h6kHsEEq+pg==" saltValue="/5ukU7IebLLqE9NctrOl3w==" spinCount="100000" sheet="1" objects="1" scenarios="1" autoFilter="0"/>
  <mergeCells count="3">
    <mergeCell ref="A1:D1"/>
    <mergeCell ref="A18:D18"/>
    <mergeCell ref="A10:D10"/>
  </mergeCell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37474F"/>
  </sheetPr>
  <dimension ref="A1:H7"/>
  <sheetViews>
    <sheetView zoomScaleNormal="100" workbookViewId="0">
      <selection sqref="A1:I9"/>
    </sheetView>
  </sheetViews>
  <sheetFormatPr defaultColWidth="8.7109375" defaultRowHeight="15"/>
  <cols>
    <col min="1" max="1" width="10" style="1" customWidth="1"/>
    <col min="2" max="2" width="15" style="1" customWidth="1"/>
    <col min="3" max="3" width="12" style="1" customWidth="1"/>
    <col min="4" max="4" width="22" style="1" customWidth="1"/>
    <col min="5" max="5" width="16" style="1" customWidth="1"/>
    <col min="6" max="6" width="14" style="1" customWidth="1"/>
    <col min="7" max="7" width="16" style="1" customWidth="1"/>
  </cols>
  <sheetData>
    <row r="1" spans="1:8" ht="27.75" customHeight="1">
      <c r="A1" s="237" t="s">
        <v>267</v>
      </c>
      <c r="B1" s="187"/>
      <c r="C1" s="187"/>
      <c r="D1" s="187"/>
      <c r="E1" s="187"/>
      <c r="F1" s="187"/>
      <c r="G1" s="187"/>
    </row>
    <row r="2" spans="1:8" ht="21.75" customHeight="1">
      <c r="A2" s="124" t="s">
        <v>268</v>
      </c>
      <c r="B2" s="125" t="s">
        <v>269</v>
      </c>
      <c r="C2" s="124" t="s">
        <v>270</v>
      </c>
      <c r="D2" s="124" t="s">
        <v>47</v>
      </c>
      <c r="E2" s="124" t="s">
        <v>51</v>
      </c>
      <c r="F2" s="124" t="s">
        <v>271</v>
      </c>
      <c r="G2" s="124" t="s">
        <v>272</v>
      </c>
      <c r="H2" s="124" t="s">
        <v>183</v>
      </c>
    </row>
    <row r="3" spans="1:8" ht="15" customHeight="1">
      <c r="A3" s="126" t="s">
        <v>273</v>
      </c>
      <c r="B3" s="127" t="s">
        <v>274</v>
      </c>
      <c r="C3" s="126" t="s">
        <v>275</v>
      </c>
      <c r="D3" s="126" t="s">
        <v>52</v>
      </c>
      <c r="E3" s="126" t="s">
        <v>54</v>
      </c>
      <c r="F3" s="57">
        <v>500</v>
      </c>
      <c r="G3" s="57">
        <v>405</v>
      </c>
      <c r="H3" s="126" t="s">
        <v>276</v>
      </c>
    </row>
    <row r="4" spans="1:8" ht="15" customHeight="1">
      <c r="A4" s="126" t="s">
        <v>277</v>
      </c>
      <c r="B4" s="127" t="s">
        <v>90</v>
      </c>
      <c r="C4" s="126" t="s">
        <v>278</v>
      </c>
      <c r="D4" s="126" t="s">
        <v>55</v>
      </c>
      <c r="E4" s="126" t="s">
        <v>57</v>
      </c>
      <c r="F4" s="57">
        <v>5</v>
      </c>
      <c r="G4" s="57">
        <v>5</v>
      </c>
      <c r="H4" s="126" t="s">
        <v>276</v>
      </c>
    </row>
    <row r="5" spans="1:8" ht="15" customHeight="1">
      <c r="A5" s="126" t="s">
        <v>279</v>
      </c>
      <c r="B5" s="127" t="s">
        <v>90</v>
      </c>
      <c r="C5" s="126" t="s">
        <v>278</v>
      </c>
      <c r="D5" s="126" t="s">
        <v>58</v>
      </c>
      <c r="E5" s="126" t="s">
        <v>54</v>
      </c>
      <c r="F5" s="57">
        <v>100</v>
      </c>
      <c r="G5" s="57">
        <v>100</v>
      </c>
      <c r="H5" s="126" t="s">
        <v>276</v>
      </c>
    </row>
    <row r="6" spans="1:8" ht="15" customHeight="1">
      <c r="A6" s="128" t="s">
        <v>280</v>
      </c>
      <c r="B6" s="127" t="s">
        <v>281</v>
      </c>
      <c r="C6" s="128" t="s">
        <v>282</v>
      </c>
      <c r="D6" s="128" t="s">
        <v>52</v>
      </c>
      <c r="E6" s="128" t="s">
        <v>54</v>
      </c>
      <c r="F6" s="60">
        <v>60</v>
      </c>
      <c r="G6" s="60"/>
      <c r="H6" s="128" t="s">
        <v>283</v>
      </c>
    </row>
    <row r="7" spans="1:8" ht="15" customHeight="1">
      <c r="A7" s="128" t="s">
        <v>284</v>
      </c>
      <c r="B7" s="127" t="s">
        <v>281</v>
      </c>
      <c r="C7" s="128" t="s">
        <v>282</v>
      </c>
      <c r="D7" s="128" t="s">
        <v>55</v>
      </c>
      <c r="E7" s="128" t="s">
        <v>57</v>
      </c>
      <c r="F7" s="60">
        <v>5</v>
      </c>
      <c r="G7" s="60"/>
      <c r="H7" s="128" t="s">
        <v>283</v>
      </c>
    </row>
  </sheetData>
  <sheetProtection algorithmName="SHA-512" hashValue="r5ewrWzfnlz23Q60WJQlQV5JTM5INBJq2+XOVJmhedLShbGIJmnCuPROhUMW+qd7rsy2JQojcdW+mSHJJ39mgw==" saltValue="nTEegL6t4/qRs4OpzdnBRg==" spinCount="100000" sheet="1" objects="1" scenarios="1" autoFilter="0"/>
  <mergeCells count="1"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BA7517"/>
    <pageSetUpPr fitToPage="1"/>
  </sheetPr>
  <dimension ref="A1:H32"/>
  <sheetViews>
    <sheetView zoomScale="80" zoomScaleNormal="80" workbookViewId="0">
      <selection sqref="A1:H32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5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54" t="s">
        <v>286</v>
      </c>
      <c r="B2" s="201"/>
      <c r="C2" s="201"/>
      <c r="D2" s="201"/>
      <c r="E2" s="201"/>
      <c r="F2" s="201"/>
      <c r="G2" s="201"/>
      <c r="H2" s="202"/>
    </row>
    <row r="3" spans="1:8" ht="15.75" customHeight="1">
      <c r="A3" s="253" t="s">
        <v>287</v>
      </c>
      <c r="B3" s="195"/>
      <c r="C3" s="195"/>
      <c r="D3" s="195"/>
      <c r="E3" s="195"/>
      <c r="F3" s="195"/>
      <c r="G3" s="195"/>
      <c r="H3" s="183"/>
    </row>
    <row r="4" spans="1:8" ht="6" customHeight="1"/>
    <row r="5" spans="1:8" ht="30" customHeight="1">
      <c r="A5" s="255" t="s">
        <v>288</v>
      </c>
      <c r="B5" s="198"/>
      <c r="C5" s="198"/>
      <c r="D5" s="198"/>
      <c r="E5" s="198"/>
      <c r="F5" s="198"/>
      <c r="G5" s="198"/>
      <c r="H5" s="199"/>
    </row>
    <row r="6" spans="1:8" ht="21.75" customHeight="1">
      <c r="B6" s="241" t="s">
        <v>289</v>
      </c>
      <c r="C6" s="183"/>
      <c r="D6" s="252"/>
      <c r="E6" s="201"/>
      <c r="F6" s="201"/>
      <c r="G6" s="201"/>
      <c r="H6" s="202"/>
    </row>
    <row r="7" spans="1:8" ht="13.5" customHeight="1">
      <c r="A7" s="243" t="s">
        <v>290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1" t="s">
        <v>291</v>
      </c>
      <c r="C8" s="183"/>
      <c r="D8" s="242">
        <f ca="1">TODAY()</f>
        <v>46158</v>
      </c>
      <c r="E8" s="201"/>
      <c r="F8" s="201"/>
      <c r="G8" s="201"/>
      <c r="H8" s="202"/>
    </row>
    <row r="9" spans="1:8" ht="21.75" customHeight="1">
      <c r="B9" s="241" t="s">
        <v>292</v>
      </c>
      <c r="C9" s="183"/>
      <c r="D9" s="240"/>
      <c r="E9" s="201"/>
      <c r="F9" s="201"/>
      <c r="G9" s="201"/>
      <c r="H9" s="202"/>
    </row>
    <row r="10" spans="1:8" ht="21.75" customHeight="1">
      <c r="B10" s="241" t="s">
        <v>172</v>
      </c>
      <c r="C10" s="183"/>
      <c r="D10" s="240"/>
      <c r="E10" s="201"/>
      <c r="F10" s="201"/>
      <c r="G10" s="201"/>
      <c r="H10" s="202"/>
    </row>
    <row r="11" spans="1:8" ht="13.5" customHeight="1">
      <c r="A11" s="243" t="s">
        <v>293</v>
      </c>
      <c r="B11" s="208"/>
      <c r="C11" s="208"/>
      <c r="D11" s="208"/>
      <c r="E11" s="208"/>
      <c r="F11" s="208"/>
      <c r="G11" s="208"/>
      <c r="H11" s="208"/>
    </row>
    <row r="12" spans="1:8" ht="6" customHeight="1">
      <c r="B12" s="1" t="s">
        <v>506</v>
      </c>
    </row>
    <row r="13" spans="1:8" ht="31.5" customHeight="1">
      <c r="A13" s="129" t="s">
        <v>294</v>
      </c>
      <c r="B13" s="129" t="s">
        <v>507</v>
      </c>
      <c r="C13" s="129" t="s">
        <v>296</v>
      </c>
      <c r="D13" s="129" t="s">
        <v>48</v>
      </c>
      <c r="E13" s="129" t="s">
        <v>297</v>
      </c>
      <c r="F13" s="129" t="s">
        <v>298</v>
      </c>
      <c r="G13" s="129" t="s">
        <v>299</v>
      </c>
      <c r="H13" s="129" t="s">
        <v>300</v>
      </c>
    </row>
    <row r="14" spans="1:8" ht="19.5" customHeight="1">
      <c r="A14" s="130">
        <v>1</v>
      </c>
      <c r="B14" s="131"/>
      <c r="C14" s="132" t="str">
        <f>IFERROR(VLOOKUP(B14,ARTICLES!$A$2:$G$485,2,0),"")</f>
        <v/>
      </c>
      <c r="D14" s="133" t="str">
        <f>IFERROR(VLOOKUP(B14,ARTICLES!$A$2:$G$485,3,0),"")</f>
        <v/>
      </c>
      <c r="E14" s="134"/>
      <c r="F14" s="134"/>
      <c r="G14" s="111" t="str">
        <f>IFERROR(VLOOKUP(B14,ARTICLES!$A$2:$G$485,7,0),"")</f>
        <v/>
      </c>
      <c r="H14" s="111" t="str">
        <f t="shared" ref="H14:H21" si="0">IFERROR(F14*G14,"")</f>
        <v/>
      </c>
    </row>
    <row r="15" spans="1:8" ht="19.5" customHeight="1">
      <c r="A15" s="130">
        <v>2</v>
      </c>
      <c r="B15" s="131"/>
      <c r="C15" s="132" t="str">
        <f>IFERROR(VLOOKUP(B15,ARTICLES!$A$2:$G$485,2,0),"")</f>
        <v/>
      </c>
      <c r="D15" s="133" t="str">
        <f>IFERROR(VLOOKUP(B15,ARTICLES!$A$2:$G$485,3,0),"")</f>
        <v/>
      </c>
      <c r="E15" s="134"/>
      <c r="F15" s="134"/>
      <c r="G15" s="111" t="str">
        <f>IFERROR(VLOOKUP(B15,ARTICLES!$A$2:$G$485,7,0),"")</f>
        <v/>
      </c>
      <c r="H15" s="111" t="str">
        <f t="shared" si="0"/>
        <v/>
      </c>
    </row>
    <row r="16" spans="1:8" ht="19.5" customHeight="1">
      <c r="A16" s="130">
        <v>3</v>
      </c>
      <c r="B16" s="131"/>
      <c r="C16" s="132" t="str">
        <f>IFERROR(VLOOKUP(B16,ARTICLES!$A$2:$G$485,2,0),"")</f>
        <v/>
      </c>
      <c r="D16" s="133" t="str">
        <f>IFERROR(VLOOKUP(B16,ARTICLES!$A$2:$G$485,3,0),"")</f>
        <v/>
      </c>
      <c r="E16" s="134"/>
      <c r="F16" s="134"/>
      <c r="G16" s="111" t="str">
        <f>IFERROR(VLOOKUP(B16,ARTICLES!$A$2:$G$485,7,0),"")</f>
        <v/>
      </c>
      <c r="H16" s="111" t="str">
        <f t="shared" si="0"/>
        <v/>
      </c>
    </row>
    <row r="17" spans="1:8" ht="19.5" customHeight="1">
      <c r="A17" s="130">
        <v>4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4"/>
      <c r="G17" s="111" t="str">
        <f>IFERROR(VLOOKUP(B17,ARTICLES!$A$2:$G$485,7,0),"")</f>
        <v/>
      </c>
      <c r="H17" s="111" t="str">
        <f t="shared" si="0"/>
        <v/>
      </c>
    </row>
    <row r="18" spans="1:8" ht="19.5" customHeight="1">
      <c r="A18" s="130">
        <v>5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4"/>
      <c r="G18" s="111" t="str">
        <f>IFERROR(VLOOKUP(B18,ARTICLES!$A$2:$G$485,7,0),"")</f>
        <v/>
      </c>
      <c r="H18" s="111" t="str">
        <f t="shared" si="0"/>
        <v/>
      </c>
    </row>
    <row r="19" spans="1:8" ht="19.5" customHeight="1">
      <c r="A19" s="130">
        <v>6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4"/>
      <c r="G19" s="111" t="str">
        <f>IFERROR(VLOOKUP(B19,ARTICLES!$A$2:$G$485,7,0),"")</f>
        <v/>
      </c>
      <c r="H19" s="111" t="str">
        <f t="shared" si="0"/>
        <v/>
      </c>
    </row>
    <row r="20" spans="1:8" ht="19.5" customHeight="1">
      <c r="A20" s="130">
        <v>7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4"/>
      <c r="G20" s="111" t="str">
        <f>IFERROR(VLOOKUP(B20,ARTICLES!$A$2:$G$485,7,0),"")</f>
        <v/>
      </c>
      <c r="H20" s="111" t="str">
        <f t="shared" si="0"/>
        <v/>
      </c>
    </row>
    <row r="21" spans="1:8" ht="19.5" customHeight="1">
      <c r="A21" s="130">
        <v>8</v>
      </c>
      <c r="B21" s="131"/>
      <c r="C21" s="132" t="str">
        <f>IFERROR(VLOOKUP(B21,ARTICLES!$A$2:$G$485,2,0),"")</f>
        <v/>
      </c>
      <c r="D21" s="133" t="str">
        <f>IFERROR(VLOOKUP(B21,ARTICLES!$A$2:$G$485,3,0),"")</f>
        <v/>
      </c>
      <c r="E21" s="134"/>
      <c r="F21" s="134"/>
      <c r="G21" s="111" t="str">
        <f>IFERROR(VLOOKUP(B21,ARTICLES!$A$2:$G$485,7,0),"")</f>
        <v/>
      </c>
      <c r="H21" s="111" t="str">
        <f t="shared" si="0"/>
        <v/>
      </c>
    </row>
    <row r="22" spans="1:8" ht="21.75" customHeight="1">
      <c r="A22" s="234" t="s">
        <v>301</v>
      </c>
      <c r="B22" s="201"/>
      <c r="C22" s="201"/>
      <c r="D22" s="201"/>
      <c r="E22" s="201"/>
      <c r="F22" s="201"/>
      <c r="G22" s="202"/>
      <c r="H22" s="135">
        <f>SUM(H14:H21)</f>
        <v>0</v>
      </c>
    </row>
    <row r="23" spans="1:8" ht="13.5" customHeight="1">
      <c r="A23" s="243" t="s">
        <v>302</v>
      </c>
      <c r="B23" s="208"/>
      <c r="C23" s="208"/>
      <c r="D23" s="208"/>
      <c r="E23" s="208"/>
      <c r="F23" s="208"/>
      <c r="G23" s="208"/>
      <c r="H23" s="208"/>
    </row>
    <row r="24" spans="1:8" ht="18" customHeight="1">
      <c r="A24" s="261" t="s">
        <v>303</v>
      </c>
      <c r="B24" s="195"/>
      <c r="C24" s="195"/>
      <c r="D24" s="195"/>
      <c r="E24" s="195"/>
      <c r="F24" s="195"/>
      <c r="G24" s="195"/>
      <c r="H24" s="183"/>
    </row>
    <row r="25" spans="1:8" ht="18" customHeight="1">
      <c r="A25" s="256"/>
      <c r="B25" s="257"/>
      <c r="C25" s="257"/>
      <c r="D25" s="257"/>
      <c r="E25" s="257"/>
      <c r="F25" s="257"/>
      <c r="G25" s="257"/>
      <c r="H25" s="258"/>
    </row>
    <row r="26" spans="1:8" ht="18" customHeight="1">
      <c r="A26" s="259"/>
      <c r="B26" s="208"/>
      <c r="C26" s="208"/>
      <c r="D26" s="208"/>
      <c r="E26" s="208"/>
      <c r="F26" s="208"/>
      <c r="G26" s="208"/>
      <c r="H26" s="260"/>
    </row>
    <row r="27" spans="1:8" ht="7.5" customHeight="1"/>
    <row r="28" spans="1:8" ht="24" customHeight="1">
      <c r="A28" s="251" t="s">
        <v>304</v>
      </c>
      <c r="B28" s="201"/>
      <c r="C28" s="202"/>
      <c r="D28" s="251" t="s">
        <v>305</v>
      </c>
      <c r="E28" s="201"/>
      <c r="F28" s="202"/>
      <c r="G28" s="251" t="s">
        <v>306</v>
      </c>
      <c r="H28" s="202"/>
    </row>
    <row r="29" spans="1:8" ht="24" customHeight="1">
      <c r="A29" s="244" t="s">
        <v>307</v>
      </c>
      <c r="B29" s="245"/>
      <c r="C29" s="246"/>
      <c r="D29" s="244" t="s">
        <v>307</v>
      </c>
      <c r="E29" s="245"/>
      <c r="F29" s="246"/>
      <c r="G29" s="244" t="s">
        <v>307</v>
      </c>
      <c r="H29" s="246"/>
    </row>
    <row r="30" spans="1:8" ht="24" customHeight="1">
      <c r="A30" s="247"/>
      <c r="B30" s="248"/>
      <c r="C30" s="249"/>
      <c r="D30" s="247"/>
      <c r="E30" s="248"/>
      <c r="F30" s="249"/>
      <c r="G30" s="247"/>
      <c r="H30" s="249"/>
    </row>
    <row r="31" spans="1:8" ht="13.5" customHeight="1">
      <c r="A31" s="243" t="s">
        <v>308</v>
      </c>
      <c r="B31" s="208"/>
      <c r="C31" s="208"/>
      <c r="D31" s="208"/>
      <c r="E31" s="208"/>
      <c r="F31" s="208"/>
      <c r="G31" s="208"/>
      <c r="H31" s="208"/>
    </row>
    <row r="32" spans="1:8" ht="13.5" customHeight="1">
      <c r="A32" s="194" t="s">
        <v>157</v>
      </c>
      <c r="B32" s="195"/>
      <c r="C32" s="195"/>
      <c r="D32" s="195"/>
      <c r="E32" s="195"/>
      <c r="F32" s="195"/>
      <c r="G32" s="195"/>
      <c r="H32" s="183"/>
    </row>
  </sheetData>
  <sheetProtection algorithmName="SHA-512" hashValue="wYiq9d4V8DPgXVvvzdrbVuhRZYkU5uAFh2cn9V0kR7LjTJJWMWUCVVub0MLgB6akJ25FZLjwizHUx7Eqz1PIWA==" saltValue="6HO5d22EBh2a0oOYAu+w/A==" spinCount="100000" sheet="1" objects="1" scenarios="1" autoFilter="0"/>
  <mergeCells count="26">
    <mergeCell ref="A1:H1"/>
    <mergeCell ref="D28:F28"/>
    <mergeCell ref="D6:H6"/>
    <mergeCell ref="A7:H7"/>
    <mergeCell ref="G28:H28"/>
    <mergeCell ref="B8:C8"/>
    <mergeCell ref="A28:C28"/>
    <mergeCell ref="A3:H3"/>
    <mergeCell ref="A2:H2"/>
    <mergeCell ref="B10:C10"/>
    <mergeCell ref="A5:H5"/>
    <mergeCell ref="A23:H23"/>
    <mergeCell ref="B9:C9"/>
    <mergeCell ref="A25:H26"/>
    <mergeCell ref="D10:H10"/>
    <mergeCell ref="A24:H24"/>
    <mergeCell ref="A32:H32"/>
    <mergeCell ref="D9:H9"/>
    <mergeCell ref="B6:C6"/>
    <mergeCell ref="D8:H8"/>
    <mergeCell ref="A31:H31"/>
    <mergeCell ref="A29:C30"/>
    <mergeCell ref="D29:F30"/>
    <mergeCell ref="A22:G22"/>
    <mergeCell ref="G29:H30"/>
    <mergeCell ref="A11:H11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B45309"/>
    <pageSetUpPr fitToPage="1"/>
  </sheetPr>
  <dimension ref="A1:H31"/>
  <sheetViews>
    <sheetView zoomScaleNormal="100" workbookViewId="0">
      <selection sqref="A1:H31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5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54" t="s">
        <v>286</v>
      </c>
      <c r="B2" s="201"/>
      <c r="C2" s="201"/>
      <c r="D2" s="201"/>
      <c r="E2" s="201"/>
      <c r="F2" s="201"/>
      <c r="G2" s="201"/>
      <c r="H2" s="202"/>
    </row>
    <row r="3" spans="1:8" ht="15.75" customHeight="1">
      <c r="A3" s="253" t="s">
        <v>287</v>
      </c>
      <c r="B3" s="195"/>
      <c r="C3" s="195"/>
      <c r="D3" s="195"/>
      <c r="E3" s="195"/>
      <c r="F3" s="195"/>
      <c r="G3" s="195"/>
      <c r="H3" s="183"/>
    </row>
    <row r="4" spans="1:8" ht="6" customHeight="1"/>
    <row r="5" spans="1:8" ht="30" customHeight="1">
      <c r="A5" s="255" t="s">
        <v>309</v>
      </c>
      <c r="B5" s="198"/>
      <c r="C5" s="198"/>
      <c r="D5" s="198"/>
      <c r="E5" s="198"/>
      <c r="F5" s="198"/>
      <c r="G5" s="198"/>
      <c r="H5" s="199"/>
    </row>
    <row r="6" spans="1:8" ht="21.75" customHeight="1">
      <c r="B6" s="241" t="s">
        <v>310</v>
      </c>
      <c r="C6" s="183"/>
      <c r="D6" s="252"/>
      <c r="E6" s="201"/>
      <c r="F6" s="201"/>
      <c r="G6" s="201"/>
      <c r="H6" s="202"/>
    </row>
    <row r="7" spans="1:8" ht="13.5" customHeight="1">
      <c r="A7" s="243" t="s">
        <v>311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1" t="s">
        <v>312</v>
      </c>
      <c r="C8" s="183"/>
      <c r="D8" s="242">
        <f ca="1">TODAY()</f>
        <v>46158</v>
      </c>
      <c r="E8" s="201"/>
      <c r="F8" s="201"/>
      <c r="G8" s="201"/>
      <c r="H8" s="202"/>
    </row>
    <row r="9" spans="1:8" ht="21.75" customHeight="1">
      <c r="B9" s="241" t="s">
        <v>313</v>
      </c>
      <c r="C9" s="183"/>
      <c r="D9" s="256"/>
      <c r="E9" s="201"/>
      <c r="F9" s="201"/>
      <c r="G9" s="201"/>
      <c r="H9" s="202"/>
    </row>
    <row r="10" spans="1:8" ht="13.5" customHeight="1">
      <c r="A10" s="243" t="s">
        <v>314</v>
      </c>
      <c r="B10" s="208"/>
      <c r="C10" s="208"/>
      <c r="D10" s="208"/>
      <c r="E10" s="208"/>
      <c r="F10" s="208"/>
      <c r="G10" s="208"/>
      <c r="H10" s="208"/>
    </row>
    <row r="11" spans="1:8" ht="21.75" customHeight="1">
      <c r="B11" s="241" t="s">
        <v>315</v>
      </c>
      <c r="C11" s="183"/>
      <c r="D11" s="256"/>
      <c r="E11" s="201"/>
      <c r="F11" s="201"/>
      <c r="G11" s="201"/>
      <c r="H11" s="202"/>
    </row>
    <row r="12" spans="1:8" ht="13.5" customHeight="1">
      <c r="A12" s="243" t="s">
        <v>316</v>
      </c>
      <c r="B12" s="208"/>
      <c r="C12" s="208"/>
      <c r="D12" s="208"/>
      <c r="E12" s="208"/>
      <c r="F12" s="208"/>
      <c r="G12" s="208"/>
      <c r="H12" s="208"/>
    </row>
    <row r="13" spans="1:8" ht="6" customHeight="1"/>
    <row r="14" spans="1:8" ht="31.5" customHeight="1">
      <c r="A14" s="129" t="s">
        <v>294</v>
      </c>
      <c r="B14" s="129" t="s">
        <v>295</v>
      </c>
      <c r="C14" s="129" t="s">
        <v>296</v>
      </c>
      <c r="D14" s="129" t="s">
        <v>48</v>
      </c>
      <c r="E14" s="129" t="s">
        <v>297</v>
      </c>
      <c r="F14" s="129" t="s">
        <v>298</v>
      </c>
      <c r="G14" s="129" t="s">
        <v>299</v>
      </c>
      <c r="H14" s="129" t="s">
        <v>300</v>
      </c>
    </row>
    <row r="15" spans="1:8" ht="19.5" customHeight="1">
      <c r="A15" s="130">
        <v>1</v>
      </c>
      <c r="B15" s="131"/>
      <c r="C15" s="132" t="str">
        <f>IFERROR(VLOOKUP(B15,ARTICLES!$A$2:$G$485,2,0),"")</f>
        <v/>
      </c>
      <c r="D15" s="133" t="str">
        <f>IFERROR(VLOOKUP(B15,ARTICLES!$A$2:$G$485,3,0),"")</f>
        <v/>
      </c>
      <c r="E15" s="134"/>
      <c r="F15" s="134"/>
      <c r="G15" s="111" t="str">
        <f>IFERROR(VLOOKUP(B15,ARTICLES!$A$2:$G$485,7,0),"")</f>
        <v/>
      </c>
      <c r="H15" s="111" t="str">
        <f t="shared" ref="H15:H20" si="0">IFERROR(F15*G15,"")</f>
        <v/>
      </c>
    </row>
    <row r="16" spans="1:8" ht="19.5" customHeight="1">
      <c r="A16" s="130">
        <v>2</v>
      </c>
      <c r="B16" s="131"/>
      <c r="C16" s="132" t="str">
        <f>IFERROR(VLOOKUP(B16,ARTICLES!$A$2:$G$485,2,0),"")</f>
        <v/>
      </c>
      <c r="D16" s="133" t="str">
        <f>IFERROR(VLOOKUP(B16,ARTICLES!$A$2:$G$485,3,0),"")</f>
        <v/>
      </c>
      <c r="E16" s="134"/>
      <c r="F16" s="134"/>
      <c r="G16" s="111" t="str">
        <f>IFERROR(VLOOKUP(B16,ARTICLES!$A$2:$G$485,7,0),"")</f>
        <v/>
      </c>
      <c r="H16" s="111" t="str">
        <f t="shared" si="0"/>
        <v/>
      </c>
    </row>
    <row r="17" spans="1:8" ht="19.5" customHeight="1">
      <c r="A17" s="130">
        <v>3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4"/>
      <c r="G17" s="111" t="str">
        <f>IFERROR(VLOOKUP(B17,ARTICLES!$A$2:$G$485,7,0),"")</f>
        <v/>
      </c>
      <c r="H17" s="111" t="str">
        <f t="shared" si="0"/>
        <v/>
      </c>
    </row>
    <row r="18" spans="1:8" ht="19.5" customHeight="1">
      <c r="A18" s="130">
        <v>4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4"/>
      <c r="G18" s="111" t="str">
        <f>IFERROR(VLOOKUP(B18,ARTICLES!$A$2:$G$485,7,0),"")</f>
        <v/>
      </c>
      <c r="H18" s="111" t="str">
        <f t="shared" si="0"/>
        <v/>
      </c>
    </row>
    <row r="19" spans="1:8" ht="19.5" customHeight="1">
      <c r="A19" s="130">
        <v>5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4"/>
      <c r="G19" s="111" t="str">
        <f>IFERROR(VLOOKUP(B19,ARTICLES!$A$2:$G$485,7,0),"")</f>
        <v/>
      </c>
      <c r="H19" s="111" t="str">
        <f t="shared" si="0"/>
        <v/>
      </c>
    </row>
    <row r="20" spans="1:8" ht="19.5" customHeight="1">
      <c r="A20" s="130">
        <v>6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4"/>
      <c r="G20" s="111" t="str">
        <f>IFERROR(VLOOKUP(B20,ARTICLES!$A$2:$G$485,7,0),"")</f>
        <v/>
      </c>
      <c r="H20" s="111" t="str">
        <f t="shared" si="0"/>
        <v/>
      </c>
    </row>
    <row r="21" spans="1:8" ht="21.75" customHeight="1">
      <c r="A21" s="234" t="s">
        <v>301</v>
      </c>
      <c r="B21" s="201"/>
      <c r="C21" s="201"/>
      <c r="D21" s="201"/>
      <c r="E21" s="201"/>
      <c r="F21" s="201"/>
      <c r="G21" s="202"/>
      <c r="H21" s="135">
        <f>SUM(H15:H20)</f>
        <v>0</v>
      </c>
    </row>
    <row r="22" spans="1:8" ht="13.5" customHeight="1">
      <c r="A22" s="243" t="s">
        <v>317</v>
      </c>
      <c r="B22" s="208"/>
      <c r="C22" s="208"/>
      <c r="D22" s="208"/>
      <c r="E22" s="208"/>
      <c r="F22" s="208"/>
      <c r="G22" s="208"/>
      <c r="H22" s="208"/>
    </row>
    <row r="23" spans="1:8" ht="18" customHeight="1">
      <c r="A23" s="261" t="s">
        <v>303</v>
      </c>
      <c r="B23" s="195"/>
      <c r="C23" s="195"/>
      <c r="D23" s="195"/>
      <c r="E23" s="195"/>
      <c r="F23" s="195"/>
      <c r="G23" s="195"/>
      <c r="H23" s="183"/>
    </row>
    <row r="24" spans="1:8" ht="18" customHeight="1">
      <c r="A24" s="256"/>
      <c r="B24" s="257"/>
      <c r="C24" s="257"/>
      <c r="D24" s="257"/>
      <c r="E24" s="257"/>
      <c r="F24" s="257"/>
      <c r="G24" s="257"/>
      <c r="H24" s="258"/>
    </row>
    <row r="25" spans="1:8" ht="18" customHeight="1">
      <c r="A25" s="259"/>
      <c r="B25" s="208"/>
      <c r="C25" s="208"/>
      <c r="D25" s="208"/>
      <c r="E25" s="208"/>
      <c r="F25" s="208"/>
      <c r="G25" s="208"/>
      <c r="H25" s="260"/>
    </row>
    <row r="26" spans="1:8" ht="7.5" customHeight="1"/>
    <row r="27" spans="1:8" ht="24" customHeight="1">
      <c r="A27" s="251" t="s">
        <v>318</v>
      </c>
      <c r="B27" s="202"/>
      <c r="C27" s="251" t="s">
        <v>319</v>
      </c>
      <c r="D27" s="201"/>
      <c r="E27" s="202"/>
      <c r="F27" s="251" t="s">
        <v>320</v>
      </c>
      <c r="G27" s="201"/>
      <c r="H27" s="202"/>
    </row>
    <row r="28" spans="1:8" ht="24" customHeight="1">
      <c r="A28" s="244" t="s">
        <v>307</v>
      </c>
      <c r="B28" s="246"/>
      <c r="C28" s="244" t="s">
        <v>307</v>
      </c>
      <c r="D28" s="245"/>
      <c r="E28" s="246"/>
      <c r="F28" s="244" t="s">
        <v>307</v>
      </c>
      <c r="G28" s="245"/>
      <c r="H28" s="246"/>
    </row>
    <row r="29" spans="1:8" ht="24" customHeight="1">
      <c r="A29" s="247"/>
      <c r="B29" s="249"/>
      <c r="C29" s="247"/>
      <c r="D29" s="248"/>
      <c r="E29" s="249"/>
      <c r="F29" s="247"/>
      <c r="G29" s="248"/>
      <c r="H29" s="249"/>
    </row>
    <row r="30" spans="1:8" ht="13.5" customHeight="1">
      <c r="A30" s="243" t="s">
        <v>321</v>
      </c>
      <c r="B30" s="208"/>
      <c r="C30" s="208"/>
      <c r="D30" s="208"/>
      <c r="E30" s="208"/>
      <c r="F30" s="208"/>
      <c r="G30" s="208"/>
      <c r="H30" s="208"/>
    </row>
    <row r="31" spans="1:8" ht="13.5" customHeight="1">
      <c r="A31" s="194" t="s">
        <v>157</v>
      </c>
      <c r="B31" s="195"/>
      <c r="C31" s="195"/>
      <c r="D31" s="195"/>
      <c r="E31" s="195"/>
      <c r="F31" s="195"/>
      <c r="G31" s="195"/>
      <c r="H31" s="183"/>
    </row>
  </sheetData>
  <sheetProtection algorithmName="SHA-512" hashValue="IyH0LpbbaKZqxFLGhFV/yeGh0Qus2g7bOIYRv2GeI8eXtgXYeG2BeAfXWW7bm1XOHnSSbF4ceytIHbIg/0Yd8Q==" saltValue="IW1wHqqukeCanRmcBOluVQ==" spinCount="100000" sheet="1" objects="1" scenarios="1" autoFilter="0"/>
  <mergeCells count="27">
    <mergeCell ref="A1:H1"/>
    <mergeCell ref="C28:E29"/>
    <mergeCell ref="D6:H6"/>
    <mergeCell ref="C27:E27"/>
    <mergeCell ref="A7:H7"/>
    <mergeCell ref="B11:C11"/>
    <mergeCell ref="F27:H27"/>
    <mergeCell ref="D11:H11"/>
    <mergeCell ref="A27:B27"/>
    <mergeCell ref="B8:C8"/>
    <mergeCell ref="A12:H12"/>
    <mergeCell ref="A3:H3"/>
    <mergeCell ref="A28:B29"/>
    <mergeCell ref="A2:H2"/>
    <mergeCell ref="A5:H5"/>
    <mergeCell ref="A31:H31"/>
    <mergeCell ref="B6:C6"/>
    <mergeCell ref="D8:H8"/>
    <mergeCell ref="A21:G21"/>
    <mergeCell ref="A10:H10"/>
    <mergeCell ref="F28:H29"/>
    <mergeCell ref="B9:C9"/>
    <mergeCell ref="A23:H23"/>
    <mergeCell ref="A22:H22"/>
    <mergeCell ref="D9:H9"/>
    <mergeCell ref="A24:H25"/>
    <mergeCell ref="A30:H30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B45309"/>
    <pageSetUpPr fitToPage="1"/>
  </sheetPr>
  <dimension ref="A1:H34"/>
  <sheetViews>
    <sheetView topLeftCell="A24" zoomScaleNormal="100" workbookViewId="0">
      <selection activeCell="A34" sqref="A1:H34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5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54" t="s">
        <v>286</v>
      </c>
      <c r="B2" s="201"/>
      <c r="C2" s="201"/>
      <c r="D2" s="201"/>
      <c r="E2" s="201"/>
      <c r="F2" s="201"/>
      <c r="G2" s="201"/>
      <c r="H2" s="202"/>
    </row>
    <row r="3" spans="1:8" ht="15.75" customHeight="1">
      <c r="A3" s="253" t="s">
        <v>287</v>
      </c>
      <c r="B3" s="195"/>
      <c r="C3" s="195"/>
      <c r="D3" s="195"/>
      <c r="E3" s="195"/>
      <c r="F3" s="195"/>
      <c r="G3" s="195"/>
      <c r="H3" s="183"/>
    </row>
    <row r="4" spans="1:8" ht="6" customHeight="1"/>
    <row r="5" spans="1:8" ht="30" customHeight="1">
      <c r="A5" s="255" t="s">
        <v>322</v>
      </c>
      <c r="B5" s="198"/>
      <c r="C5" s="198"/>
      <c r="D5" s="198"/>
      <c r="E5" s="198"/>
      <c r="F5" s="198"/>
      <c r="G5" s="198"/>
      <c r="H5" s="199"/>
    </row>
    <row r="6" spans="1:8" ht="21.75" customHeight="1">
      <c r="B6" s="241" t="s">
        <v>323</v>
      </c>
      <c r="C6" s="183"/>
      <c r="D6" s="252"/>
      <c r="E6" s="201"/>
      <c r="F6" s="201"/>
      <c r="G6" s="201"/>
      <c r="H6" s="202"/>
    </row>
    <row r="7" spans="1:8" ht="13.5" customHeight="1">
      <c r="A7" s="243" t="s">
        <v>324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1" t="s">
        <v>325</v>
      </c>
      <c r="C8" s="183"/>
      <c r="D8" s="242">
        <f ca="1">TODAY()</f>
        <v>46158</v>
      </c>
      <c r="E8" s="201"/>
      <c r="F8" s="201"/>
      <c r="G8" s="201"/>
      <c r="H8" s="202"/>
    </row>
    <row r="9" spans="1:8" ht="21.75" customHeight="1">
      <c r="B9" s="262" t="s">
        <v>326</v>
      </c>
      <c r="C9" s="183"/>
      <c r="D9" s="256"/>
      <c r="E9" s="201"/>
      <c r="F9" s="201"/>
      <c r="G9" s="201"/>
      <c r="H9" s="202"/>
    </row>
    <row r="10" spans="1:8" ht="13.5" customHeight="1">
      <c r="A10" s="243" t="s">
        <v>327</v>
      </c>
      <c r="B10" s="208"/>
      <c r="C10" s="208"/>
      <c r="D10" s="208"/>
      <c r="E10" s="208"/>
      <c r="F10" s="208"/>
      <c r="G10" s="208"/>
      <c r="H10" s="208"/>
    </row>
    <row r="11" spans="1:8" ht="21.75" customHeight="1">
      <c r="B11" s="241" t="s">
        <v>328</v>
      </c>
      <c r="C11" s="183"/>
      <c r="D11" s="256"/>
      <c r="E11" s="201"/>
      <c r="F11" s="201"/>
      <c r="G11" s="201"/>
      <c r="H11" s="202"/>
    </row>
    <row r="12" spans="1:8" ht="13.5" customHeight="1">
      <c r="A12" s="243" t="s">
        <v>329</v>
      </c>
      <c r="B12" s="208"/>
      <c r="C12" s="208"/>
      <c r="D12" s="208"/>
      <c r="E12" s="208"/>
      <c r="F12" s="208"/>
      <c r="G12" s="208"/>
      <c r="H12" s="208"/>
    </row>
    <row r="13" spans="1:8" ht="21.75" customHeight="1">
      <c r="B13" s="241" t="s">
        <v>330</v>
      </c>
      <c r="C13" s="183"/>
      <c r="D13" s="256"/>
      <c r="E13" s="201"/>
      <c r="F13" s="201"/>
      <c r="G13" s="201"/>
      <c r="H13" s="202"/>
    </row>
    <row r="14" spans="1:8" ht="13.5" customHeight="1">
      <c r="A14" s="243" t="s">
        <v>331</v>
      </c>
      <c r="B14" s="208"/>
      <c r="C14" s="208"/>
      <c r="D14" s="208"/>
      <c r="E14" s="208"/>
      <c r="F14" s="208"/>
      <c r="G14" s="208"/>
      <c r="H14" s="208"/>
    </row>
    <row r="15" spans="1:8" ht="6" customHeight="1"/>
    <row r="16" spans="1:8" ht="31.5" customHeight="1">
      <c r="A16" s="129" t="s">
        <v>294</v>
      </c>
      <c r="B16" s="129" t="s">
        <v>295</v>
      </c>
      <c r="C16" s="129" t="s">
        <v>296</v>
      </c>
      <c r="D16" s="129" t="s">
        <v>48</v>
      </c>
      <c r="E16" s="129" t="s">
        <v>297</v>
      </c>
      <c r="F16" s="129" t="s">
        <v>298</v>
      </c>
      <c r="G16" s="129" t="s">
        <v>299</v>
      </c>
      <c r="H16" s="129" t="s">
        <v>300</v>
      </c>
    </row>
    <row r="17" spans="1:8" ht="19.5" customHeight="1">
      <c r="A17" s="130">
        <v>1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4"/>
      <c r="G17" s="111" t="str">
        <f>IFERROR(VLOOKUP(B17,ARTICLES!$A$2:$G$485,7,0),"")</f>
        <v/>
      </c>
      <c r="H17" s="111" t="str">
        <f t="shared" ref="H17:H24" si="0">IFERROR(F17*G17,"")</f>
        <v/>
      </c>
    </row>
    <row r="18" spans="1:8" ht="19.5" customHeight="1">
      <c r="A18" s="130">
        <v>2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4"/>
      <c r="G18" s="111" t="str">
        <f>IFERROR(VLOOKUP(B18,ARTICLES!$A$2:$G$485,7,0),"")</f>
        <v/>
      </c>
      <c r="H18" s="111" t="str">
        <f t="shared" si="0"/>
        <v/>
      </c>
    </row>
    <row r="19" spans="1:8" ht="19.5" customHeight="1">
      <c r="A19" s="130">
        <v>3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4"/>
      <c r="G19" s="111" t="str">
        <f>IFERROR(VLOOKUP(B19,ARTICLES!$A$2:$G$485,7,0),"")</f>
        <v/>
      </c>
      <c r="H19" s="111" t="str">
        <f t="shared" si="0"/>
        <v/>
      </c>
    </row>
    <row r="20" spans="1:8" ht="19.5" customHeight="1">
      <c r="A20" s="130">
        <v>4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4"/>
      <c r="G20" s="111" t="str">
        <f>IFERROR(VLOOKUP(B20,ARTICLES!$A$2:$G$485,7,0),"")</f>
        <v/>
      </c>
      <c r="H20" s="111" t="str">
        <f t="shared" si="0"/>
        <v/>
      </c>
    </row>
    <row r="21" spans="1:8" ht="19.5" customHeight="1">
      <c r="A21" s="130">
        <v>5</v>
      </c>
      <c r="B21" s="131"/>
      <c r="C21" s="132" t="str">
        <f>IFERROR(VLOOKUP(B21,ARTICLES!$A$2:$G$485,2,0),"")</f>
        <v/>
      </c>
      <c r="D21" s="133" t="str">
        <f>IFERROR(VLOOKUP(B21,ARTICLES!$A$2:$G$485,3,0),"")</f>
        <v/>
      </c>
      <c r="E21" s="134"/>
      <c r="F21" s="134"/>
      <c r="G21" s="111" t="str">
        <f>IFERROR(VLOOKUP(B21,ARTICLES!$A$2:$G$485,7,0),"")</f>
        <v/>
      </c>
      <c r="H21" s="111" t="str">
        <f t="shared" si="0"/>
        <v/>
      </c>
    </row>
    <row r="22" spans="1:8" ht="19.5" customHeight="1">
      <c r="A22" s="130">
        <v>6</v>
      </c>
      <c r="B22" s="131"/>
      <c r="C22" s="132" t="str">
        <f>IFERROR(VLOOKUP(B22,ARTICLES!$A$2:$G$485,2,0),"")</f>
        <v/>
      </c>
      <c r="D22" s="133" t="str">
        <f>IFERROR(VLOOKUP(B22,ARTICLES!$A$2:$G$485,3,0),"")</f>
        <v/>
      </c>
      <c r="E22" s="134"/>
      <c r="F22" s="134"/>
      <c r="G22" s="111" t="str">
        <f>IFERROR(VLOOKUP(B22,ARTICLES!$A$2:$G$485,7,0),"")</f>
        <v/>
      </c>
      <c r="H22" s="111" t="str">
        <f t="shared" si="0"/>
        <v/>
      </c>
    </row>
    <row r="23" spans="1:8" ht="19.5" customHeight="1">
      <c r="A23" s="130">
        <v>7</v>
      </c>
      <c r="B23" s="131"/>
      <c r="C23" s="132" t="str">
        <f>IFERROR(VLOOKUP(B23,ARTICLES!$A$2:$G$485,2,0),"")</f>
        <v/>
      </c>
      <c r="D23" s="133" t="str">
        <f>IFERROR(VLOOKUP(B23,ARTICLES!$A$2:$G$485,3,0),"")</f>
        <v/>
      </c>
      <c r="E23" s="134"/>
      <c r="F23" s="134"/>
      <c r="G23" s="111" t="str">
        <f>IFERROR(VLOOKUP(B23,ARTICLES!$A$2:$G$485,7,0),"")</f>
        <v/>
      </c>
      <c r="H23" s="111" t="str">
        <f t="shared" si="0"/>
        <v/>
      </c>
    </row>
    <row r="24" spans="1:8" ht="19.5" customHeight="1">
      <c r="A24" s="130">
        <v>8</v>
      </c>
      <c r="B24" s="131"/>
      <c r="C24" s="132" t="str">
        <f>IFERROR(VLOOKUP(B24,ARTICLES!$A$2:$G$485,2,0),"")</f>
        <v/>
      </c>
      <c r="D24" s="133" t="str">
        <f>IFERROR(VLOOKUP(B24,ARTICLES!$A$2:$G$485,3,0),"")</f>
        <v/>
      </c>
      <c r="E24" s="134"/>
      <c r="F24" s="134"/>
      <c r="G24" s="111" t="str">
        <f>IFERROR(VLOOKUP(B24,ARTICLES!$A$2:$G$485,7,0),"")</f>
        <v/>
      </c>
      <c r="H24" s="111" t="str">
        <f t="shared" si="0"/>
        <v/>
      </c>
    </row>
    <row r="25" spans="1:8" ht="21.75" customHeight="1">
      <c r="A25" s="234" t="s">
        <v>301</v>
      </c>
      <c r="B25" s="201"/>
      <c r="C25" s="201"/>
      <c r="D25" s="201"/>
      <c r="E25" s="201"/>
      <c r="F25" s="201"/>
      <c r="G25" s="202"/>
      <c r="H25" s="135">
        <f>SUM(H17:H24)</f>
        <v>0</v>
      </c>
    </row>
    <row r="26" spans="1:8" ht="18" customHeight="1">
      <c r="A26" s="261" t="s">
        <v>332</v>
      </c>
      <c r="B26" s="195"/>
      <c r="C26" s="195"/>
      <c r="D26" s="195"/>
      <c r="E26" s="195"/>
      <c r="F26" s="195"/>
      <c r="G26" s="195"/>
      <c r="H26" s="183"/>
    </row>
    <row r="27" spans="1:8" ht="18" customHeight="1">
      <c r="A27" s="256"/>
      <c r="B27" s="257"/>
      <c r="C27" s="257"/>
      <c r="D27" s="257"/>
      <c r="E27" s="257"/>
      <c r="F27" s="257"/>
      <c r="G27" s="257"/>
      <c r="H27" s="258"/>
    </row>
    <row r="28" spans="1:8" ht="18" customHeight="1">
      <c r="A28" s="259"/>
      <c r="B28" s="208"/>
      <c r="C28" s="208"/>
      <c r="D28" s="208"/>
      <c r="E28" s="208"/>
      <c r="F28" s="208"/>
      <c r="G28" s="208"/>
      <c r="H28" s="260"/>
    </row>
    <row r="29" spans="1:8" ht="7.5" customHeight="1"/>
    <row r="30" spans="1:8" ht="24" customHeight="1">
      <c r="A30" s="251" t="s">
        <v>333</v>
      </c>
      <c r="B30" s="202"/>
      <c r="C30" s="251" t="s">
        <v>334</v>
      </c>
      <c r="D30" s="201"/>
      <c r="E30" s="202"/>
      <c r="F30" s="251" t="s">
        <v>335</v>
      </c>
      <c r="G30" s="201"/>
      <c r="H30" s="202"/>
    </row>
    <row r="31" spans="1:8" ht="24" customHeight="1">
      <c r="A31" s="244" t="s">
        <v>307</v>
      </c>
      <c r="B31" s="246"/>
      <c r="C31" s="244" t="s">
        <v>307</v>
      </c>
      <c r="D31" s="245"/>
      <c r="E31" s="246"/>
      <c r="F31" s="244" t="s">
        <v>307</v>
      </c>
      <c r="G31" s="245"/>
      <c r="H31" s="246"/>
    </row>
    <row r="32" spans="1:8" ht="24" customHeight="1">
      <c r="A32" s="247"/>
      <c r="B32" s="249"/>
      <c r="C32" s="247"/>
      <c r="D32" s="248"/>
      <c r="E32" s="249"/>
      <c r="F32" s="247"/>
      <c r="G32" s="248"/>
      <c r="H32" s="249"/>
    </row>
    <row r="33" spans="1:8" ht="13.5" customHeight="1">
      <c r="A33" s="243" t="s">
        <v>336</v>
      </c>
      <c r="B33" s="208"/>
      <c r="C33" s="208"/>
      <c r="D33" s="208"/>
      <c r="E33" s="208"/>
      <c r="F33" s="208"/>
      <c r="G33" s="208"/>
      <c r="H33" s="208"/>
    </row>
    <row r="34" spans="1:8" ht="13.5" customHeight="1">
      <c r="A34" s="194" t="s">
        <v>157</v>
      </c>
      <c r="B34" s="195"/>
      <c r="C34" s="195"/>
      <c r="D34" s="195"/>
      <c r="E34" s="195"/>
      <c r="F34" s="195"/>
      <c r="G34" s="195"/>
      <c r="H34" s="183"/>
    </row>
  </sheetData>
  <sheetProtection algorithmName="SHA-512" hashValue="a99BjfnCtQRz90WGn26wbIxfDuTKOYbvGOOpc2gbTWAP0WeEg5PjTmwpluNnVyrw8Cvs1FbaJ+gXg8UOeeea+w==" saltValue="oxjSucmBr8A/nwKLGVnJsw==" spinCount="100000" sheet="1" objects="1" scenarios="1" autoFilter="0"/>
  <mergeCells count="29">
    <mergeCell ref="A30:B30"/>
    <mergeCell ref="A1:H1"/>
    <mergeCell ref="D6:H6"/>
    <mergeCell ref="A7:H7"/>
    <mergeCell ref="B11:C11"/>
    <mergeCell ref="D11:H11"/>
    <mergeCell ref="D13:H13"/>
    <mergeCell ref="B8:C8"/>
    <mergeCell ref="A12:H12"/>
    <mergeCell ref="B13:C13"/>
    <mergeCell ref="A3:H3"/>
    <mergeCell ref="A26:H26"/>
    <mergeCell ref="A2:H2"/>
    <mergeCell ref="A34:H34"/>
    <mergeCell ref="A31:B32"/>
    <mergeCell ref="A33:H33"/>
    <mergeCell ref="A14:H14"/>
    <mergeCell ref="A5:H5"/>
    <mergeCell ref="A25:G25"/>
    <mergeCell ref="B9:C9"/>
    <mergeCell ref="C30:E30"/>
    <mergeCell ref="D9:H9"/>
    <mergeCell ref="C31:E32"/>
    <mergeCell ref="B6:C6"/>
    <mergeCell ref="D8:H8"/>
    <mergeCell ref="F31:H32"/>
    <mergeCell ref="A10:H10"/>
    <mergeCell ref="F30:H30"/>
    <mergeCell ref="A27:H28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A0522D"/>
    <pageSetUpPr fitToPage="1"/>
  </sheetPr>
  <dimension ref="A1:H33"/>
  <sheetViews>
    <sheetView tabSelected="1" topLeftCell="A23" zoomScaleNormal="100" workbookViewId="0">
      <selection activeCell="G38" sqref="G38"/>
    </sheetView>
  </sheetViews>
  <sheetFormatPr defaultColWidth="8.7109375" defaultRowHeight="15"/>
  <cols>
    <col min="1" max="1" width="4" style="1" customWidth="1"/>
    <col min="2" max="2" width="12" style="1" customWidth="1"/>
    <col min="3" max="3" width="30" style="1" customWidth="1"/>
    <col min="4" max="4" width="10" style="1" customWidth="1"/>
    <col min="5" max="6" width="13" style="1" customWidth="1"/>
    <col min="7" max="7" width="22" style="1" customWidth="1"/>
    <col min="8" max="8" width="10" style="1" customWidth="1"/>
  </cols>
  <sheetData>
    <row r="1" spans="1:8" ht="19.5" customHeight="1">
      <c r="A1" s="25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54" t="s">
        <v>3</v>
      </c>
      <c r="B2" s="201"/>
      <c r="C2" s="201"/>
      <c r="D2" s="201"/>
      <c r="E2" s="201"/>
      <c r="F2" s="201"/>
      <c r="G2" s="201"/>
      <c r="H2" s="202"/>
    </row>
    <row r="3" spans="1:8" ht="6" customHeight="1"/>
    <row r="4" spans="1:8" ht="30" customHeight="1">
      <c r="A4" s="255" t="s">
        <v>337</v>
      </c>
      <c r="B4" s="198"/>
      <c r="C4" s="198"/>
      <c r="D4" s="198"/>
      <c r="E4" s="198"/>
      <c r="F4" s="198"/>
      <c r="G4" s="198"/>
      <c r="H4" s="199"/>
    </row>
    <row r="5" spans="1:8" ht="6" customHeight="1"/>
    <row r="6" spans="1:8" ht="21.75" customHeight="1">
      <c r="B6" s="241" t="s">
        <v>338</v>
      </c>
      <c r="C6" s="183"/>
      <c r="D6" s="240"/>
      <c r="E6" s="201"/>
      <c r="F6" s="201"/>
      <c r="G6" s="201"/>
      <c r="H6" s="202"/>
    </row>
    <row r="7" spans="1:8" ht="13.5" customHeight="1">
      <c r="A7" s="266" t="s">
        <v>339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1" t="s">
        <v>340</v>
      </c>
      <c r="C8" s="183"/>
      <c r="D8" s="242">
        <f ca="1">TODAY()</f>
        <v>46158</v>
      </c>
      <c r="E8" s="201"/>
      <c r="F8" s="201"/>
      <c r="G8" s="201"/>
      <c r="H8" s="202"/>
    </row>
    <row r="9" spans="1:8" ht="21.75" customHeight="1">
      <c r="B9" s="241" t="s">
        <v>313</v>
      </c>
      <c r="C9" s="183"/>
      <c r="D9" s="240"/>
      <c r="E9" s="201"/>
      <c r="F9" s="201"/>
      <c r="G9" s="201"/>
      <c r="H9" s="202"/>
    </row>
    <row r="10" spans="1:8" ht="13.5" customHeight="1">
      <c r="A10" s="243" t="s">
        <v>341</v>
      </c>
      <c r="B10" s="208"/>
      <c r="C10" s="208"/>
      <c r="D10" s="208"/>
      <c r="E10" s="208"/>
      <c r="F10" s="208"/>
      <c r="G10" s="208"/>
      <c r="H10" s="208"/>
    </row>
    <row r="11" spans="1:8" ht="21.75" customHeight="1">
      <c r="B11" s="241" t="s">
        <v>342</v>
      </c>
      <c r="C11" s="183"/>
      <c r="D11" s="240"/>
      <c r="E11" s="201"/>
      <c r="F11" s="201"/>
      <c r="G11" s="201"/>
      <c r="H11" s="202"/>
    </row>
    <row r="12" spans="1:8" ht="13.5" customHeight="1">
      <c r="A12" s="243" t="s">
        <v>343</v>
      </c>
      <c r="B12" s="208"/>
      <c r="C12" s="208"/>
      <c r="D12" s="208"/>
      <c r="E12" s="208"/>
      <c r="F12" s="208"/>
      <c r="G12" s="208"/>
      <c r="H12" s="208"/>
    </row>
    <row r="13" spans="1:8" ht="21.75" customHeight="1">
      <c r="B13" s="241" t="s">
        <v>344</v>
      </c>
      <c r="C13" s="183"/>
      <c r="D13" s="240"/>
      <c r="E13" s="201"/>
      <c r="F13" s="201"/>
      <c r="G13" s="201"/>
      <c r="H13" s="202"/>
    </row>
    <row r="14" spans="1:8" ht="13.5" customHeight="1">
      <c r="A14" s="243" t="s">
        <v>345</v>
      </c>
      <c r="B14" s="208"/>
      <c r="C14" s="208"/>
      <c r="D14" s="208"/>
      <c r="E14" s="208"/>
      <c r="F14" s="208"/>
      <c r="G14" s="208"/>
      <c r="H14" s="208"/>
    </row>
    <row r="15" spans="1:8" ht="6" customHeight="1"/>
    <row r="16" spans="1:8" ht="31.5" customHeight="1">
      <c r="A16" s="129" t="s">
        <v>294</v>
      </c>
      <c r="B16" s="129" t="s">
        <v>47</v>
      </c>
      <c r="C16" s="129" t="s">
        <v>296</v>
      </c>
      <c r="D16" s="129" t="s">
        <v>48</v>
      </c>
      <c r="E16" s="129" t="s">
        <v>346</v>
      </c>
      <c r="F16" s="129" t="s">
        <v>347</v>
      </c>
      <c r="G16" s="129" t="s">
        <v>348</v>
      </c>
      <c r="H16" s="129" t="s">
        <v>349</v>
      </c>
    </row>
    <row r="17" spans="1:8" ht="19.5" customHeight="1">
      <c r="A17" s="110">
        <v>1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6"/>
      <c r="G17" s="132"/>
      <c r="H17" s="102" t="str">
        <f>IFERROR(IF(B17="","",SUMIFS(MOUVEMENTS!$E$3:$E$461,MOUVEMENTS!$B$3:$B$461,B17,MOUVEMENTS!$D$3:$D$461,"IN")-SUMIFS(MOUVEMENTS!$E$3:$E$461,MOUVEMENTS!$B$3:$B$461,B17,MOUVEMENTS!$D$3:$D$461,"OUT")),"?")</f>
        <v/>
      </c>
    </row>
    <row r="18" spans="1:8" ht="19.5" customHeight="1">
      <c r="A18" s="110">
        <v>2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6"/>
      <c r="G18" s="132"/>
      <c r="H18" s="102" t="str">
        <f>IFERROR(IF(B18="","",SUMIFS(MOUVEMENTS!$E$3:$E$461,MOUVEMENTS!$B$3:$B$461,B18,MOUVEMENTS!$D$3:$D$461,"IN")-SUMIFS(MOUVEMENTS!$E$3:$E$461,MOUVEMENTS!$B$3:$B$461,B18,MOUVEMENTS!$D$3:$D$461,"OUT")),"?")</f>
        <v/>
      </c>
    </row>
    <row r="19" spans="1:8" ht="19.5" customHeight="1">
      <c r="A19" s="110">
        <v>3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6"/>
      <c r="G19" s="132"/>
      <c r="H19" s="102" t="str">
        <f>IFERROR(IF(B19="","",SUMIFS(MOUVEMENTS!$E$3:$E$461,MOUVEMENTS!$B$3:$B$461,B19,MOUVEMENTS!$D$3:$D$461,"IN")-SUMIFS(MOUVEMENTS!$E$3:$E$461,MOUVEMENTS!$B$3:$B$461,B19,MOUVEMENTS!$D$3:$D$461,"OUT")),"?")</f>
        <v/>
      </c>
    </row>
    <row r="20" spans="1:8" ht="19.5" customHeight="1">
      <c r="A20" s="110">
        <v>4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6"/>
      <c r="G20" s="132"/>
      <c r="H20" s="102" t="str">
        <f>IFERROR(IF(B20="","",SUMIFS(MOUVEMENTS!$E$3:$E$461,MOUVEMENTS!$B$3:$B$461,B20,MOUVEMENTS!$D$3:$D$461,"IN")-SUMIFS(MOUVEMENTS!$E$3:$E$461,MOUVEMENTS!$B$3:$B$461,B20,MOUVEMENTS!$D$3:$D$461,"OUT")),"?")</f>
        <v/>
      </c>
    </row>
    <row r="21" spans="1:8" ht="19.5" customHeight="1">
      <c r="A21" s="110">
        <v>5</v>
      </c>
      <c r="B21" s="131"/>
      <c r="C21" s="132" t="str">
        <f>IFERROR(VLOOKUP(B21,ARTICLES!$A$2:$G$485,2,0),"")</f>
        <v/>
      </c>
      <c r="D21" s="133" t="str">
        <f>IFERROR(VLOOKUP(B21,ARTICLES!$A$2:$G$485,3,0),"")</f>
        <v/>
      </c>
      <c r="E21" s="134"/>
      <c r="F21" s="136"/>
      <c r="G21" s="132"/>
      <c r="H21" s="102" t="str">
        <f>IFERROR(IF(B21="","",SUMIFS(MOUVEMENTS!$E$3:$E$461,MOUVEMENTS!$B$3:$B$461,B21,MOUVEMENTS!$D$3:$D$461,"IN")-SUMIFS(MOUVEMENTS!$E$3:$E$461,MOUVEMENTS!$B$3:$B$461,B21,MOUVEMENTS!$D$3:$D$461,"OUT")),"?")</f>
        <v/>
      </c>
    </row>
    <row r="22" spans="1:8" ht="19.5" customHeight="1">
      <c r="A22" s="110">
        <v>6</v>
      </c>
      <c r="B22" s="131"/>
      <c r="C22" s="132" t="str">
        <f>IFERROR(VLOOKUP(B22,ARTICLES!$A$2:$G$485,2,0),"")</f>
        <v/>
      </c>
      <c r="D22" s="133" t="str">
        <f>IFERROR(VLOOKUP(B22,ARTICLES!$A$2:$G$485,3,0),"")</f>
        <v/>
      </c>
      <c r="E22" s="134"/>
      <c r="F22" s="136"/>
      <c r="G22" s="132"/>
      <c r="H22" s="102" t="str">
        <f>IFERROR(IF(B22="","",SUMIFS(MOUVEMENTS!$E$3:$E$461,MOUVEMENTS!$B$3:$B$461,B22,MOUVEMENTS!$D$3:$D$461,"IN")-SUMIFS(MOUVEMENTS!$E$3:$E$461,MOUVEMENTS!$B$3:$B$461,B22,MOUVEMENTS!$D$3:$D$461,"OUT")),"?")</f>
        <v/>
      </c>
    </row>
    <row r="23" spans="1:8" ht="19.5" customHeight="1">
      <c r="A23" s="110">
        <v>7</v>
      </c>
      <c r="B23" s="131"/>
      <c r="C23" s="132" t="str">
        <f>IFERROR(VLOOKUP(B23,ARTICLES!$A$2:$G$485,2,0),"")</f>
        <v/>
      </c>
      <c r="D23" s="133" t="str">
        <f>IFERROR(VLOOKUP(B23,ARTICLES!$A$2:$G$485,3,0),"")</f>
        <v/>
      </c>
      <c r="E23" s="134"/>
      <c r="F23" s="136"/>
      <c r="G23" s="132"/>
      <c r="H23" s="102" t="str">
        <f>IFERROR(IF(B23="","",SUMIFS(MOUVEMENTS!$E$3:$E$461,MOUVEMENTS!$B$3:$B$461,B23,MOUVEMENTS!$D$3:$D$461,"IN")-SUMIFS(MOUVEMENTS!$E$3:$E$461,MOUVEMENTS!$B$3:$B$461,B23,MOUVEMENTS!$D$3:$D$461,"OUT")),"?")</f>
        <v/>
      </c>
    </row>
    <row r="24" spans="1:8" ht="19.5" customHeight="1">
      <c r="A24" s="110">
        <v>8</v>
      </c>
      <c r="B24" s="131"/>
      <c r="C24" s="132" t="str">
        <f>IFERROR(VLOOKUP(B24,ARTICLES!$A$2:$G$485,2,0),"")</f>
        <v/>
      </c>
      <c r="D24" s="133" t="str">
        <f>IFERROR(VLOOKUP(B24,ARTICLES!$A$2:$G$485,3,0),"")</f>
        <v/>
      </c>
      <c r="E24" s="134"/>
      <c r="F24" s="136"/>
      <c r="G24" s="132"/>
      <c r="H24" s="102" t="str">
        <f>IFERROR(IF(B24="","",SUMIFS(MOUVEMENTS!$E$3:$E$461,MOUVEMENTS!$B$3:$B$461,B24,MOUVEMENTS!$D$3:$D$461,"IN")-SUMIFS(MOUVEMENTS!$E$3:$E$461,MOUVEMENTS!$B$3:$B$461,B24,MOUVEMENTS!$D$3:$D$461,"OUT")),"?")</f>
        <v/>
      </c>
    </row>
    <row r="25" spans="1:8" ht="6" customHeight="1">
      <c r="A25" s="267"/>
      <c r="B25" s="195"/>
      <c r="C25" s="195"/>
      <c r="D25" s="195"/>
      <c r="E25" s="195"/>
      <c r="F25" s="195"/>
      <c r="G25" s="195"/>
      <c r="H25" s="183"/>
    </row>
    <row r="26" spans="1:8" ht="21.75" customHeight="1">
      <c r="A26" s="263" t="s">
        <v>350</v>
      </c>
      <c r="B26" s="257"/>
      <c r="C26" s="257"/>
      <c r="D26" s="257"/>
      <c r="E26" s="257"/>
      <c r="F26" s="257"/>
      <c r="G26" s="257"/>
      <c r="H26" s="258"/>
    </row>
    <row r="27" spans="1:8" ht="21.75" customHeight="1">
      <c r="A27" s="264"/>
      <c r="B27" s="187"/>
      <c r="C27" s="187"/>
      <c r="D27" s="187"/>
      <c r="E27" s="187"/>
      <c r="F27" s="187"/>
      <c r="G27" s="187"/>
      <c r="H27" s="265"/>
    </row>
    <row r="28" spans="1:8" ht="21.75" customHeight="1">
      <c r="A28" s="259"/>
      <c r="B28" s="208"/>
      <c r="C28" s="208"/>
      <c r="D28" s="208"/>
      <c r="E28" s="208"/>
      <c r="F28" s="208"/>
      <c r="G28" s="208"/>
      <c r="H28" s="260"/>
    </row>
    <row r="29" spans="1:8" ht="7.5" customHeight="1"/>
    <row r="30" spans="1:8" ht="24" customHeight="1">
      <c r="A30" s="251" t="s">
        <v>351</v>
      </c>
      <c r="B30" s="201"/>
      <c r="C30" s="202"/>
      <c r="D30" s="251" t="s">
        <v>352</v>
      </c>
      <c r="E30" s="201"/>
      <c r="F30" s="202"/>
      <c r="G30" s="251" t="s">
        <v>353</v>
      </c>
      <c r="H30" s="202"/>
    </row>
    <row r="31" spans="1:8" ht="24" customHeight="1">
      <c r="A31" s="244" t="s">
        <v>307</v>
      </c>
      <c r="B31" s="245"/>
      <c r="C31" s="246"/>
      <c r="D31" s="244" t="s">
        <v>307</v>
      </c>
      <c r="E31" s="245"/>
      <c r="F31" s="246"/>
      <c r="G31" s="244" t="s">
        <v>307</v>
      </c>
      <c r="H31" s="246"/>
    </row>
    <row r="32" spans="1:8" ht="24" customHeight="1">
      <c r="A32" s="247"/>
      <c r="B32" s="248"/>
      <c r="C32" s="249"/>
      <c r="D32" s="247"/>
      <c r="E32" s="248"/>
      <c r="F32" s="249"/>
      <c r="G32" s="247"/>
      <c r="H32" s="249"/>
    </row>
    <row r="33" spans="1:8" ht="13.5" customHeight="1">
      <c r="A33" s="194" t="s">
        <v>157</v>
      </c>
      <c r="B33" s="195"/>
      <c r="C33" s="195"/>
      <c r="D33" s="195"/>
      <c r="E33" s="195"/>
      <c r="F33" s="195"/>
      <c r="G33" s="195"/>
      <c r="H33" s="183"/>
    </row>
  </sheetData>
  <sheetProtection algorithmName="SHA-512" hashValue="AxwvP5fGCt91MzQPx8VQvB7IDJDHWa8GkaUZP4V+OAAG8crx2G0b7Msq55OEK2c9e9e5K2oJpHd2hUIJyKdDTQ==" saltValue="25ao1naE2YTbpXwiJ16LeA==" spinCount="100000" sheet="1" objects="1" scenarios="1" autoFilter="0"/>
  <mergeCells count="26">
    <mergeCell ref="A1:H1"/>
    <mergeCell ref="D31:F32"/>
    <mergeCell ref="A31:C32"/>
    <mergeCell ref="D6:H6"/>
    <mergeCell ref="A7:H7"/>
    <mergeCell ref="B11:C11"/>
    <mergeCell ref="A25:H25"/>
    <mergeCell ref="D11:H11"/>
    <mergeCell ref="D13:H13"/>
    <mergeCell ref="D30:F30"/>
    <mergeCell ref="B8:C8"/>
    <mergeCell ref="A12:H12"/>
    <mergeCell ref="B13:C13"/>
    <mergeCell ref="G30:H30"/>
    <mergeCell ref="A2:H2"/>
    <mergeCell ref="G31:H32"/>
    <mergeCell ref="A33:H33"/>
    <mergeCell ref="A14:H14"/>
    <mergeCell ref="A30:C30"/>
    <mergeCell ref="B9:C9"/>
    <mergeCell ref="D9:H9"/>
    <mergeCell ref="A4:H4"/>
    <mergeCell ref="B6:C6"/>
    <mergeCell ref="A26:H28"/>
    <mergeCell ref="D8:H8"/>
    <mergeCell ref="A10:H10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546E7A"/>
  </sheetPr>
  <dimension ref="A1:B67"/>
  <sheetViews>
    <sheetView zoomScaleNormal="100" workbookViewId="0">
      <selection sqref="A1:B78"/>
    </sheetView>
  </sheetViews>
  <sheetFormatPr defaultColWidth="8.7109375" defaultRowHeight="15"/>
  <cols>
    <col min="1" max="1" width="6" style="1" customWidth="1"/>
    <col min="2" max="2" width="72" style="1" customWidth="1"/>
  </cols>
  <sheetData>
    <row r="1" spans="1:2" ht="31.5" customHeight="1">
      <c r="A1" s="268" t="s">
        <v>354</v>
      </c>
      <c r="B1" s="187"/>
    </row>
    <row r="2" spans="1:2" ht="24" customHeight="1">
      <c r="A2" s="137" t="s">
        <v>355</v>
      </c>
      <c r="B2" s="138" t="s">
        <v>356</v>
      </c>
    </row>
    <row r="3" spans="1:2" ht="18" customHeight="1">
      <c r="A3" s="139" t="s">
        <v>357</v>
      </c>
      <c r="B3" s="140" t="s">
        <v>358</v>
      </c>
    </row>
    <row r="4" spans="1:2" ht="18" customHeight="1">
      <c r="A4" s="139" t="s">
        <v>357</v>
      </c>
      <c r="B4" s="141" t="s">
        <v>359</v>
      </c>
    </row>
    <row r="5" spans="1:2" ht="18" customHeight="1">
      <c r="A5" s="139" t="s">
        <v>357</v>
      </c>
      <c r="B5" s="140" t="s">
        <v>360</v>
      </c>
    </row>
    <row r="6" spans="1:2" ht="18" customHeight="1">
      <c r="A6" s="139" t="s">
        <v>357</v>
      </c>
      <c r="B6" s="141" t="s">
        <v>361</v>
      </c>
    </row>
    <row r="7" spans="1:2" ht="18" customHeight="1">
      <c r="A7" s="139" t="s">
        <v>357</v>
      </c>
      <c r="B7" s="140" t="s">
        <v>362</v>
      </c>
    </row>
    <row r="8" spans="1:2" ht="18" customHeight="1">
      <c r="A8" s="139" t="s">
        <v>357</v>
      </c>
      <c r="B8" s="141" t="s">
        <v>363</v>
      </c>
    </row>
    <row r="9" spans="1:2" ht="18" customHeight="1">
      <c r="A9" s="139" t="s">
        <v>357</v>
      </c>
      <c r="B9" s="140" t="s">
        <v>364</v>
      </c>
    </row>
    <row r="10" spans="1:2" ht="18" customHeight="1">
      <c r="A10" s="139" t="s">
        <v>357</v>
      </c>
      <c r="B10" s="141" t="s">
        <v>365</v>
      </c>
    </row>
    <row r="11" spans="1:2" ht="18" customHeight="1">
      <c r="A11" s="139"/>
      <c r="B11" s="140"/>
    </row>
    <row r="12" spans="1:2" ht="24" customHeight="1">
      <c r="A12" s="137" t="s">
        <v>355</v>
      </c>
      <c r="B12" s="138" t="s">
        <v>366</v>
      </c>
    </row>
    <row r="13" spans="1:2" ht="18" customHeight="1">
      <c r="A13" s="139" t="s">
        <v>357</v>
      </c>
      <c r="B13" s="140" t="s">
        <v>367</v>
      </c>
    </row>
    <row r="14" spans="1:2" ht="18" customHeight="1">
      <c r="A14" s="139" t="s">
        <v>357</v>
      </c>
      <c r="B14" s="141" t="s">
        <v>368</v>
      </c>
    </row>
    <row r="15" spans="1:2" ht="18" customHeight="1">
      <c r="A15" s="139" t="s">
        <v>357</v>
      </c>
      <c r="B15" s="140" t="s">
        <v>369</v>
      </c>
    </row>
    <row r="16" spans="1:2" ht="18" customHeight="1">
      <c r="A16" s="139"/>
      <c r="B16" s="141"/>
    </row>
    <row r="17" spans="1:2" ht="24" customHeight="1">
      <c r="A17" s="137" t="s">
        <v>355</v>
      </c>
      <c r="B17" s="138" t="s">
        <v>370</v>
      </c>
    </row>
    <row r="18" spans="1:2" ht="18" customHeight="1">
      <c r="A18" s="139" t="s">
        <v>371</v>
      </c>
      <c r="B18" s="141" t="s">
        <v>372</v>
      </c>
    </row>
    <row r="19" spans="1:2" ht="18" customHeight="1">
      <c r="A19" s="139" t="s">
        <v>371</v>
      </c>
      <c r="B19" s="140" t="s">
        <v>373</v>
      </c>
    </row>
    <row r="20" spans="1:2" ht="18" customHeight="1">
      <c r="A20" s="139" t="s">
        <v>371</v>
      </c>
      <c r="B20" s="141" t="s">
        <v>374</v>
      </c>
    </row>
    <row r="21" spans="1:2" ht="18" customHeight="1">
      <c r="A21" s="139"/>
      <c r="B21" s="140"/>
    </row>
    <row r="22" spans="1:2" ht="24" customHeight="1">
      <c r="A22" s="137" t="s">
        <v>355</v>
      </c>
      <c r="B22" s="138" t="s">
        <v>375</v>
      </c>
    </row>
    <row r="23" spans="1:2" ht="18" customHeight="1">
      <c r="A23" s="139" t="s">
        <v>376</v>
      </c>
      <c r="B23" s="140" t="s">
        <v>377</v>
      </c>
    </row>
    <row r="24" spans="1:2" ht="18" customHeight="1">
      <c r="A24" s="139" t="s">
        <v>378</v>
      </c>
      <c r="B24" s="141" t="s">
        <v>379</v>
      </c>
    </row>
    <row r="25" spans="1:2" ht="18" customHeight="1">
      <c r="A25" s="139" t="s">
        <v>380</v>
      </c>
      <c r="B25" s="140" t="s">
        <v>381</v>
      </c>
    </row>
    <row r="26" spans="1:2" ht="18" customHeight="1">
      <c r="A26" s="139" t="s">
        <v>382</v>
      </c>
      <c r="B26" s="141" t="s">
        <v>383</v>
      </c>
    </row>
    <row r="27" spans="1:2" ht="18" customHeight="1">
      <c r="A27" s="139"/>
      <c r="B27" s="140"/>
    </row>
    <row r="28" spans="1:2" ht="24" customHeight="1">
      <c r="A28" s="137" t="s">
        <v>355</v>
      </c>
      <c r="B28" s="138" t="s">
        <v>384</v>
      </c>
    </row>
    <row r="29" spans="1:2" ht="18" customHeight="1">
      <c r="A29" s="139" t="s">
        <v>385</v>
      </c>
      <c r="B29" s="140" t="s">
        <v>386</v>
      </c>
    </row>
    <row r="30" spans="1:2" ht="18" customHeight="1">
      <c r="A30" s="139" t="s">
        <v>387</v>
      </c>
      <c r="B30" s="141" t="s">
        <v>388</v>
      </c>
    </row>
    <row r="31" spans="1:2" ht="18" customHeight="1">
      <c r="A31" s="139"/>
      <c r="B31" s="140"/>
    </row>
    <row r="32" spans="1:2" ht="24" customHeight="1">
      <c r="A32" s="137" t="s">
        <v>355</v>
      </c>
      <c r="B32" s="138" t="s">
        <v>389</v>
      </c>
    </row>
    <row r="33" spans="1:2" ht="18" customHeight="1">
      <c r="A33" s="139" t="s">
        <v>390</v>
      </c>
      <c r="B33" s="140" t="s">
        <v>391</v>
      </c>
    </row>
    <row r="34" spans="1:2" ht="18" customHeight="1">
      <c r="A34" s="139" t="s">
        <v>392</v>
      </c>
      <c r="B34" s="141" t="s">
        <v>393</v>
      </c>
    </row>
    <row r="35" spans="1:2" ht="18" customHeight="1">
      <c r="A35" s="139" t="s">
        <v>394</v>
      </c>
      <c r="B35" s="140" t="s">
        <v>395</v>
      </c>
    </row>
    <row r="36" spans="1:2" ht="18" customHeight="1">
      <c r="A36" s="139" t="s">
        <v>396</v>
      </c>
      <c r="B36" s="141" t="s">
        <v>397</v>
      </c>
    </row>
    <row r="37" spans="1:2" ht="18" customHeight="1">
      <c r="A37" s="139" t="s">
        <v>398</v>
      </c>
      <c r="B37" s="140" t="s">
        <v>399</v>
      </c>
    </row>
    <row r="38" spans="1:2" ht="18" customHeight="1">
      <c r="A38" s="139" t="s">
        <v>400</v>
      </c>
      <c r="B38" s="141" t="s">
        <v>401</v>
      </c>
    </row>
    <row r="39" spans="1:2" ht="18" customHeight="1">
      <c r="A39" s="139"/>
      <c r="B39" s="140"/>
    </row>
    <row r="40" spans="1:2" ht="24" customHeight="1">
      <c r="A40" s="137" t="s">
        <v>355</v>
      </c>
      <c r="B40" s="138" t="s">
        <v>402</v>
      </c>
    </row>
    <row r="41" spans="1:2" ht="18" customHeight="1">
      <c r="A41" s="139" t="s">
        <v>403</v>
      </c>
      <c r="B41" s="140" t="s">
        <v>404</v>
      </c>
    </row>
    <row r="42" spans="1:2" ht="18" customHeight="1">
      <c r="A42" s="139" t="s">
        <v>403</v>
      </c>
      <c r="B42" s="141" t="s">
        <v>405</v>
      </c>
    </row>
    <row r="43" spans="1:2" ht="18" customHeight="1">
      <c r="A43" s="139" t="s">
        <v>403</v>
      </c>
      <c r="B43" s="140" t="s">
        <v>406</v>
      </c>
    </row>
    <row r="44" spans="1:2" ht="18" customHeight="1">
      <c r="A44" s="139" t="s">
        <v>403</v>
      </c>
      <c r="B44" s="141" t="s">
        <v>407</v>
      </c>
    </row>
    <row r="46" spans="1:2" ht="25.5" customHeight="1">
      <c r="A46" s="137" t="s">
        <v>355</v>
      </c>
      <c r="B46" s="138" t="s">
        <v>408</v>
      </c>
    </row>
    <row r="47" spans="1:2" ht="19.5" customHeight="1">
      <c r="A47" s="142" t="s">
        <v>148</v>
      </c>
      <c r="B47" s="143" t="s">
        <v>409</v>
      </c>
    </row>
    <row r="48" spans="1:2" ht="19.5" customHeight="1">
      <c r="A48" s="142" t="s">
        <v>148</v>
      </c>
      <c r="B48" s="144" t="s">
        <v>410</v>
      </c>
    </row>
    <row r="49" spans="1:2" ht="19.5" customHeight="1">
      <c r="A49" s="142" t="s">
        <v>148</v>
      </c>
      <c r="B49" s="143" t="s">
        <v>411</v>
      </c>
    </row>
    <row r="50" spans="1:2" ht="19.5" customHeight="1">
      <c r="A50" s="142" t="s">
        <v>148</v>
      </c>
      <c r="B50" s="144" t="s">
        <v>412</v>
      </c>
    </row>
    <row r="51" spans="1:2" ht="19.5" customHeight="1">
      <c r="A51" s="139"/>
      <c r="B51" s="140"/>
    </row>
    <row r="52" spans="1:2" ht="25.5" customHeight="1">
      <c r="A52" s="137" t="s">
        <v>355</v>
      </c>
      <c r="B52" s="138" t="s">
        <v>413</v>
      </c>
    </row>
    <row r="53" spans="1:2" ht="19.5" customHeight="1">
      <c r="A53" s="139" t="s">
        <v>376</v>
      </c>
      <c r="B53" s="140" t="s">
        <v>414</v>
      </c>
    </row>
    <row r="54" spans="1:2" ht="19.5" customHeight="1">
      <c r="A54" s="139" t="s">
        <v>378</v>
      </c>
      <c r="B54" s="141" t="s">
        <v>415</v>
      </c>
    </row>
    <row r="55" spans="1:2" ht="19.5" customHeight="1">
      <c r="A55" s="139" t="s">
        <v>380</v>
      </c>
      <c r="B55" s="140" t="s">
        <v>416</v>
      </c>
    </row>
    <row r="56" spans="1:2" ht="19.5" customHeight="1">
      <c r="A56" s="139" t="s">
        <v>382</v>
      </c>
      <c r="B56" s="141" t="s">
        <v>417</v>
      </c>
    </row>
    <row r="57" spans="1:2" ht="19.5" customHeight="1">
      <c r="A57" s="139" t="s">
        <v>418</v>
      </c>
      <c r="B57" s="140" t="s">
        <v>419</v>
      </c>
    </row>
    <row r="58" spans="1:2" ht="19.5" customHeight="1">
      <c r="A58" s="139" t="s">
        <v>420</v>
      </c>
      <c r="B58" s="141" t="s">
        <v>421</v>
      </c>
    </row>
    <row r="59" spans="1:2" ht="19.5" customHeight="1">
      <c r="A59" s="139" t="s">
        <v>422</v>
      </c>
      <c r="B59" s="140" t="s">
        <v>423</v>
      </c>
    </row>
    <row r="62" spans="1:2" ht="15" customHeight="1">
      <c r="A62" s="17" t="s">
        <v>424</v>
      </c>
    </row>
    <row r="63" spans="1:2" ht="15" customHeight="1">
      <c r="A63" s="145" t="s">
        <v>425</v>
      </c>
      <c r="B63" s="146" t="s">
        <v>426</v>
      </c>
    </row>
    <row r="64" spans="1:2" ht="15" customHeight="1">
      <c r="A64" s="145" t="s">
        <v>427</v>
      </c>
      <c r="B64" s="146" t="s">
        <v>428</v>
      </c>
    </row>
    <row r="65" spans="1:1" ht="15" customHeight="1">
      <c r="A65" s="147" t="s">
        <v>429</v>
      </c>
    </row>
    <row r="67" spans="1:1" ht="15" customHeight="1">
      <c r="A67" s="46" t="s">
        <v>430</v>
      </c>
    </row>
  </sheetData>
  <sheetProtection algorithmName="SHA-512" hashValue="/2zbah8nGHZ6Q4BCLCHU4vyxAqprff6GBI6/NqoYuoPPVYlMQGRXPt8n+Sz+8JhH+CVIO6xAdwJ4aQqP2/2W9w==" saltValue="1j+M9QoIKcW2FHBHL+1QKw==" spinCount="100000" sheet="1" objects="1" scenarios="1" autoFilter="0"/>
  <mergeCells count="1">
    <mergeCell ref="A1:B1"/>
  </mergeCells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4E342E"/>
  </sheetPr>
  <dimension ref="A1:B29"/>
  <sheetViews>
    <sheetView view="pageBreakPreview" zoomScale="85" zoomScaleNormal="100" zoomScaleSheetLayoutView="85" workbookViewId="0">
      <selection sqref="A1:B29"/>
    </sheetView>
  </sheetViews>
  <sheetFormatPr defaultColWidth="8.7109375" defaultRowHeight="15"/>
  <cols>
    <col min="1" max="1" width="32" style="1" customWidth="1"/>
    <col min="2" max="2" width="105" style="1" customWidth="1"/>
  </cols>
  <sheetData>
    <row r="1" spans="1:2" ht="27.75" customHeight="1">
      <c r="A1" s="193" t="s">
        <v>431</v>
      </c>
      <c r="B1" s="187"/>
    </row>
    <row r="2" spans="1:2" ht="27.75" customHeight="1">
      <c r="A2" s="270" t="s">
        <v>432</v>
      </c>
      <c r="B2" s="218"/>
    </row>
    <row r="3" spans="1:2" ht="27.75" customHeight="1">
      <c r="A3" s="148" t="s">
        <v>433</v>
      </c>
      <c r="B3" s="149" t="s">
        <v>434</v>
      </c>
    </row>
    <row r="4" spans="1:2" ht="279.75" customHeight="1">
      <c r="A4" s="148" t="s">
        <v>435</v>
      </c>
      <c r="B4" s="149" t="s">
        <v>436</v>
      </c>
    </row>
    <row r="5" spans="1:2" ht="69.75" customHeight="1">
      <c r="A5" s="148" t="s">
        <v>437</v>
      </c>
      <c r="B5" s="149" t="s">
        <v>438</v>
      </c>
    </row>
    <row r="6" spans="1:2" ht="294" customHeight="1">
      <c r="A6" s="148" t="s">
        <v>439</v>
      </c>
      <c r="B6" s="149" t="s">
        <v>440</v>
      </c>
    </row>
    <row r="7" spans="1:2" ht="307.5" customHeight="1">
      <c r="A7" s="148" t="s">
        <v>441</v>
      </c>
      <c r="B7" s="149" t="s">
        <v>442</v>
      </c>
    </row>
    <row r="8" spans="1:2" ht="153.75" customHeight="1">
      <c r="A8" s="148" t="s">
        <v>443</v>
      </c>
      <c r="B8" s="149" t="s">
        <v>444</v>
      </c>
    </row>
    <row r="9" spans="1:2" ht="409.6" customHeight="1">
      <c r="A9" s="148" t="s">
        <v>445</v>
      </c>
      <c r="B9" s="149" t="s">
        <v>446</v>
      </c>
    </row>
    <row r="10" spans="1:2" ht="27.75" customHeight="1">
      <c r="A10" s="270" t="s">
        <v>447</v>
      </c>
      <c r="B10" s="218"/>
    </row>
    <row r="11" spans="1:2" ht="139.5" customHeight="1">
      <c r="A11" s="148" t="s">
        <v>448</v>
      </c>
      <c r="B11" s="149" t="s">
        <v>449</v>
      </c>
    </row>
    <row r="12" spans="1:2" ht="27.75" customHeight="1">
      <c r="A12" s="270" t="s">
        <v>450</v>
      </c>
      <c r="B12" s="218"/>
    </row>
    <row r="13" spans="1:2" ht="69.75" customHeight="1">
      <c r="A13" s="148" t="s">
        <v>451</v>
      </c>
      <c r="B13" s="149" t="s">
        <v>452</v>
      </c>
    </row>
    <row r="14" spans="1:2" ht="27.75" customHeight="1">
      <c r="A14" s="270" t="s">
        <v>453</v>
      </c>
      <c r="B14" s="218"/>
    </row>
    <row r="15" spans="1:2" ht="405.75" customHeight="1">
      <c r="A15" s="148" t="s">
        <v>454</v>
      </c>
      <c r="B15" s="149" t="s">
        <v>455</v>
      </c>
    </row>
    <row r="16" spans="1:2" ht="409.6" customHeight="1">
      <c r="A16" s="148" t="s">
        <v>456</v>
      </c>
      <c r="B16" s="149" t="s">
        <v>457</v>
      </c>
    </row>
    <row r="17" spans="1:2" ht="363.75" customHeight="1">
      <c r="A17" s="148" t="s">
        <v>458</v>
      </c>
      <c r="B17" s="149" t="s">
        <v>459</v>
      </c>
    </row>
    <row r="18" spans="1:2" ht="409.6" customHeight="1">
      <c r="A18" s="148" t="s">
        <v>460</v>
      </c>
      <c r="B18" s="149" t="s">
        <v>461</v>
      </c>
    </row>
    <row r="19" spans="1:2" ht="409.6" customHeight="1">
      <c r="A19" s="148" t="s">
        <v>462</v>
      </c>
      <c r="B19" s="149" t="s">
        <v>463</v>
      </c>
    </row>
    <row r="20" spans="1:2" ht="27.75" customHeight="1">
      <c r="A20" s="270" t="s">
        <v>464</v>
      </c>
      <c r="B20" s="218"/>
    </row>
    <row r="21" spans="1:2" ht="27.75" customHeight="1">
      <c r="A21" s="148" t="s">
        <v>465</v>
      </c>
      <c r="B21" s="149" t="s">
        <v>466</v>
      </c>
    </row>
    <row r="22" spans="1:2" ht="55.5" customHeight="1">
      <c r="A22" s="148" t="s">
        <v>467</v>
      </c>
      <c r="B22" s="149" t="s">
        <v>468</v>
      </c>
    </row>
    <row r="23" spans="1:2" ht="84" customHeight="1">
      <c r="A23" s="148" t="s">
        <v>469</v>
      </c>
      <c r="B23" s="149" t="s">
        <v>470</v>
      </c>
    </row>
    <row r="24" spans="1:2" ht="69.75" customHeight="1">
      <c r="A24" s="148" t="s">
        <v>471</v>
      </c>
      <c r="B24" s="149" t="s">
        <v>472</v>
      </c>
    </row>
    <row r="25" spans="1:2" ht="84" customHeight="1">
      <c r="A25" s="148" t="s">
        <v>473</v>
      </c>
      <c r="B25" s="149" t="s">
        <v>474</v>
      </c>
    </row>
    <row r="26" spans="1:2" ht="321.75" customHeight="1">
      <c r="A26" s="148" t="s">
        <v>475</v>
      </c>
      <c r="B26" s="149" t="s">
        <v>476</v>
      </c>
    </row>
    <row r="28" spans="1:2" ht="27.75" customHeight="1">
      <c r="A28" s="269" t="s">
        <v>477</v>
      </c>
      <c r="B28" s="202"/>
    </row>
    <row r="29" spans="1:2" ht="409.6" customHeight="1">
      <c r="A29" s="150" t="s">
        <v>478</v>
      </c>
      <c r="B29" s="151" t="s">
        <v>479</v>
      </c>
    </row>
  </sheetData>
  <sheetProtection algorithmName="SHA-512" hashValue="pBISznhjM3bt52TW96koh4yKsShNAZmjtA3WoqQfloqMuhY+K4jziSDUdLkuyE1fyjy9VSf4WpCyAbZDcupDBg==" saltValue="B22dhDZN0dpO1d8u+Oan0w==" spinCount="100000" sheet="1" objects="1" scenarios="1" autoFilter="0"/>
  <mergeCells count="7">
    <mergeCell ref="A28:B28"/>
    <mergeCell ref="A14:B14"/>
    <mergeCell ref="A1:B1"/>
    <mergeCell ref="A12:B12"/>
    <mergeCell ref="A20:B20"/>
    <mergeCell ref="A2:B2"/>
    <mergeCell ref="A10:B10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263238"/>
  </sheetPr>
  <dimension ref="A1:E22"/>
  <sheetViews>
    <sheetView zoomScaleNormal="100" workbookViewId="0">
      <selection activeCell="E13" sqref="A1:E13"/>
    </sheetView>
  </sheetViews>
  <sheetFormatPr defaultColWidth="8.7109375" defaultRowHeight="15"/>
  <cols>
    <col min="1" max="2" width="20" style="1" customWidth="1"/>
    <col min="3" max="3" width="22" style="1" customWidth="1"/>
    <col min="4" max="4" width="58" style="1" customWidth="1"/>
    <col min="5" max="5" width="20" style="1" customWidth="1"/>
  </cols>
  <sheetData>
    <row r="1" spans="1:5" ht="27.75" customHeight="1">
      <c r="A1" s="272" t="s">
        <v>480</v>
      </c>
      <c r="B1" s="187"/>
      <c r="C1" s="187"/>
      <c r="D1" s="187"/>
      <c r="E1" s="187"/>
    </row>
    <row r="2" spans="1:5" ht="15" customHeight="1">
      <c r="A2" s="271" t="s">
        <v>481</v>
      </c>
      <c r="B2" s="187"/>
      <c r="C2" s="187"/>
      <c r="D2" s="187"/>
      <c r="E2" s="187"/>
    </row>
    <row r="3" spans="1:5" ht="24" customHeight="1">
      <c r="A3" s="152" t="s">
        <v>482</v>
      </c>
      <c r="B3" s="152" t="s">
        <v>483</v>
      </c>
      <c r="C3" s="152" t="s">
        <v>484</v>
      </c>
      <c r="D3" s="152" t="s">
        <v>485</v>
      </c>
      <c r="E3" s="152" t="s">
        <v>486</v>
      </c>
    </row>
    <row r="4" spans="1:5" ht="16.5" customHeight="1">
      <c r="A4" s="153" t="s">
        <v>487</v>
      </c>
      <c r="B4" s="154" t="s">
        <v>488</v>
      </c>
      <c r="C4" s="154" t="s">
        <v>489</v>
      </c>
      <c r="D4" s="155" t="s">
        <v>490</v>
      </c>
      <c r="E4" s="154" t="s">
        <v>491</v>
      </c>
    </row>
    <row r="5" spans="1:5" ht="16.5" customHeight="1">
      <c r="A5" s="156" t="s">
        <v>492</v>
      </c>
      <c r="B5" s="157" t="s">
        <v>488</v>
      </c>
      <c r="C5" s="157" t="s">
        <v>489</v>
      </c>
      <c r="D5" s="158" t="s">
        <v>493</v>
      </c>
      <c r="E5" s="157" t="s">
        <v>491</v>
      </c>
    </row>
    <row r="6" spans="1:5" ht="16.5" customHeight="1">
      <c r="A6" s="153" t="s">
        <v>494</v>
      </c>
      <c r="B6" s="154" t="s">
        <v>488</v>
      </c>
      <c r="C6" s="154" t="s">
        <v>495</v>
      </c>
      <c r="D6" s="155" t="s">
        <v>496</v>
      </c>
      <c r="E6" s="154" t="s">
        <v>491</v>
      </c>
    </row>
    <row r="7" spans="1:5" ht="16.5" customHeight="1">
      <c r="A7" s="156" t="s">
        <v>497</v>
      </c>
      <c r="B7" s="157" t="s">
        <v>488</v>
      </c>
      <c r="C7" s="157" t="s">
        <v>495</v>
      </c>
      <c r="D7" s="158" t="s">
        <v>498</v>
      </c>
      <c r="E7" s="157" t="s">
        <v>491</v>
      </c>
    </row>
    <row r="8" spans="1:5" ht="16.5" customHeight="1">
      <c r="A8" s="153" t="s">
        <v>499</v>
      </c>
      <c r="B8" s="154" t="s">
        <v>488</v>
      </c>
      <c r="C8" s="154" t="s">
        <v>495</v>
      </c>
      <c r="D8" s="155" t="s">
        <v>500</v>
      </c>
      <c r="E8" s="154" t="s">
        <v>491</v>
      </c>
    </row>
    <row r="9" spans="1:5" ht="16.5" customHeight="1">
      <c r="A9" s="156" t="s">
        <v>501</v>
      </c>
      <c r="B9" s="157" t="s">
        <v>488</v>
      </c>
      <c r="C9" s="157" t="s">
        <v>502</v>
      </c>
      <c r="D9" s="158" t="s">
        <v>503</v>
      </c>
      <c r="E9" s="157" t="s">
        <v>491</v>
      </c>
    </row>
    <row r="10" spans="1:5" ht="16.5" customHeight="1">
      <c r="A10" s="153" t="s">
        <v>504</v>
      </c>
      <c r="B10" s="154"/>
      <c r="C10" s="154"/>
      <c r="D10" s="155"/>
      <c r="E10" s="154"/>
    </row>
    <row r="12" spans="1:5" ht="24" customHeight="1">
      <c r="A12" s="273" t="s">
        <v>505</v>
      </c>
      <c r="B12" s="187"/>
      <c r="C12" s="187"/>
      <c r="D12" s="187"/>
      <c r="E12" s="187"/>
    </row>
    <row r="13" spans="1:5">
      <c r="A13" s="161">
        <v>46137</v>
      </c>
      <c r="B13" s="162">
        <v>0.40958333333333335</v>
      </c>
      <c r="C13" s="1" t="s">
        <v>528</v>
      </c>
      <c r="D13" s="1" t="s">
        <v>529</v>
      </c>
      <c r="E13" s="1" t="s">
        <v>527</v>
      </c>
    </row>
    <row r="14" spans="1:5">
      <c r="A14" s="161">
        <v>46137</v>
      </c>
      <c r="B14" s="162">
        <v>0.53903935185185181</v>
      </c>
      <c r="C14" s="1" t="s">
        <v>528</v>
      </c>
      <c r="D14" s="1" t="s">
        <v>529</v>
      </c>
      <c r="E14" s="1" t="s">
        <v>527</v>
      </c>
    </row>
    <row r="15" spans="1:5">
      <c r="A15" s="161">
        <v>46137</v>
      </c>
      <c r="B15" s="162">
        <v>0.89533564814814814</v>
      </c>
      <c r="C15" s="1" t="s">
        <v>528</v>
      </c>
      <c r="D15" s="1" t="s">
        <v>530</v>
      </c>
      <c r="E15" s="1" t="s">
        <v>527</v>
      </c>
    </row>
    <row r="16" spans="1:5">
      <c r="A16" s="161">
        <v>46138</v>
      </c>
      <c r="B16" s="162">
        <v>0.42469907407407409</v>
      </c>
      <c r="C16" s="1" t="s">
        <v>528</v>
      </c>
      <c r="D16" s="1" t="s">
        <v>530</v>
      </c>
      <c r="E16" s="1" t="s">
        <v>574</v>
      </c>
    </row>
    <row r="17" spans="1:5">
      <c r="A17" s="161">
        <v>46138</v>
      </c>
      <c r="B17" s="162">
        <v>0.42818287037037034</v>
      </c>
      <c r="C17" s="1" t="s">
        <v>528</v>
      </c>
      <c r="D17" s="1" t="s">
        <v>529</v>
      </c>
      <c r="E17" s="1" t="s">
        <v>575</v>
      </c>
    </row>
    <row r="18" spans="1:5">
      <c r="A18" s="161">
        <v>46138</v>
      </c>
      <c r="B18" s="162">
        <v>0.43094907407407407</v>
      </c>
      <c r="C18" s="1" t="s">
        <v>528</v>
      </c>
      <c r="D18" s="1" t="s">
        <v>529</v>
      </c>
      <c r="E18" s="1" t="s">
        <v>575</v>
      </c>
    </row>
    <row r="19" spans="1:5">
      <c r="A19" s="161">
        <v>46138</v>
      </c>
      <c r="B19" s="162">
        <v>0.43730324074074073</v>
      </c>
      <c r="C19" s="1" t="s">
        <v>528</v>
      </c>
      <c r="D19" s="1" t="s">
        <v>529</v>
      </c>
      <c r="E19" s="1" t="s">
        <v>575</v>
      </c>
    </row>
    <row r="20" spans="1:5">
      <c r="A20" s="161">
        <v>46138</v>
      </c>
      <c r="B20" s="162">
        <v>0.46271990740740737</v>
      </c>
      <c r="C20" s="1" t="s">
        <v>528</v>
      </c>
      <c r="D20" s="1" t="s">
        <v>529</v>
      </c>
      <c r="E20" s="1" t="s">
        <v>575</v>
      </c>
    </row>
    <row r="21" spans="1:5">
      <c r="A21" s="161">
        <v>46138</v>
      </c>
      <c r="B21" s="162">
        <v>0.47091435185185188</v>
      </c>
      <c r="C21" s="1" t="s">
        <v>528</v>
      </c>
      <c r="D21" s="1" t="s">
        <v>530</v>
      </c>
      <c r="E21" s="1" t="s">
        <v>575</v>
      </c>
    </row>
    <row r="22" spans="1:5">
      <c r="A22" s="161">
        <v>46138</v>
      </c>
      <c r="B22" s="162">
        <v>0.4773148148148148</v>
      </c>
      <c r="C22" s="1" t="s">
        <v>528</v>
      </c>
      <c r="D22" s="1" t="s">
        <v>530</v>
      </c>
      <c r="E22" s="1" t="s">
        <v>701</v>
      </c>
    </row>
  </sheetData>
  <sheetProtection algorithmName="SHA-512" hashValue="dTwpVtmm5n3KUgzyinX8RORFuiOnzoLZ74yyde1GUoLsHVXneRZw5Df5dKCnj2sJ0jptBakHG5fsD3SxfTwKaA==" saltValue="V8j9TDbHkNBZ5XqKVP6oig==" spinCount="100000" sheet="1" objects="1" scenarios="1" autoFilter="0"/>
  <mergeCells count="3">
    <mergeCell ref="A2:E2"/>
    <mergeCell ref="A1:E1"/>
    <mergeCell ref="A12:E12"/>
  </mergeCells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913BA-A9BD-4468-A43D-E84CCBCAAD73}">
  <sheetPr codeName="Sheet19">
    <tabColor rgb="FF00467F"/>
  </sheetPr>
  <dimension ref="B1:J11"/>
  <sheetViews>
    <sheetView workbookViewId="0">
      <pane ySplit="5" topLeftCell="A6" activePane="bottomLeft" state="frozen"/>
      <selection pane="bottomLeft" sqref="A1:I6"/>
    </sheetView>
  </sheetViews>
  <sheetFormatPr defaultRowHeight="15"/>
  <cols>
    <col min="1" max="2" width="9.140625" style="163"/>
    <col min="3" max="3" width="16" style="163" bestFit="1" customWidth="1"/>
    <col min="4" max="4" width="4.5703125" style="163" bestFit="1" customWidth="1"/>
    <col min="5" max="5" width="11.5703125" style="163" bestFit="1" customWidth="1"/>
    <col min="6" max="6" width="5.7109375" style="163" bestFit="1" customWidth="1"/>
    <col min="7" max="7" width="13.7109375" style="163" bestFit="1" customWidth="1"/>
    <col min="8" max="8" width="9.140625" style="163"/>
    <col min="9" max="9" width="6.5703125" style="163" bestFit="1" customWidth="1"/>
    <col min="10" max="10" width="17" style="163" bestFit="1" customWidth="1"/>
    <col min="11" max="16384" width="9.140625" style="163"/>
  </cols>
  <sheetData>
    <row r="1" spans="2:10" ht="30" customHeight="1">
      <c r="B1" s="173" t="s">
        <v>554</v>
      </c>
    </row>
    <row r="2" spans="2:10" ht="15.75">
      <c r="B2" s="165" t="s">
        <v>531</v>
      </c>
      <c r="C2" s="166">
        <v>15</v>
      </c>
      <c r="D2" s="171" t="s">
        <v>518</v>
      </c>
      <c r="E2" s="171" t="s">
        <v>536</v>
      </c>
      <c r="F2" s="171" t="s">
        <v>537</v>
      </c>
      <c r="G2" s="171" t="s">
        <v>538</v>
      </c>
      <c r="I2" s="170" t="s">
        <v>77</v>
      </c>
      <c r="J2" s="170" t="s">
        <v>544</v>
      </c>
    </row>
    <row r="3" spans="2:10" ht="15.75">
      <c r="B3" s="165" t="s">
        <v>532</v>
      </c>
      <c r="C3" s="167">
        <v>3</v>
      </c>
      <c r="D3" s="172" t="s">
        <v>539</v>
      </c>
      <c r="E3" s="172"/>
      <c r="F3" s="172">
        <v>10</v>
      </c>
      <c r="G3" s="172" t="s">
        <v>510</v>
      </c>
      <c r="I3" s="172" t="s">
        <v>545</v>
      </c>
      <c r="J3" s="172">
        <v>8</v>
      </c>
    </row>
    <row r="4" spans="2:10" ht="6" customHeight="1">
      <c r="B4" s="165" t="s">
        <v>533</v>
      </c>
      <c r="C4" s="168">
        <v>9</v>
      </c>
      <c r="D4" s="172" t="s">
        <v>539</v>
      </c>
      <c r="E4" s="172"/>
      <c r="F4" s="172">
        <v>1</v>
      </c>
      <c r="G4" s="172" t="s">
        <v>540</v>
      </c>
      <c r="I4" s="172" t="s">
        <v>546</v>
      </c>
      <c r="J4" s="172">
        <v>4</v>
      </c>
    </row>
    <row r="5" spans="2:10" ht="36" customHeight="1">
      <c r="B5" s="165" t="s">
        <v>534</v>
      </c>
      <c r="C5" s="169">
        <v>463380</v>
      </c>
      <c r="D5" s="172" t="s">
        <v>539</v>
      </c>
      <c r="E5" s="172"/>
      <c r="F5" s="172">
        <v>6</v>
      </c>
      <c r="G5" s="172" t="s">
        <v>541</v>
      </c>
      <c r="I5" s="172" t="s">
        <v>547</v>
      </c>
      <c r="J5" s="172">
        <v>16</v>
      </c>
    </row>
    <row r="6" spans="2:10">
      <c r="B6" s="165" t="s">
        <v>535</v>
      </c>
      <c r="C6" s="164">
        <v>0</v>
      </c>
      <c r="D6" s="172" t="s">
        <v>539</v>
      </c>
      <c r="E6" s="172"/>
      <c r="F6" s="172">
        <v>10</v>
      </c>
      <c r="G6" s="172" t="s">
        <v>542</v>
      </c>
      <c r="I6" s="172" t="s">
        <v>548</v>
      </c>
      <c r="J6" s="172">
        <v>0</v>
      </c>
    </row>
    <row r="7" spans="2:10">
      <c r="D7" s="172" t="s">
        <v>539</v>
      </c>
      <c r="E7" s="172"/>
      <c r="F7" s="172">
        <v>2</v>
      </c>
      <c r="G7" s="172" t="s">
        <v>543</v>
      </c>
      <c r="I7" s="172" t="s">
        <v>549</v>
      </c>
      <c r="J7" s="172">
        <v>0</v>
      </c>
    </row>
    <row r="8" spans="2:10">
      <c r="I8" s="172" t="s">
        <v>550</v>
      </c>
      <c r="J8" s="172">
        <v>0</v>
      </c>
    </row>
    <row r="9" spans="2:10">
      <c r="I9" s="172" t="s">
        <v>551</v>
      </c>
      <c r="J9" s="172">
        <v>0</v>
      </c>
    </row>
    <row r="10" spans="2:10">
      <c r="I10" s="172" t="s">
        <v>552</v>
      </c>
      <c r="J10" s="172">
        <v>0</v>
      </c>
    </row>
    <row r="11" spans="2:10">
      <c r="I11" s="172" t="s">
        <v>553</v>
      </c>
      <c r="J11" s="172">
        <v>2</v>
      </c>
    </row>
  </sheetData>
  <sheetProtection algorithmName="SHA-512" hashValue="nErCIMn5smcnjIEzjGLFEuh6zaPzFucjabGSyjp1b9FRWDZpdsHar+TwM+A1XAnwnKDHgz6k4EuEHwwzFbwFVA==" saltValue="gN1ZKlw4WBldg8SDbRpwuA==" spinCount="100000" sheet="1" objects="1" scenarios="1" autoFilter="0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6DDC5-420F-4523-89ED-B5743B2423B4}">
  <sheetPr codeName="Sheet21">
    <tabColor rgb="FF9B59B6"/>
  </sheetPr>
  <dimension ref="A1:D6"/>
  <sheetViews>
    <sheetView workbookViewId="0">
      <selection sqref="A1:F16"/>
    </sheetView>
  </sheetViews>
  <sheetFormatPr defaultRowHeight="15"/>
  <sheetData>
    <row r="1" spans="1:4" ht="18.75">
      <c r="A1" s="274" t="s">
        <v>511</v>
      </c>
      <c r="B1" s="187"/>
      <c r="C1" s="187"/>
      <c r="D1" s="187"/>
    </row>
    <row r="3" spans="1:4">
      <c r="A3" t="s">
        <v>512</v>
      </c>
    </row>
    <row r="4" spans="1:4">
      <c r="A4" t="s">
        <v>513</v>
      </c>
      <c r="B4" t="s">
        <v>171</v>
      </c>
    </row>
    <row r="5" spans="1:4">
      <c r="A5" t="s">
        <v>514</v>
      </c>
      <c r="B5">
        <v>0</v>
      </c>
    </row>
    <row r="6" spans="1:4">
      <c r="A6" t="s">
        <v>515</v>
      </c>
    </row>
  </sheetData>
  <sheetProtection algorithmName="SHA-512" hashValue="/bNLP3ml+V2SRlWT8allbPGpUIfZE12k8V0XARbp4hbWIpZthlXJzlW/bv2IdkfVEyg5KwRo/FJe3Udz9dnpCA==" saltValue="hnHFDEFaPUPInTA8MfBVHw==" spinCount="100000" sheet="1" objects="1" scenarios="1" autoFilter="0"/>
  <mergeCells count="1">
    <mergeCell ref="A1:D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9675-D45F-4D68-AB35-365557807DC7}">
  <sheetPr codeName="Sheet20"/>
  <dimension ref="A1:G13"/>
  <sheetViews>
    <sheetView workbookViewId="0"/>
  </sheetViews>
  <sheetFormatPr defaultRowHeight="15"/>
  <cols>
    <col min="1" max="1" width="8.140625" style="174" bestFit="1" customWidth="1"/>
    <col min="2" max="2" width="27.42578125" style="174" bestFit="1" customWidth="1"/>
    <col min="3" max="3" width="11.85546875" style="174" bestFit="1" customWidth="1"/>
    <col min="4" max="4" width="9.5703125" style="174" bestFit="1" customWidth="1"/>
    <col min="5" max="5" width="16.5703125" style="174" bestFit="1" customWidth="1"/>
    <col min="6" max="6" width="12.140625" style="174" bestFit="1" customWidth="1"/>
    <col min="7" max="7" width="17.5703125" style="174" bestFit="1" customWidth="1"/>
    <col min="8" max="16384" width="9.140625" style="174"/>
  </cols>
  <sheetData>
    <row r="1" spans="1:7">
      <c r="A1" s="176" t="s">
        <v>518</v>
      </c>
      <c r="B1" s="176" t="s">
        <v>536</v>
      </c>
      <c r="C1" s="176" t="s">
        <v>200</v>
      </c>
      <c r="D1" s="176" t="s">
        <v>555</v>
      </c>
      <c r="E1" s="176" t="s">
        <v>556</v>
      </c>
      <c r="F1" s="176" t="s">
        <v>557</v>
      </c>
      <c r="G1" s="176" t="s">
        <v>558</v>
      </c>
    </row>
    <row r="2" spans="1:7">
      <c r="A2" s="177" t="s">
        <v>560</v>
      </c>
      <c r="B2" s="177" t="s">
        <v>561</v>
      </c>
      <c r="C2" s="177">
        <v>10</v>
      </c>
      <c r="D2" s="177">
        <v>51.07</v>
      </c>
      <c r="E2" s="177">
        <v>38</v>
      </c>
      <c r="F2" s="179">
        <v>450</v>
      </c>
      <c r="G2" s="179">
        <v>17320.5</v>
      </c>
    </row>
    <row r="3" spans="1:7">
      <c r="A3" s="177" t="s">
        <v>55</v>
      </c>
      <c r="B3" s="177" t="s">
        <v>562</v>
      </c>
      <c r="C3" s="177">
        <v>42</v>
      </c>
      <c r="D3" s="177">
        <v>53.8</v>
      </c>
      <c r="E3" s="177">
        <v>39</v>
      </c>
      <c r="F3" s="179">
        <v>1600</v>
      </c>
      <c r="G3" s="179">
        <v>61648</v>
      </c>
    </row>
    <row r="4" spans="1:7">
      <c r="A4" s="177" t="s">
        <v>58</v>
      </c>
      <c r="B4" s="177" t="s">
        <v>563</v>
      </c>
      <c r="C4" s="177">
        <v>6</v>
      </c>
      <c r="D4" s="177">
        <v>50.8</v>
      </c>
      <c r="E4" s="177">
        <v>129</v>
      </c>
      <c r="F4" s="179">
        <v>30</v>
      </c>
      <c r="G4" s="179">
        <v>3873</v>
      </c>
    </row>
    <row r="5" spans="1:7">
      <c r="A5" s="178" t="s">
        <v>59</v>
      </c>
      <c r="B5" s="178" t="s">
        <v>564</v>
      </c>
      <c r="C5" s="178">
        <v>4</v>
      </c>
      <c r="D5" s="178">
        <v>50.4</v>
      </c>
      <c r="E5" s="178">
        <v>60</v>
      </c>
      <c r="F5" s="180">
        <v>70</v>
      </c>
      <c r="G5" s="180">
        <v>4183.2</v>
      </c>
    </row>
    <row r="6" spans="1:7">
      <c r="A6" s="178" t="s">
        <v>61</v>
      </c>
      <c r="B6" s="178" t="s">
        <v>565</v>
      </c>
      <c r="C6" s="178">
        <v>1</v>
      </c>
      <c r="D6" s="178">
        <v>51.27</v>
      </c>
      <c r="E6" s="178">
        <v>19</v>
      </c>
      <c r="F6" s="180">
        <v>2200</v>
      </c>
      <c r="G6" s="180">
        <v>41734</v>
      </c>
    </row>
    <row r="7" spans="1:7">
      <c r="A7" s="177" t="s">
        <v>566</v>
      </c>
      <c r="B7" s="177" t="s">
        <v>567</v>
      </c>
      <c r="C7" s="177">
        <v>12</v>
      </c>
      <c r="D7" s="177">
        <v>50.13</v>
      </c>
      <c r="E7" s="177">
        <v>12</v>
      </c>
      <c r="F7" s="179">
        <v>550</v>
      </c>
      <c r="G7" s="179">
        <v>6770.5</v>
      </c>
    </row>
    <row r="8" spans="1:7">
      <c r="A8" s="178" t="s">
        <v>64</v>
      </c>
      <c r="B8" s="178" t="s">
        <v>568</v>
      </c>
      <c r="C8" s="178">
        <v>2</v>
      </c>
      <c r="D8" s="178">
        <v>50.2</v>
      </c>
      <c r="E8" s="178">
        <v>11</v>
      </c>
      <c r="F8" s="180">
        <v>950</v>
      </c>
      <c r="G8" s="180">
        <v>10896.5</v>
      </c>
    </row>
    <row r="9" spans="1:7">
      <c r="A9" s="177" t="s">
        <v>66</v>
      </c>
      <c r="B9" s="177" t="s">
        <v>569</v>
      </c>
      <c r="C9" s="177">
        <v>25</v>
      </c>
      <c r="D9" s="177">
        <v>50.07</v>
      </c>
      <c r="E9" s="177">
        <v>8</v>
      </c>
      <c r="F9" s="179">
        <v>600</v>
      </c>
      <c r="G9" s="179">
        <v>4998</v>
      </c>
    </row>
    <row r="10" spans="1:7">
      <c r="A10" s="177" t="s">
        <v>68</v>
      </c>
      <c r="B10" s="177" t="s">
        <v>570</v>
      </c>
      <c r="C10" s="177">
        <v>4</v>
      </c>
      <c r="D10" s="177">
        <v>50.4</v>
      </c>
      <c r="E10" s="177">
        <v>18</v>
      </c>
      <c r="F10" s="179">
        <v>750</v>
      </c>
      <c r="G10" s="179">
        <v>13695</v>
      </c>
    </row>
    <row r="11" spans="1:7">
      <c r="A11" s="177" t="s">
        <v>571</v>
      </c>
      <c r="B11" s="177" t="s">
        <v>572</v>
      </c>
      <c r="C11" s="177">
        <v>39</v>
      </c>
      <c r="D11" s="177">
        <v>50.27</v>
      </c>
      <c r="E11" s="177">
        <v>6</v>
      </c>
      <c r="F11" s="179">
        <v>4500</v>
      </c>
      <c r="G11" s="179">
        <v>27405</v>
      </c>
    </row>
    <row r="12" spans="1:7">
      <c r="A12" s="177" t="s">
        <v>69</v>
      </c>
      <c r="B12" s="177" t="s">
        <v>573</v>
      </c>
      <c r="C12" s="177">
        <v>28</v>
      </c>
      <c r="D12" s="177">
        <v>50.27</v>
      </c>
      <c r="E12" s="177">
        <v>24</v>
      </c>
      <c r="F12" s="179">
        <v>300</v>
      </c>
      <c r="G12" s="179">
        <v>7071</v>
      </c>
    </row>
    <row r="13" spans="1:7">
      <c r="F13" s="175" t="s">
        <v>559</v>
      </c>
      <c r="G13" s="181">
        <f>SUM(G2:G12)</f>
        <v>199594.7</v>
      </c>
    </row>
  </sheetData>
  <sheetProtection algorithmName="SHA-512" hashValue="JWrfrEmMu5ZcgyeTWVWHyDdjsmvQbZRJy+h2uMdDmrCp555knSS3T7cdWIMDCV3BnXfFnY8iyDOcBJIPEZRFPw==" saltValue="ROyNPKCTfXXSjwSUcySywg==" spinCount="100000" sheet="1" objects="1" scenarios="1" autoFilter="0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2A372-EA75-4448-A22B-D6A8EBD470C6}">
  <sheetPr codeName="Sheet27">
    <tabColor rgb="FFE67E22"/>
  </sheetPr>
  <dimension ref="A1:F1"/>
  <sheetViews>
    <sheetView workbookViewId="0"/>
  </sheetViews>
  <sheetFormatPr defaultRowHeight="15"/>
  <sheetData>
    <row r="1" spans="1:6">
      <c r="A1" s="159" t="s">
        <v>516</v>
      </c>
      <c r="B1" s="159" t="s">
        <v>517</v>
      </c>
      <c r="C1" s="159" t="s">
        <v>518</v>
      </c>
      <c r="D1" s="159" t="s">
        <v>519</v>
      </c>
      <c r="E1" s="159" t="s">
        <v>520</v>
      </c>
      <c r="F1" s="159" t="s">
        <v>521</v>
      </c>
    </row>
  </sheetData>
  <sheetProtection algorithmName="SHA-512" hashValue="peoAr9SzReIbYnqAzpczsW0Wk3+igAavH8mUDL8FSjb/0gvPGLQ+Q/smEV1MIWGfNukpcIrlB6Ve/bnUahXfDA==" saltValue="+zmzjg5LtDohWW0Udu8V9w==" spinCount="100000" sheet="1" objects="1" scenarios="1" autoFilter="0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1D0C8-1F01-4D1F-B48A-AFF5F540E0E7}">
  <sheetPr codeName="Sheet28">
    <tabColor rgb="FF95A5A6"/>
  </sheetPr>
  <dimension ref="A1:B88"/>
  <sheetViews>
    <sheetView workbookViewId="0"/>
  </sheetViews>
  <sheetFormatPr defaultRowHeight="15"/>
  <cols>
    <col min="1" max="1" width="20.7109375" customWidth="1"/>
    <col min="2" max="2" width="35.7109375" customWidth="1"/>
  </cols>
  <sheetData>
    <row r="1" spans="1:2">
      <c r="A1" s="159" t="s">
        <v>522</v>
      </c>
      <c r="B1" s="159" t="s">
        <v>523</v>
      </c>
    </row>
    <row r="2" spans="1:2">
      <c r="A2" t="s">
        <v>577</v>
      </c>
      <c r="B2" t="s">
        <v>578</v>
      </c>
    </row>
    <row r="3" spans="1:2">
      <c r="A3" t="s">
        <v>524</v>
      </c>
      <c r="B3" t="s">
        <v>579</v>
      </c>
    </row>
    <row r="4" spans="1:2">
      <c r="A4" t="s">
        <v>509</v>
      </c>
      <c r="B4" t="s">
        <v>580</v>
      </c>
    </row>
    <row r="5" spans="1:2">
      <c r="A5" t="s">
        <v>508</v>
      </c>
      <c r="B5" t="s">
        <v>581</v>
      </c>
    </row>
    <row r="6" spans="1:2">
      <c r="A6" t="s">
        <v>582</v>
      </c>
      <c r="B6" t="s">
        <v>583</v>
      </c>
    </row>
    <row r="7" spans="1:2">
      <c r="A7" t="s">
        <v>584</v>
      </c>
      <c r="B7" t="s">
        <v>585</v>
      </c>
    </row>
    <row r="8" spans="1:2">
      <c r="A8" t="s">
        <v>586</v>
      </c>
      <c r="B8" t="s">
        <v>585</v>
      </c>
    </row>
    <row r="9" spans="1:2">
      <c r="A9" t="s">
        <v>587</v>
      </c>
      <c r="B9" t="s">
        <v>588</v>
      </c>
    </row>
    <row r="10" spans="1:2">
      <c r="A10" t="s">
        <v>589</v>
      </c>
      <c r="B10" t="s">
        <v>590</v>
      </c>
    </row>
    <row r="11" spans="1:2">
      <c r="A11" t="s">
        <v>591</v>
      </c>
      <c r="B11" t="s">
        <v>592</v>
      </c>
    </row>
    <row r="12" spans="1:2">
      <c r="A12" t="s">
        <v>593</v>
      </c>
      <c r="B12" t="s">
        <v>592</v>
      </c>
    </row>
    <row r="13" spans="1:2">
      <c r="A13" t="s">
        <v>594</v>
      </c>
      <c r="B13" t="s">
        <v>595</v>
      </c>
    </row>
    <row r="14" spans="1:2">
      <c r="A14" t="s">
        <v>596</v>
      </c>
      <c r="B14" t="s">
        <v>588</v>
      </c>
    </row>
    <row r="15" spans="1:2">
      <c r="A15" t="s">
        <v>597</v>
      </c>
      <c r="B15" t="s">
        <v>585</v>
      </c>
    </row>
    <row r="16" spans="1:2">
      <c r="A16" t="s">
        <v>598</v>
      </c>
      <c r="B16" t="s">
        <v>599</v>
      </c>
    </row>
    <row r="17" spans="1:2">
      <c r="A17" t="s">
        <v>600</v>
      </c>
      <c r="B17" t="s">
        <v>601</v>
      </c>
    </row>
    <row r="18" spans="1:2">
      <c r="A18" t="s">
        <v>602</v>
      </c>
      <c r="B18" t="s">
        <v>603</v>
      </c>
    </row>
    <row r="19" spans="1:2">
      <c r="A19" t="s">
        <v>604</v>
      </c>
      <c r="B19" t="s">
        <v>590</v>
      </c>
    </row>
    <row r="20" spans="1:2">
      <c r="A20" t="s">
        <v>605</v>
      </c>
      <c r="B20" t="s">
        <v>588</v>
      </c>
    </row>
    <row r="21" spans="1:2">
      <c r="A21" t="s">
        <v>606</v>
      </c>
      <c r="B21" t="s">
        <v>592</v>
      </c>
    </row>
    <row r="22" spans="1:2">
      <c r="A22" t="s">
        <v>607</v>
      </c>
      <c r="B22" t="s">
        <v>608</v>
      </c>
    </row>
    <row r="23" spans="1:2">
      <c r="A23" t="s">
        <v>609</v>
      </c>
      <c r="B23" t="s">
        <v>610</v>
      </c>
    </row>
    <row r="24" spans="1:2">
      <c r="A24" t="s">
        <v>611</v>
      </c>
      <c r="B24" t="s">
        <v>612</v>
      </c>
    </row>
    <row r="25" spans="1:2">
      <c r="A25" t="s">
        <v>613</v>
      </c>
      <c r="B25" t="s">
        <v>585</v>
      </c>
    </row>
    <row r="26" spans="1:2">
      <c r="A26" t="s">
        <v>614</v>
      </c>
      <c r="B26" t="s">
        <v>585</v>
      </c>
    </row>
    <row r="27" spans="1:2">
      <c r="A27" t="s">
        <v>615</v>
      </c>
      <c r="B27" t="s">
        <v>585</v>
      </c>
    </row>
    <row r="28" spans="1:2">
      <c r="A28" t="s">
        <v>616</v>
      </c>
      <c r="B28" t="s">
        <v>585</v>
      </c>
    </row>
    <row r="29" spans="1:2">
      <c r="A29" t="s">
        <v>617</v>
      </c>
      <c r="B29" t="s">
        <v>618</v>
      </c>
    </row>
    <row r="30" spans="1:2">
      <c r="A30" t="s">
        <v>619</v>
      </c>
      <c r="B30" t="s">
        <v>620</v>
      </c>
    </row>
    <row r="31" spans="1:2">
      <c r="A31" t="s">
        <v>621</v>
      </c>
      <c r="B31" t="s">
        <v>622</v>
      </c>
    </row>
    <row r="32" spans="1:2">
      <c r="A32" t="s">
        <v>623</v>
      </c>
      <c r="B32" t="s">
        <v>624</v>
      </c>
    </row>
    <row r="33" spans="1:2">
      <c r="A33" t="s">
        <v>625</v>
      </c>
      <c r="B33" t="s">
        <v>622</v>
      </c>
    </row>
    <row r="34" spans="1:2">
      <c r="A34" t="s">
        <v>626</v>
      </c>
      <c r="B34" t="s">
        <v>627</v>
      </c>
    </row>
    <row r="35" spans="1:2">
      <c r="A35" t="s">
        <v>628</v>
      </c>
      <c r="B35" t="s">
        <v>629</v>
      </c>
    </row>
    <row r="36" spans="1:2">
      <c r="A36" t="s">
        <v>630</v>
      </c>
      <c r="B36" t="s">
        <v>631</v>
      </c>
    </row>
    <row r="37" spans="1:2">
      <c r="A37" t="s">
        <v>632</v>
      </c>
      <c r="B37" t="s">
        <v>633</v>
      </c>
    </row>
    <row r="38" spans="1:2">
      <c r="A38" t="s">
        <v>634</v>
      </c>
      <c r="B38" t="s">
        <v>590</v>
      </c>
    </row>
    <row r="39" spans="1:2">
      <c r="A39" t="s">
        <v>635</v>
      </c>
      <c r="B39" t="s">
        <v>636</v>
      </c>
    </row>
    <row r="40" spans="1:2">
      <c r="A40" t="s">
        <v>637</v>
      </c>
      <c r="B40" t="s">
        <v>590</v>
      </c>
    </row>
    <row r="41" spans="1:2">
      <c r="A41" t="s">
        <v>638</v>
      </c>
      <c r="B41" t="s">
        <v>585</v>
      </c>
    </row>
    <row r="42" spans="1:2">
      <c r="A42" t="s">
        <v>639</v>
      </c>
      <c r="B42" t="s">
        <v>585</v>
      </c>
    </row>
    <row r="43" spans="1:2">
      <c r="A43" t="s">
        <v>640</v>
      </c>
      <c r="B43" t="s">
        <v>583</v>
      </c>
    </row>
    <row r="44" spans="1:2">
      <c r="A44" t="s">
        <v>641</v>
      </c>
      <c r="B44" t="s">
        <v>583</v>
      </c>
    </row>
    <row r="45" spans="1:2">
      <c r="A45" t="s">
        <v>642</v>
      </c>
      <c r="B45" t="s">
        <v>585</v>
      </c>
    </row>
    <row r="46" spans="1:2">
      <c r="A46" t="s">
        <v>643</v>
      </c>
      <c r="B46" t="s">
        <v>585</v>
      </c>
    </row>
    <row r="47" spans="1:2">
      <c r="A47" t="s">
        <v>644</v>
      </c>
      <c r="B47" t="s">
        <v>588</v>
      </c>
    </row>
    <row r="48" spans="1:2">
      <c r="A48" t="s">
        <v>645</v>
      </c>
      <c r="B48" t="s">
        <v>646</v>
      </c>
    </row>
    <row r="49" spans="1:2">
      <c r="A49" t="s">
        <v>647</v>
      </c>
      <c r="B49" t="s">
        <v>585</v>
      </c>
    </row>
    <row r="50" spans="1:2">
      <c r="A50" t="s">
        <v>648</v>
      </c>
      <c r="B50" t="s">
        <v>585</v>
      </c>
    </row>
    <row r="51" spans="1:2">
      <c r="A51" t="s">
        <v>649</v>
      </c>
      <c r="B51" t="s">
        <v>588</v>
      </c>
    </row>
    <row r="52" spans="1:2">
      <c r="A52" t="s">
        <v>650</v>
      </c>
      <c r="B52" t="s">
        <v>585</v>
      </c>
    </row>
    <row r="53" spans="1:2">
      <c r="A53" t="s">
        <v>651</v>
      </c>
      <c r="B53" t="s">
        <v>592</v>
      </c>
    </row>
    <row r="54" spans="1:2">
      <c r="A54" t="s">
        <v>652</v>
      </c>
      <c r="B54" t="s">
        <v>608</v>
      </c>
    </row>
    <row r="55" spans="1:2">
      <c r="A55" t="s">
        <v>653</v>
      </c>
      <c r="B55" t="s">
        <v>608</v>
      </c>
    </row>
    <row r="56" spans="1:2">
      <c r="A56" t="s">
        <v>654</v>
      </c>
      <c r="B56" t="s">
        <v>592</v>
      </c>
    </row>
    <row r="57" spans="1:2">
      <c r="A57" t="s">
        <v>655</v>
      </c>
      <c r="B57" t="s">
        <v>592</v>
      </c>
    </row>
    <row r="58" spans="1:2">
      <c r="A58" t="s">
        <v>656</v>
      </c>
      <c r="B58" t="s">
        <v>657</v>
      </c>
    </row>
    <row r="59" spans="1:2">
      <c r="A59" t="s">
        <v>658</v>
      </c>
      <c r="B59" t="s">
        <v>581</v>
      </c>
    </row>
    <row r="60" spans="1:2">
      <c r="A60" t="s">
        <v>659</v>
      </c>
      <c r="B60" t="s">
        <v>581</v>
      </c>
    </row>
    <row r="61" spans="1:2">
      <c r="A61" t="s">
        <v>660</v>
      </c>
      <c r="B61" t="s">
        <v>661</v>
      </c>
    </row>
    <row r="62" spans="1:2">
      <c r="A62" t="s">
        <v>662</v>
      </c>
      <c r="B62" t="s">
        <v>599</v>
      </c>
    </row>
    <row r="63" spans="1:2">
      <c r="A63" t="s">
        <v>663</v>
      </c>
      <c r="B63" t="s">
        <v>664</v>
      </c>
    </row>
    <row r="64" spans="1:2">
      <c r="A64" t="s">
        <v>665</v>
      </c>
      <c r="B64" t="s">
        <v>666</v>
      </c>
    </row>
    <row r="65" spans="1:2">
      <c r="A65" t="s">
        <v>667</v>
      </c>
      <c r="B65" t="s">
        <v>646</v>
      </c>
    </row>
    <row r="66" spans="1:2">
      <c r="A66" t="s">
        <v>668</v>
      </c>
      <c r="B66" t="s">
        <v>585</v>
      </c>
    </row>
    <row r="67" spans="1:2">
      <c r="A67" t="s">
        <v>669</v>
      </c>
      <c r="B67" t="s">
        <v>583</v>
      </c>
    </row>
    <row r="68" spans="1:2">
      <c r="A68" t="s">
        <v>670</v>
      </c>
      <c r="B68" t="s">
        <v>585</v>
      </c>
    </row>
    <row r="69" spans="1:2">
      <c r="A69" t="s">
        <v>671</v>
      </c>
      <c r="B69" t="s">
        <v>585</v>
      </c>
    </row>
    <row r="70" spans="1:2">
      <c r="A70" t="s">
        <v>672</v>
      </c>
      <c r="B70" t="s">
        <v>585</v>
      </c>
    </row>
    <row r="71" spans="1:2">
      <c r="A71" t="s">
        <v>673</v>
      </c>
      <c r="B71" t="s">
        <v>674</v>
      </c>
    </row>
    <row r="72" spans="1:2">
      <c r="A72" t="s">
        <v>675</v>
      </c>
      <c r="B72" t="s">
        <v>676</v>
      </c>
    </row>
    <row r="73" spans="1:2">
      <c r="A73" t="s">
        <v>677</v>
      </c>
      <c r="B73" t="s">
        <v>678</v>
      </c>
    </row>
    <row r="74" spans="1:2">
      <c r="A74" t="s">
        <v>679</v>
      </c>
      <c r="B74" t="s">
        <v>680</v>
      </c>
    </row>
    <row r="75" spans="1:2">
      <c r="A75" t="s">
        <v>681</v>
      </c>
      <c r="B75" t="s">
        <v>682</v>
      </c>
    </row>
    <row r="76" spans="1:2">
      <c r="A76" t="s">
        <v>683</v>
      </c>
      <c r="B76" t="s">
        <v>684</v>
      </c>
    </row>
    <row r="77" spans="1:2">
      <c r="A77" t="s">
        <v>685</v>
      </c>
      <c r="B77" t="s">
        <v>686</v>
      </c>
    </row>
    <row r="78" spans="1:2">
      <c r="A78" t="s">
        <v>687</v>
      </c>
      <c r="B78" t="s">
        <v>646</v>
      </c>
    </row>
    <row r="79" spans="1:2">
      <c r="A79" t="s">
        <v>688</v>
      </c>
      <c r="B79" t="s">
        <v>585</v>
      </c>
    </row>
    <row r="80" spans="1:2">
      <c r="A80" t="s">
        <v>689</v>
      </c>
      <c r="B80" t="s">
        <v>646</v>
      </c>
    </row>
    <row r="81" spans="1:2">
      <c r="A81" t="s">
        <v>690</v>
      </c>
      <c r="B81" t="s">
        <v>646</v>
      </c>
    </row>
    <row r="82" spans="1:2">
      <c r="A82" t="s">
        <v>691</v>
      </c>
      <c r="B82" t="s">
        <v>583</v>
      </c>
    </row>
    <row r="83" spans="1:2">
      <c r="A83" t="s">
        <v>692</v>
      </c>
      <c r="B83" t="s">
        <v>693</v>
      </c>
    </row>
    <row r="84" spans="1:2">
      <c r="A84" t="s">
        <v>694</v>
      </c>
      <c r="B84" t="s">
        <v>695</v>
      </c>
    </row>
    <row r="85" spans="1:2">
      <c r="A85" t="s">
        <v>696</v>
      </c>
      <c r="B85" t="s">
        <v>595</v>
      </c>
    </row>
    <row r="86" spans="1:2">
      <c r="A86" t="s">
        <v>697</v>
      </c>
      <c r="B86" t="s">
        <v>698</v>
      </c>
    </row>
    <row r="87" spans="1:2">
      <c r="A87" t="s">
        <v>699</v>
      </c>
      <c r="B87" t="s">
        <v>595</v>
      </c>
    </row>
    <row r="88" spans="1:2">
      <c r="A88" t="s">
        <v>700</v>
      </c>
      <c r="B88" t="s">
        <v>595</v>
      </c>
    </row>
  </sheetData>
  <sheetProtection algorithmName="SHA-512" hashValue="QMWne/Ktu7vll+Y3BaGhnCOvjJilXwRHkFIT+UDtmSYKMb83XkJS5TXxq4O3ah/x2CFxFPZDax6oFVHOYb2+iQ==" saltValue="uOge9ebVZPL8IWUxlXvERw==" spinCount="100000" sheet="1" objects="1" scenarios="1" autoFilter="0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B73D-B05E-4F20-803B-3831D5CD7A28}">
  <sheetPr codeName="Sheet29"/>
  <dimension ref="A1"/>
  <sheetViews>
    <sheetView workbookViewId="0"/>
  </sheetViews>
  <sheetFormatPr defaultRowHeight="15"/>
  <sheetData>
    <row r="1" spans="1:1">
      <c r="A1" s="159" t="s">
        <v>525</v>
      </c>
    </row>
  </sheetData>
  <sheetProtection algorithmName="SHA-512" hashValue="412QGaC5SPlA6W3VAJD/hq5oAp1q6SS+bIGZheu7p00f5pXQwGWxQW0+cVTf38pvnErI7/2XMNdDsOMvC7j/Rw==" saltValue="BeDpmMMaZH9dy4pIfC4Wkg==" spinCount="100000" sheet="1" objects="1" scenarios="1" autoFilter="0"/>
  <pageMargins left="0.7" right="0.7" top="0.75" bottom="0.75" header="0.3" footer="0.3"/>
  <pageSetup paperSize="11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9982-93C0-4388-A97D-32DBCB72BDFF}">
  <sheetPr codeName="Sheet30"/>
  <dimension ref="A1"/>
  <sheetViews>
    <sheetView workbookViewId="0"/>
  </sheetViews>
  <sheetFormatPr defaultRowHeight="15"/>
  <sheetData>
    <row r="1" spans="1:1">
      <c r="A1" s="159" t="s">
        <v>526</v>
      </c>
    </row>
  </sheetData>
  <sheetProtection algorithmName="SHA-512" hashValue="/X6a5XTANgXUUhDIH1xjr8xuGSfSp9YHPtRsVZy6fW/YmMYilbxXfJ8SrDINOme/trbPvhHkIlFsZx3gnpJ0Aw==" saltValue="ul+QEjjgrVC0dXk3X3kVdQ==" spinCount="100000" sheet="1" objects="1" scenarios="1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ACCUEIL</vt:lpstr>
      <vt:lpstr>ARTICLES</vt:lpstr>
      <vt:lpstr>FOURNISSEURS</vt:lpstr>
      <vt:lpstr>CONVENTIONS</vt:lpstr>
      <vt:lpstr>MOUVEMENTS</vt:lpstr>
      <vt:lpstr>TABLEAU DE BORD</vt:lpstr>
      <vt:lpstr>ALERTE_DASHBOARD</vt:lpstr>
      <vt:lpstr>INVENTAIRE</vt:lpstr>
      <vt:lpstr>RAPPORTS</vt:lpstr>
      <vt:lpstr>CALCULS_EOQ</vt:lpstr>
      <vt:lpstr>HISTORIQUE</vt:lpstr>
      <vt:lpstr>BON_RECEPTION</vt:lpstr>
      <vt:lpstr>BON_SORTIE</vt:lpstr>
      <vt:lpstr>BON_COMMANDE</vt:lpstr>
      <vt:lpstr>DA_DEMANDE_ACHAT</vt:lpstr>
      <vt:lpstr>GUIDE</vt:lpstr>
      <vt:lpstr>VBA_MODULES</vt:lpstr>
      <vt:lpstr>AUDIT_LOG</vt:lpstr>
      <vt:lpstr>DASHBOARD</vt:lpstr>
      <vt:lpstr>FORM_INPUT</vt:lpstr>
      <vt:lpstr>BORDEREAU_COMMANDE</vt:lpstr>
      <vt:lpstr>STAGING_BUFFER</vt:lpstr>
      <vt:lpstr>SYS_STRINGS</vt:lpstr>
      <vt:lpstr>RECEIPT_TAG</vt:lpstr>
      <vt:lpstr>TEMPLATE_BON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Administrator</cp:lastModifiedBy>
  <cp:revision>0</cp:revision>
  <cp:lastPrinted>2026-04-25T20:29:52Z</cp:lastPrinted>
  <dcterms:created xsi:type="dcterms:W3CDTF">2026-04-01T08:33:29Z</dcterms:created>
  <dcterms:modified xsi:type="dcterms:W3CDTF">2026-05-16T23:41:10Z</dcterms:modified>
  <dc:language>en-US</dc:language>
</cp:coreProperties>
</file>