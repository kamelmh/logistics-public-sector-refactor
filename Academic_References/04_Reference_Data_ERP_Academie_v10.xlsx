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UEIL" sheetId="1" state="visible" r:id="rId3"/>
    <sheet name="ARTICLES" sheetId="2" state="visible" r:id="rId4"/>
    <sheet name="FOURNISSEURS" sheetId="3" state="visible" r:id="rId5"/>
    <sheet name="CONVENTIONS" sheetId="4" state="visible" r:id="rId6"/>
    <sheet name="MOUVEMENTS" sheetId="5" state="visible" r:id="rId7"/>
    <sheet name="TABLEAU DE BORD" sheetId="6" state="visible" r:id="rId8"/>
    <sheet name="ALERTE_DASHBOARD" sheetId="7" state="visible" r:id="rId9"/>
    <sheet name="INVENTAIRE" sheetId="8" state="visible" r:id="rId10"/>
    <sheet name="RAPPORTS" sheetId="9" state="visible" r:id="rId11"/>
    <sheet name="CALCULS_EOQ" sheetId="10" state="visible" r:id="rId12"/>
    <sheet name="HISTORIQUE" sheetId="11" state="visible" r:id="rId13"/>
    <sheet name="BON_RECEPTION" sheetId="12" state="visible" r:id="rId14"/>
    <sheet name="BON_SORTIE" sheetId="13" state="visible" r:id="rId15"/>
    <sheet name="BON_COMMANDE" sheetId="14" state="visible" r:id="rId16"/>
    <sheet name="DA_DEMANDE_ACHAT" sheetId="15" state="visible" r:id="rId17"/>
    <sheet name="GUIDE" sheetId="16" state="visible" r:id="rId18"/>
    <sheet name="VBA_MODULES" sheetId="17" state="visible" r:id="rId19"/>
    <sheet name="AUDIT_LOG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<sst xmlns="http://schemas.openxmlformats.org/spreadsheetml/2006/main" count="1005" uniqueCount="628">
  <si>
    <t xml:space="preserve">نظام ERP — مخزن مديرية التربية — ولاية البيض</t>
  </si>
  <si>
    <t xml:space="preserve">ERP_Academie_v9  |  Excel 2010 Compatible  |  VLOOKUP + SUMPRODUCT</t>
  </si>
  <si>
    <t xml:space="preserve">المؤسسة</t>
  </si>
  <si>
    <t xml:space="preserve">مديرية التربية لولاية البيض</t>
  </si>
  <si>
    <t xml:space="preserve">المصلحة</t>
  </si>
  <si>
    <t xml:space="preserve">مصلحة الإدارة والوسائل العامة</t>
  </si>
  <si>
    <t xml:space="preserve">المسؤول</t>
  </si>
  <si>
    <t xml:space="preserve">ماحي كمال عبد الغني — TAG1801</t>
  </si>
  <si>
    <t xml:space="preserve">المؤطرة</t>
  </si>
  <si>
    <t xml:space="preserve">دهيني ميمونة (مصلحة الميزانية)</t>
  </si>
  <si>
    <t xml:space="preserve">فترة الرصد</t>
  </si>
  <si>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FreeSans"/>
        <family val="2"/>
      </rPr>
      <t xml:space="preserve">يوم عمل </t>
    </r>
    <r>
      <rPr>
        <sz val="11"/>
        <color theme="1"/>
        <rFont val="Calibri"/>
        <family val="2"/>
        <charset val="1"/>
      </rPr>
      <t xml:space="preserve">(01/02 – 09/03/2026)</t>
    </r>
  </si>
  <si>
    <t xml:space="preserve">الإصدار</t>
  </si>
  <si>
    <t xml:space="preserve">v9  |  avril 2026  [build v10]</t>
  </si>
  <si>
    <t xml:space="preserve">مؤشرات الأداء الرئيسية  (تُحسب آلياً من MOUVEMENTS)</t>
  </si>
  <si>
    <r>
      <rPr>
        <b val="true"/>
        <sz val="10"/>
        <color rgb="FF000000"/>
        <rFont val="FreeSans"/>
        <family val="2"/>
      </rPr>
      <t xml:space="preserve">إجمالي قيمة المخزون </t>
    </r>
    <r>
      <rPr>
        <b val="true"/>
        <sz val="10"/>
        <color rgb="FF000000"/>
        <rFont val="Calibri"/>
        <family val="0"/>
        <charset val="1"/>
      </rPr>
      <t xml:space="preserve">(</t>
    </r>
    <r>
      <rPr>
        <b val="true"/>
        <sz val="10"/>
        <color rgb="FF000000"/>
        <rFont val="FreeSans"/>
        <family val="2"/>
      </rPr>
      <t xml:space="preserve">دج</t>
    </r>
    <r>
      <rPr>
        <b val="true"/>
        <sz val="10"/>
        <color rgb="FF000000"/>
        <rFont val="Calibri"/>
        <family val="0"/>
        <charset val="1"/>
      </rPr>
      <t xml:space="preserve">)</t>
    </r>
  </si>
  <si>
    <t xml:space="preserve">مرجع Wilson: ART-001</t>
  </si>
  <si>
    <r>
      <rPr>
        <b val="true"/>
        <sz val="10"/>
        <color rgb="FF8B0000"/>
        <rFont val="FreeSans"/>
        <family val="2"/>
      </rPr>
      <t xml:space="preserve">مواد في حالة </t>
    </r>
    <r>
      <rPr>
        <b val="true"/>
        <sz val="10"/>
        <color rgb="FF8B0000"/>
        <rFont val="Calibri"/>
        <family val="0"/>
        <charset val="1"/>
      </rPr>
      <t xml:space="preserve">RUPTURE</t>
    </r>
  </si>
  <si>
    <r>
      <rPr>
        <i val="true"/>
        <sz val="9"/>
        <color rgb="FF555555"/>
        <rFont val="Calibri"/>
        <family val="0"/>
        <charset val="1"/>
      </rPr>
      <t xml:space="preserve">12 </t>
    </r>
    <r>
      <rPr>
        <i val="true"/>
        <sz val="9"/>
        <color rgb="FF555555"/>
        <rFont val="FreeSans"/>
        <family val="2"/>
      </rPr>
      <t xml:space="preserve">مادة</t>
    </r>
  </si>
  <si>
    <t xml:space="preserve">مواد تحتاج طلبية عاجلة</t>
  </si>
  <si>
    <t xml:space="preserve">دخول + خروج</t>
  </si>
  <si>
    <r>
      <rPr>
        <b val="true"/>
        <sz val="10"/>
        <color rgb="FF000000"/>
        <rFont val="FreeSans"/>
        <family val="2"/>
      </rPr>
      <t xml:space="preserve">مواد في حالة تنبيه </t>
    </r>
    <r>
      <rPr>
        <b val="true"/>
        <sz val="10"/>
        <color rgb="FF000000"/>
        <rFont val="Calibri"/>
        <family val="0"/>
        <charset val="1"/>
      </rPr>
      <t xml:space="preserve">~ ALERTE</t>
    </r>
  </si>
  <si>
    <t xml:space="preserve">تنبيه فوري</t>
  </si>
  <si>
    <t xml:space="preserve">WORKFLOW — Raccourcis VBA (ALT+F11 → Macros → Exécuter)</t>
  </si>
  <si>
    <t xml:space="preserve">① AjouterMouvement</t>
  </si>
  <si>
    <t xml:space="preserve">Lance le formulaire de saisie (UserForm frmDataEntry)</t>
  </si>
  <si>
    <t xml:space="preserve">② VerifierAlertes</t>
  </si>
  <si>
    <t xml:space="preserve">Affiche une MsgBox avec tous les articles en alerte ou rupture</t>
  </si>
  <si>
    <t xml:space="preserve">③ RafraichirTableauBord</t>
  </si>
  <si>
    <t xml:space="preserve">Force le recalcul + navigue vers le Tableau de Bord</t>
  </si>
  <si>
    <t xml:space="preserve">④ GenererBonReception</t>
  </si>
  <si>
    <t xml:space="preserve">Exporte le dernier bon de réception en PDF horodaté</t>
  </si>
  <si>
    <t xml:space="preserve">⑤ GenererBonSortie</t>
  </si>
  <si>
    <r>
      <rPr>
        <i val="true"/>
        <sz val="9"/>
        <color rgb="FF000000"/>
        <rFont val="Calibri"/>
        <family val="0"/>
        <charset val="1"/>
      </rPr>
      <t xml:space="preserve">Exporte le dernier bon de sortie (</t>
    </r>
    <r>
      <rPr>
        <i val="true"/>
        <sz val="9"/>
        <color rgb="FF000000"/>
        <rFont val="FreeSans"/>
        <family val="2"/>
      </rPr>
      <t xml:space="preserve">وصل الخروج</t>
    </r>
    <r>
      <rPr>
        <i val="true"/>
        <sz val="9"/>
        <color rgb="FF000000"/>
        <rFont val="Calibri"/>
        <family val="0"/>
        <charset val="1"/>
      </rPr>
      <t xml:space="preserve">) en PDF horodaté</t>
    </r>
  </si>
  <si>
    <t xml:space="preserve">⑥ GenererDA</t>
  </si>
  <si>
    <r>
      <rPr>
        <i val="true"/>
        <sz val="9"/>
        <color rgb="FF000000"/>
        <rFont val="Calibri"/>
        <family val="0"/>
        <charset val="1"/>
      </rPr>
      <t xml:space="preserve">Crée et exporte une Demande d'Achat (</t>
    </r>
    <r>
      <rPr>
        <i val="true"/>
        <sz val="9"/>
        <color rgb="FF000000"/>
        <rFont val="FreeSans"/>
        <family val="2"/>
      </rPr>
      <t xml:space="preserve">طلب الشراء</t>
    </r>
    <r>
      <rPr>
        <i val="true"/>
        <sz val="9"/>
        <color rgb="FF000000"/>
        <rFont val="Calibri"/>
        <family val="0"/>
        <charset val="1"/>
      </rPr>
      <t xml:space="preserve">) vierge en PDF</t>
    </r>
  </si>
  <si>
    <t xml:space="preserve">⑦ GenererBC</t>
  </si>
  <si>
    <r>
      <rPr>
        <i val="true"/>
        <sz val="9"/>
        <color rgb="FF000000"/>
        <rFont val="Calibri"/>
        <family val="0"/>
        <charset val="1"/>
      </rPr>
      <t xml:space="preserve">Crée et exporte un Bon de Commande (</t>
    </r>
    <r>
      <rPr>
        <i val="true"/>
        <sz val="9"/>
        <color rgb="FF000000"/>
        <rFont val="FreeSans"/>
        <family val="2"/>
      </rPr>
      <t xml:space="preserve">أمر الشراء</t>
    </r>
    <r>
      <rPr>
        <i val="true"/>
        <sz val="9"/>
        <color rgb="FF000000"/>
        <rFont val="Calibri"/>
        <family val="0"/>
        <charset val="1"/>
      </rPr>
      <t xml:space="preserve">) en PDF</t>
    </r>
  </si>
  <si>
    <r>
      <rPr>
        <b val="true"/>
        <sz val="10"/>
        <color rgb="FF0C447C"/>
        <rFont val="FreeSans"/>
        <family val="2"/>
      </rPr>
      <t xml:space="preserve">مسار حفظ ملفات </t>
    </r>
    <r>
      <rPr>
        <b val="true"/>
        <sz val="10"/>
        <color rgb="FF0C447C"/>
        <rFont val="Calibri"/>
        <family val="0"/>
        <charset val="1"/>
      </rPr>
      <t xml:space="preserve">PDF</t>
    </r>
  </si>
  <si>
    <r>
      <rPr>
        <b val="true"/>
        <sz val="10"/>
        <color rgb="FF1A1A1A"/>
        <rFont val="FreeSans"/>
        <family val="2"/>
      </rPr>
      <t xml:space="preserve">مخرجات </t>
    </r>
    <r>
      <rPr>
        <b val="true"/>
        <sz val="10"/>
        <color rgb="FF1A1A1A"/>
        <rFont val="Calibri"/>
        <family val="0"/>
        <charset val="1"/>
      </rPr>
      <t xml:space="preserve">(Output)</t>
    </r>
  </si>
  <si>
    <t xml:space="preserve">[مجلد الملف] / PDF_SORTIES /</t>
  </si>
  <si>
    <t xml:space="preserve">BS + BC + DA</t>
  </si>
  <si>
    <r>
      <rPr>
        <b val="true"/>
        <sz val="10"/>
        <color rgb="FF1A1A1A"/>
        <rFont val="FreeSans"/>
        <family val="2"/>
      </rPr>
      <t xml:space="preserve">مدخلات </t>
    </r>
    <r>
      <rPr>
        <b val="true"/>
        <sz val="10"/>
        <color rgb="FF1A1A1A"/>
        <rFont val="Calibri"/>
        <family val="0"/>
        <charset val="1"/>
      </rPr>
      <t xml:space="preserve">(Input/Scan)</t>
    </r>
  </si>
  <si>
    <t xml:space="preserve">[مجلد الملف] / PDF_ENTREES /</t>
  </si>
  <si>
    <r>
      <rPr>
        <sz val="9"/>
        <color rgb="FF555555"/>
        <rFont val="Calibri"/>
        <family val="0"/>
        <charset val="1"/>
      </rPr>
      <t xml:space="preserve">BR + </t>
    </r>
    <r>
      <rPr>
        <sz val="9"/>
        <color rgb="FF555555"/>
        <rFont val="FreeSans"/>
        <family val="2"/>
      </rPr>
      <t xml:space="preserve">وثائق الموردين الممسوحة</t>
    </r>
  </si>
  <si>
    <r>
      <rPr>
        <i val="true"/>
        <sz val="9"/>
        <color rgb="FF555555"/>
        <rFont val="FreeSans"/>
        <family val="2"/>
      </rPr>
      <t xml:space="preserve">انشئ هذين المجلدين بجوار ملف </t>
    </r>
    <r>
      <rPr>
        <i val="true"/>
        <sz val="9"/>
        <color rgb="FF555555"/>
        <rFont val="Calibri"/>
        <family val="0"/>
        <charset val="1"/>
      </rPr>
      <t xml:space="preserve">ERP </t>
    </r>
    <r>
      <rPr>
        <i val="true"/>
        <sz val="9"/>
        <color rgb="FF555555"/>
        <rFont val="FreeSans"/>
        <family val="2"/>
      </rPr>
      <t xml:space="preserve">مباشرة</t>
    </r>
    <r>
      <rPr>
        <i val="true"/>
        <sz val="9"/>
        <color rgb="FF555555"/>
        <rFont val="Calibri"/>
        <family val="0"/>
        <charset val="1"/>
      </rPr>
      <t xml:space="preserve">. </t>
    </r>
    <r>
      <rPr>
        <i val="true"/>
        <sz val="9"/>
        <color rgb="FF555555"/>
        <rFont val="FreeSans"/>
        <family val="2"/>
      </rPr>
      <t xml:space="preserve">الماكرو يحفظ فيهما تلقائياً</t>
    </r>
    <r>
      <rPr>
        <i val="true"/>
        <sz val="9"/>
        <color rgb="FF555555"/>
        <rFont val="Calibri"/>
        <family val="0"/>
        <charset val="1"/>
      </rPr>
      <t xml:space="preserve">.</t>
    </r>
  </si>
  <si>
    <r>
      <rPr>
        <b val="true"/>
        <sz val="13"/>
        <color rgb="FFFFFFFF"/>
        <rFont val="Calibri"/>
        <family val="0"/>
        <charset val="1"/>
      </rPr>
      <t xml:space="preserve">CATALOGUE DES ARTICLES  —  </t>
    </r>
    <r>
      <rPr>
        <b val="true"/>
        <sz val="13"/>
        <color rgb="FFFFFFFF"/>
        <rFont val="FreeSans"/>
        <family val="2"/>
      </rPr>
      <t xml:space="preserve">مديرية التربية — البيض  </t>
    </r>
    <r>
      <rPr>
        <b val="true"/>
        <sz val="13"/>
        <color rgb="FFFFFFFF"/>
        <rFont val="Calibri"/>
        <family val="0"/>
        <charset val="1"/>
      </rPr>
      <t xml:space="preserve">[v8.1 | 12 articles | Catégorie + Alias]</t>
    </r>
  </si>
  <si>
    <t xml:space="preserve">Code Article</t>
  </si>
  <si>
    <t xml:space="preserve">Désignation (FR)</t>
  </si>
  <si>
    <r>
      <rPr>
        <b val="true"/>
        <sz val="9"/>
        <color rgb="FFFFFFFF"/>
        <rFont val="FreeSans"/>
        <family val="2"/>
      </rPr>
      <t xml:space="preserve">التسمية </t>
    </r>
    <r>
      <rPr>
        <b val="true"/>
        <sz val="9"/>
        <color rgb="FFFFFFFF"/>
        <rFont val="Calibri"/>
        <family val="0"/>
        <charset val="1"/>
      </rPr>
      <t xml:space="preserve">(AR)</t>
    </r>
  </si>
  <si>
    <t xml:space="preserve">Unité</t>
  </si>
  <si>
    <t xml:space="preserve">Cl. ABC</t>
  </si>
  <si>
    <t xml:space="preserve">Stock Min</t>
  </si>
  <si>
    <t xml:space="preserve">Stock Max</t>
  </si>
  <si>
    <t xml:space="preserve">Prix Unit. (DA)</t>
  </si>
  <si>
    <t xml:space="preserve">Fournisseur</t>
  </si>
  <si>
    <t xml:space="preserve">Emplacement</t>
  </si>
  <si>
    <t xml:space="preserve">Catégorie principale</t>
  </si>
  <si>
    <t xml:space="preserve">Sous-catégorie</t>
  </si>
  <si>
    <t xml:space="preserve">Alias / Noms alternatifs (pour référence uniquement)</t>
  </si>
  <si>
    <t xml:space="preserve">ART-001</t>
  </si>
  <si>
    <t xml:space="preserve">Rame papier A4 80g/m²</t>
  </si>
  <si>
    <t xml:space="preserve">رزمة ورق A4 80غ</t>
  </si>
  <si>
    <t xml:space="preserve">Rame</t>
  </si>
  <si>
    <t xml:space="preserve">A</t>
  </si>
  <si>
    <t xml:space="preserve">ENAP Alger</t>
  </si>
  <si>
    <t xml:space="preserve">Rayon A-E1</t>
  </si>
  <si>
    <r>
      <rPr>
        <b val="true"/>
        <sz val="9"/>
        <color rgb="FF000000"/>
        <rFont val="FreeSans"/>
        <family val="2"/>
      </rPr>
      <t xml:space="preserve">لوازم مكتبية </t>
    </r>
    <r>
      <rPr>
        <b val="true"/>
        <sz val="9"/>
        <color rgb="FF000000"/>
        <rFont val="Calibri"/>
        <family val="0"/>
        <charset val="1"/>
      </rPr>
      <t xml:space="preserve">/ Fournitures Bureau</t>
    </r>
  </si>
  <si>
    <r>
      <rPr>
        <sz val="9"/>
        <color rgb="FF000000"/>
        <rFont val="FreeSans"/>
        <family val="2"/>
      </rPr>
      <t xml:space="preserve">ورق الطباعة </t>
    </r>
    <r>
      <rPr>
        <sz val="9"/>
        <color rgb="FF000000"/>
        <rFont val="Calibri"/>
        <family val="0"/>
        <charset val="1"/>
      </rPr>
      <t xml:space="preserve">/ Papier</t>
    </r>
  </si>
  <si>
    <r>
      <rPr>
        <i val="true"/>
        <sz val="9"/>
        <color rgb="FF666666"/>
        <rFont val="Calibri"/>
        <family val="0"/>
        <charset val="1"/>
      </rPr>
      <t xml:space="preserve">Rame A4 | papier blanc | </t>
    </r>
    <r>
      <rPr>
        <i val="true"/>
        <sz val="9"/>
        <color rgb="FF666666"/>
        <rFont val="FreeSans"/>
        <family val="2"/>
      </rPr>
      <t xml:space="preserve">ورق مكتبي </t>
    </r>
    <r>
      <rPr>
        <i val="true"/>
        <sz val="9"/>
        <color rgb="FF666666"/>
        <rFont val="Calibri"/>
        <family val="0"/>
        <charset val="1"/>
      </rPr>
      <t xml:space="preserve">| white paper</t>
    </r>
  </si>
  <si>
    <t xml:space="preserve">ART-002</t>
  </si>
  <si>
    <t xml:space="preserve">Toner imprimante G030 (noir)</t>
  </si>
  <si>
    <t xml:space="preserve">حبر طابعة G030</t>
  </si>
  <si>
    <t xml:space="preserve">B</t>
  </si>
  <si>
    <t xml:space="preserve">Bureautique Oran</t>
  </si>
  <si>
    <t xml:space="preserve">Rayon B-E2</t>
  </si>
  <si>
    <r>
      <rPr>
        <b val="true"/>
        <sz val="9"/>
        <color rgb="FF000000"/>
        <rFont val="FreeSans"/>
        <family val="2"/>
      </rPr>
      <t xml:space="preserve">مستهلكات إعلام آلي </t>
    </r>
    <r>
      <rPr>
        <b val="true"/>
        <sz val="9"/>
        <color rgb="FF000000"/>
        <rFont val="Calibri"/>
        <family val="0"/>
        <charset val="1"/>
      </rPr>
      <t xml:space="preserve">/ Consommables IT</t>
    </r>
  </si>
  <si>
    <r>
      <rPr>
        <sz val="9"/>
        <color rgb="FF000000"/>
        <rFont val="FreeSans"/>
        <family val="2"/>
      </rPr>
      <t xml:space="preserve">حبر وتونر </t>
    </r>
    <r>
      <rPr>
        <sz val="9"/>
        <color rgb="FF000000"/>
        <rFont val="Calibri"/>
        <family val="0"/>
        <charset val="1"/>
      </rPr>
      <t xml:space="preserve">/ Toner &amp; Encre</t>
    </r>
  </si>
  <si>
    <r>
      <rPr>
        <i val="true"/>
        <sz val="9"/>
        <color rgb="FF666666"/>
        <rFont val="Calibri"/>
        <family val="0"/>
        <charset val="1"/>
      </rPr>
      <t xml:space="preserve">Toner HP | </t>
    </r>
    <r>
      <rPr>
        <i val="true"/>
        <sz val="9"/>
        <color rgb="FF666666"/>
        <rFont val="FreeSans"/>
        <family val="2"/>
      </rPr>
      <t xml:space="preserve">حبر ليزر </t>
    </r>
    <r>
      <rPr>
        <i val="true"/>
        <sz val="9"/>
        <color rgb="FF666666"/>
        <rFont val="Calibri"/>
        <family val="0"/>
        <charset val="1"/>
      </rPr>
      <t xml:space="preserve">| Toner 6030 | cartouche laser</t>
    </r>
  </si>
  <si>
    <t xml:space="preserve">ART-003</t>
  </si>
  <si>
    <t xml:space="preserve">Rame papier A3 80g/m²</t>
  </si>
  <si>
    <t xml:space="preserve">رزمة ورق A3 80غ</t>
  </si>
  <si>
    <t xml:space="preserve">Rayon A-E3</t>
  </si>
  <si>
    <r>
      <rPr>
        <i val="true"/>
        <sz val="9"/>
        <color rgb="FF666666"/>
        <rFont val="Calibri"/>
        <family val="0"/>
        <charset val="1"/>
      </rPr>
      <t xml:space="preserve">Rame A3 | papier A3 | </t>
    </r>
    <r>
      <rPr>
        <i val="true"/>
        <sz val="9"/>
        <color rgb="FF666666"/>
        <rFont val="FreeSans"/>
        <family val="2"/>
      </rPr>
      <t xml:space="preserve">ورق كبير</t>
    </r>
  </si>
  <si>
    <t xml:space="preserve">ART-004</t>
  </si>
  <si>
    <t xml:space="preserve">Boîte archives carton</t>
  </si>
  <si>
    <t xml:space="preserve">علبة الأرشيف</t>
  </si>
  <si>
    <t xml:space="preserve">C</t>
  </si>
  <si>
    <t xml:space="preserve">Bureau Plus</t>
  </si>
  <si>
    <t xml:space="preserve">Rayon C-E1</t>
  </si>
  <si>
    <r>
      <rPr>
        <b val="true"/>
        <sz val="9"/>
        <color rgb="FF000000"/>
        <rFont val="FreeSans"/>
        <family val="2"/>
      </rPr>
      <t xml:space="preserve">أرشيف وتخزين </t>
    </r>
    <r>
      <rPr>
        <b val="true"/>
        <sz val="9"/>
        <color rgb="FF000000"/>
        <rFont val="Calibri"/>
        <family val="0"/>
        <charset val="1"/>
      </rPr>
      <t xml:space="preserve">/ Archivage</t>
    </r>
  </si>
  <si>
    <r>
      <rPr>
        <sz val="9"/>
        <color rgb="FF000000"/>
        <rFont val="FreeSans"/>
        <family val="2"/>
      </rPr>
      <t xml:space="preserve">علب وملفات </t>
    </r>
    <r>
      <rPr>
        <sz val="9"/>
        <color rgb="FF000000"/>
        <rFont val="Calibri"/>
        <family val="0"/>
        <charset val="1"/>
      </rPr>
      <t xml:space="preserve">/ Boîtes</t>
    </r>
  </si>
  <si>
    <r>
      <rPr>
        <i val="true"/>
        <sz val="9"/>
        <color rgb="FF666666"/>
        <rFont val="Calibri"/>
        <family val="0"/>
        <charset val="1"/>
      </rPr>
      <t xml:space="preserve">boîte archive | </t>
    </r>
    <r>
      <rPr>
        <i val="true"/>
        <sz val="9"/>
        <color rgb="FF666666"/>
        <rFont val="FreeSans"/>
        <family val="2"/>
      </rPr>
      <t xml:space="preserve">علبة أرشيف </t>
    </r>
    <r>
      <rPr>
        <i val="true"/>
        <sz val="9"/>
        <color rgb="FF666666"/>
        <rFont val="Calibri"/>
        <family val="0"/>
        <charset val="1"/>
      </rPr>
      <t xml:space="preserve">| carton classement</t>
    </r>
  </si>
  <si>
    <t xml:space="preserve">ART-005</t>
  </si>
  <si>
    <t xml:space="preserve">Agrafeuse de bureau</t>
  </si>
  <si>
    <t xml:space="preserve">دباسة مكتبية</t>
  </si>
  <si>
    <r>
      <rPr>
        <b val="true"/>
        <sz val="9"/>
        <color rgb="FF000000"/>
        <rFont val="FreeSans"/>
        <family val="2"/>
      </rPr>
      <t xml:space="preserve">أدوات مكتبية </t>
    </r>
    <r>
      <rPr>
        <b val="true"/>
        <sz val="9"/>
        <color rgb="FF000000"/>
        <rFont val="Calibri"/>
        <family val="0"/>
        <charset val="1"/>
      </rPr>
      <t xml:space="preserve">/ Matériel Bureau</t>
    </r>
  </si>
  <si>
    <r>
      <rPr>
        <sz val="9"/>
        <color rgb="FF000000"/>
        <rFont val="FreeSans"/>
        <family val="2"/>
      </rPr>
      <t xml:space="preserve">تدبيس وربط </t>
    </r>
    <r>
      <rPr>
        <sz val="9"/>
        <color rgb="FF000000"/>
        <rFont val="Calibri"/>
        <family val="0"/>
        <charset val="1"/>
      </rPr>
      <t xml:space="preserve">/ Agrafage</t>
    </r>
  </si>
  <si>
    <r>
      <rPr>
        <i val="true"/>
        <sz val="9"/>
        <color rgb="FF666666"/>
        <rFont val="Calibri"/>
        <family val="0"/>
        <charset val="1"/>
      </rPr>
      <t xml:space="preserve">agrafeuse | stapler | </t>
    </r>
    <r>
      <rPr>
        <i val="true"/>
        <sz val="9"/>
        <color rgb="FF666666"/>
        <rFont val="FreeSans"/>
        <family val="2"/>
      </rPr>
      <t xml:space="preserve">دباسة كبيرة</t>
    </r>
  </si>
  <si>
    <t xml:space="preserve">ART-006</t>
  </si>
  <si>
    <t xml:space="preserve">Stylos bille boîte/50</t>
  </si>
  <si>
    <t xml:space="preserve">أقلام حبر جاف</t>
  </si>
  <si>
    <t xml:space="preserve">Boîte</t>
  </si>
  <si>
    <r>
      <rPr>
        <b val="true"/>
        <sz val="9"/>
        <color rgb="FF000000"/>
        <rFont val="FreeSans"/>
        <family val="2"/>
      </rPr>
      <t xml:space="preserve">أدوات الكتابة </t>
    </r>
    <r>
      <rPr>
        <b val="true"/>
        <sz val="9"/>
        <color rgb="FF000000"/>
        <rFont val="Calibri"/>
        <family val="0"/>
        <charset val="1"/>
      </rPr>
      <t xml:space="preserve">/ Écriture</t>
    </r>
  </si>
  <si>
    <r>
      <rPr>
        <sz val="9"/>
        <color rgb="FF000000"/>
        <rFont val="FreeSans"/>
        <family val="2"/>
      </rPr>
      <t xml:space="preserve">أقلام </t>
    </r>
    <r>
      <rPr>
        <sz val="9"/>
        <color rgb="FF000000"/>
        <rFont val="Calibri"/>
        <family val="0"/>
        <charset val="1"/>
      </rPr>
      <t xml:space="preserve">/ Stylos</t>
    </r>
  </si>
  <si>
    <r>
      <rPr>
        <i val="true"/>
        <sz val="9"/>
        <color rgb="FF666666"/>
        <rFont val="Calibri"/>
        <family val="0"/>
        <charset val="1"/>
      </rPr>
      <t xml:space="preserve">stylo bille | bic | </t>
    </r>
    <r>
      <rPr>
        <i val="true"/>
        <sz val="9"/>
        <color rgb="FF666666"/>
        <rFont val="FreeSans"/>
        <family val="2"/>
      </rPr>
      <t xml:space="preserve">قلم جاف </t>
    </r>
    <r>
      <rPr>
        <i val="true"/>
        <sz val="9"/>
        <color rgb="FF666666"/>
        <rFont val="Calibri"/>
        <family val="0"/>
        <charset val="1"/>
      </rPr>
      <t xml:space="preserve">| pen</t>
    </r>
  </si>
  <si>
    <t xml:space="preserve">ART-007</t>
  </si>
  <si>
    <t xml:space="preserve">Registre grand format 5m</t>
  </si>
  <si>
    <t xml:space="preserve">سجل 5م</t>
  </si>
  <si>
    <t xml:space="preserve">Rayon A-E2</t>
  </si>
  <si>
    <r>
      <rPr>
        <b val="true"/>
        <sz val="9"/>
        <color rgb="FF000000"/>
        <rFont val="FreeSans"/>
        <family val="2"/>
      </rPr>
      <t xml:space="preserve">سجلات إدارية </t>
    </r>
    <r>
      <rPr>
        <b val="true"/>
        <sz val="9"/>
        <color rgb="FF000000"/>
        <rFont val="Calibri"/>
        <family val="0"/>
        <charset val="1"/>
      </rPr>
      <t xml:space="preserve">/ Registres</t>
    </r>
  </si>
  <si>
    <r>
      <rPr>
        <sz val="9"/>
        <color rgb="FF000000"/>
        <rFont val="FreeSans"/>
        <family val="2"/>
      </rPr>
      <t xml:space="preserve">دفاتر وسجلات </t>
    </r>
    <r>
      <rPr>
        <sz val="9"/>
        <color rgb="FF000000"/>
        <rFont val="Calibri"/>
        <family val="0"/>
        <charset val="1"/>
      </rPr>
      <t xml:space="preserve">/ Cahiers</t>
    </r>
  </si>
  <si>
    <r>
      <rPr>
        <i val="true"/>
        <sz val="9"/>
        <color rgb="FF666666"/>
        <rFont val="Calibri"/>
        <family val="0"/>
        <charset val="1"/>
      </rPr>
      <t xml:space="preserve">registre 5m | grand registre | </t>
    </r>
    <r>
      <rPr>
        <i val="true"/>
        <sz val="9"/>
        <color rgb="FF666666"/>
        <rFont val="FreeSans"/>
        <family val="2"/>
      </rPr>
      <t xml:space="preserve">سجل إداري</t>
    </r>
  </si>
  <si>
    <t xml:space="preserve">ART-008</t>
  </si>
  <si>
    <t xml:space="preserve">Encre tampon</t>
  </si>
  <si>
    <t xml:space="preserve">حبر الختم</t>
  </si>
  <si>
    <t xml:space="preserve">Rayon C-E2</t>
  </si>
  <si>
    <r>
      <rPr>
        <sz val="9"/>
        <color rgb="FF000000"/>
        <rFont val="FreeSans"/>
        <family val="2"/>
      </rPr>
      <t xml:space="preserve">ختم وطباعة </t>
    </r>
    <r>
      <rPr>
        <sz val="9"/>
        <color rgb="FF000000"/>
        <rFont val="Calibri"/>
        <family val="0"/>
        <charset val="1"/>
      </rPr>
      <t xml:space="preserve">/ Tampon</t>
    </r>
  </si>
  <si>
    <r>
      <rPr>
        <i val="true"/>
        <sz val="9"/>
        <color rgb="FF666666"/>
        <rFont val="Calibri"/>
        <family val="0"/>
        <charset val="1"/>
      </rPr>
      <t xml:space="preserve">encre tampon | pad ink | </t>
    </r>
    <r>
      <rPr>
        <i val="true"/>
        <sz val="9"/>
        <color rgb="FF666666"/>
        <rFont val="FreeSans"/>
        <family val="2"/>
      </rPr>
      <t xml:space="preserve">حبر الختم الرسمي</t>
    </r>
  </si>
  <si>
    <t xml:space="preserve">ART-009</t>
  </si>
  <si>
    <t xml:space="preserve">Sous-chemise carton</t>
  </si>
  <si>
    <t xml:space="preserve">ملف (sous-chemise)</t>
  </si>
  <si>
    <r>
      <rPr>
        <i val="true"/>
        <sz val="9"/>
        <color rgb="FF666666"/>
        <rFont val="Calibri"/>
        <family val="0"/>
        <charset val="1"/>
      </rPr>
      <t xml:space="preserve">sous-chemise | </t>
    </r>
    <r>
      <rPr>
        <i val="true"/>
        <sz val="9"/>
        <color rgb="FF666666"/>
        <rFont val="FreeSans"/>
        <family val="2"/>
      </rPr>
      <t xml:space="preserve">ملف كرتوني </t>
    </r>
    <r>
      <rPr>
        <i val="true"/>
        <sz val="9"/>
        <color rgb="FF666666"/>
        <rFont val="Calibri"/>
        <family val="0"/>
        <charset val="1"/>
      </rPr>
      <t xml:space="preserve">| </t>
    </r>
    <r>
      <rPr>
        <i val="true"/>
        <sz val="9"/>
        <color rgb="FF666666"/>
        <rFont val="FreeSans"/>
        <family val="2"/>
      </rPr>
      <t xml:space="preserve">ملف أصفر </t>
    </r>
    <r>
      <rPr>
        <i val="true"/>
        <sz val="9"/>
        <color rgb="FF666666"/>
        <rFont val="Calibri"/>
        <family val="0"/>
        <charset val="1"/>
      </rPr>
      <t xml:space="preserve">| chemise carton</t>
    </r>
  </si>
  <si>
    <t xml:space="preserve">ART-010</t>
  </si>
  <si>
    <t xml:space="preserve">Chemise cartonnée</t>
  </si>
  <si>
    <t xml:space="preserve">ملف (Chemise)</t>
  </si>
  <si>
    <r>
      <rPr>
        <i val="true"/>
        <sz val="9"/>
        <color rgb="FF666666"/>
        <rFont val="Calibri"/>
        <family val="0"/>
        <charset val="1"/>
      </rPr>
      <t xml:space="preserve">chemise | </t>
    </r>
    <r>
      <rPr>
        <i val="true"/>
        <sz val="9"/>
        <color rgb="FF666666"/>
        <rFont val="FreeSans"/>
        <family val="2"/>
      </rPr>
      <t xml:space="preserve">ملف عادي </t>
    </r>
    <r>
      <rPr>
        <i val="true"/>
        <sz val="9"/>
        <color rgb="FF666666"/>
        <rFont val="Calibri"/>
        <family val="0"/>
        <charset val="1"/>
      </rPr>
      <t xml:space="preserve">| </t>
    </r>
    <r>
      <rPr>
        <i val="true"/>
        <sz val="9"/>
        <color rgb="FF666666"/>
        <rFont val="FreeSans"/>
        <family val="2"/>
      </rPr>
      <t xml:space="preserve">ملف </t>
    </r>
    <r>
      <rPr>
        <i val="true"/>
        <sz val="9"/>
        <color rgb="FF666666"/>
        <rFont val="Calibri"/>
        <family val="0"/>
        <charset val="1"/>
      </rPr>
      <t xml:space="preserve">A4 | folder</t>
    </r>
  </si>
  <si>
    <t xml:space="preserve">ART-011</t>
  </si>
  <si>
    <t xml:space="preserve">Rouleau papier fax</t>
  </si>
  <si>
    <t xml:space="preserve">بكرة الفاكس</t>
  </si>
  <si>
    <t xml:space="preserve">Rouleau</t>
  </si>
  <si>
    <t xml:space="preserve">Rayon B-E3</t>
  </si>
  <si>
    <r>
      <rPr>
        <sz val="9"/>
        <color rgb="FF000000"/>
        <rFont val="FreeSans"/>
        <family val="2"/>
      </rPr>
      <t xml:space="preserve">فاكس وطابعة </t>
    </r>
    <r>
      <rPr>
        <sz val="9"/>
        <color rgb="FF000000"/>
        <rFont val="Calibri"/>
        <family val="0"/>
        <charset val="1"/>
      </rPr>
      <t xml:space="preserve">/ Fax</t>
    </r>
  </si>
  <si>
    <r>
      <rPr>
        <i val="true"/>
        <sz val="9"/>
        <color rgb="FF666666"/>
        <rFont val="Calibri"/>
        <family val="0"/>
        <charset val="1"/>
      </rPr>
      <t xml:space="preserve">rouleau fax | papier fax | </t>
    </r>
    <r>
      <rPr>
        <i val="true"/>
        <sz val="9"/>
        <color rgb="FF666666"/>
        <rFont val="FreeSans"/>
        <family val="2"/>
      </rPr>
      <t xml:space="preserve">بكرة الفاكس الحراري</t>
    </r>
  </si>
  <si>
    <t xml:space="preserve">ART-012</t>
  </si>
  <si>
    <t xml:space="preserve">Marqueur permanent noir</t>
  </si>
  <si>
    <t xml:space="preserve">قلم تحديد أسود</t>
  </si>
  <si>
    <r>
      <rPr>
        <i val="true"/>
        <sz val="9"/>
        <color rgb="FF666666"/>
        <rFont val="Calibri"/>
        <family val="0"/>
        <charset val="1"/>
      </rPr>
      <t xml:space="preserve">marqueur | feutre | </t>
    </r>
    <r>
      <rPr>
        <i val="true"/>
        <sz val="9"/>
        <color rgb="FF666666"/>
        <rFont val="FreeSans"/>
        <family val="2"/>
      </rPr>
      <t xml:space="preserve">قلم ماجيك </t>
    </r>
    <r>
      <rPr>
        <i val="true"/>
        <sz val="9"/>
        <color rgb="FF666666"/>
        <rFont val="Calibri"/>
        <family val="0"/>
        <charset val="1"/>
      </rPr>
      <t xml:space="preserve">| marker permanent</t>
    </r>
  </si>
  <si>
    <t xml:space="preserve">📌  Classe A = forte valeur (contrôle mensuel)  |  Classe B = intermédiaire (trimestriel)  |  Classe C = courant (semestriel)  |  Colonne Alias = noms alternatifs pour référence — NE PAS utiliser pour saisie</t>
  </si>
  <si>
    <t xml:space="preserve">CATALOGUE DES FOURNISSEURS  —  Évaluation pondérée (note /10)</t>
  </si>
  <si>
    <t xml:space="preserve">Code</t>
  </si>
  <si>
    <t xml:space="preserve">Nom abrégé</t>
  </si>
  <si>
    <t xml:space="preserve">Raison sociale</t>
  </si>
  <si>
    <t xml:space="preserve">Wilaya</t>
  </si>
  <si>
    <t xml:space="preserve">Téléphone</t>
  </si>
  <si>
    <t xml:space="preserve">Classe</t>
  </si>
  <si>
    <t xml:space="preserve">Délai (j)</t>
  </si>
  <si>
    <t xml:space="preserve">Note /100</t>
  </si>
  <si>
    <t xml:space="preserve">Spécialité</t>
  </si>
  <si>
    <t xml:space="preserve">F-001</t>
  </si>
  <si>
    <t xml:space="preserve">Entreprise Nat. des Arts et Papeteries</t>
  </si>
  <si>
    <t xml:space="preserve">Alger</t>
  </si>
  <si>
    <t xml:space="preserve">021-XX-XX-XX</t>
  </si>
  <si>
    <t xml:space="preserve">Articles papeterie, impression</t>
  </si>
  <si>
    <t xml:space="preserve">F-002</t>
  </si>
  <si>
    <t xml:space="preserve">Fournisseur bureautique multi-services</t>
  </si>
  <si>
    <t xml:space="preserve">Oran</t>
  </si>
  <si>
    <t xml:space="preserve">041-XX-XX-XX</t>
  </si>
  <si>
    <t xml:space="preserve">Consommables informatiques, toners</t>
  </si>
  <si>
    <t xml:space="preserve">F-003</t>
  </si>
  <si>
    <t xml:space="preserve">Articles de bureau et consommables</t>
  </si>
  <si>
    <t xml:space="preserve">Mascara</t>
  </si>
  <si>
    <t xml:space="preserve">045-XX-XX-XX</t>
  </si>
  <si>
    <t xml:space="preserve">Matériel de bureau, classement</t>
  </si>
  <si>
    <r>
      <rPr>
        <b val="true"/>
        <sz val="14"/>
        <color rgb="FF000000"/>
        <rFont val="Calibri"/>
        <family val="0"/>
        <charset val="1"/>
      </rPr>
      <t xml:space="preserve">CONVENTIONS — </t>
    </r>
    <r>
      <rPr>
        <b val="true"/>
        <sz val="14"/>
        <color rgb="FF000000"/>
        <rFont val="FreeSans"/>
        <family val="2"/>
      </rPr>
      <t xml:space="preserve">قواعد التسمية والترميز </t>
    </r>
    <r>
      <rPr>
        <b val="true"/>
        <sz val="14"/>
        <color rgb="FF000000"/>
        <rFont val="Calibri"/>
        <family val="0"/>
        <charset val="1"/>
      </rPr>
      <t xml:space="preserve">| </t>
    </r>
    <r>
      <rPr>
        <b val="true"/>
        <sz val="14"/>
        <color rgb="FF000000"/>
        <rFont val="FreeSans"/>
        <family val="2"/>
      </rPr>
      <t xml:space="preserve">مديرية التربية — ولاية البيض</t>
    </r>
  </si>
  <si>
    <r>
      <rPr>
        <i val="true"/>
        <sz val="9"/>
        <color rgb="FF000000"/>
        <rFont val="FreeSans"/>
        <family val="2"/>
      </rPr>
      <t xml:space="preserve">هذه الورقة تُوثِّق الاصطلاحات المعتمدة في النظام لضمان الاتساق بين جميع الوثائق والمستخدمين</t>
    </r>
    <r>
      <rPr>
        <i val="true"/>
        <sz val="9"/>
        <color rgb="FF000000"/>
        <rFont val="Calibri"/>
        <family val="0"/>
        <charset val="1"/>
      </rPr>
      <t xml:space="preserve">.  |  </t>
    </r>
    <r>
      <rPr>
        <i val="true"/>
        <sz val="9"/>
        <color rgb="FF000000"/>
        <rFont val="FreeSans"/>
        <family val="2"/>
      </rPr>
      <t xml:space="preserve">لا تُعدِّل هذه الأرقام بعد البدء بالاستخدام الفعلي</t>
    </r>
    <r>
      <rPr>
        <i val="true"/>
        <sz val="9"/>
        <color rgb="FF000000"/>
        <rFont val="Calibri"/>
        <family val="0"/>
        <charset val="1"/>
      </rPr>
      <t xml:space="preserve">.</t>
    </r>
  </si>
  <si>
    <t xml:space="preserve">▸  أولاً — ترقيم الوثائق الإدارية</t>
  </si>
  <si>
    <r>
      <rPr>
        <b val="true"/>
        <sz val="10"/>
        <color rgb="FF000000"/>
        <rFont val="FreeSans"/>
        <family val="2"/>
      </rPr>
      <t xml:space="preserve">القاعدة العامة</t>
    </r>
    <r>
      <rPr>
        <b val="true"/>
        <sz val="10"/>
        <color rgb="FF000000"/>
        <rFont val="Calibri"/>
        <family val="0"/>
        <charset val="1"/>
      </rPr>
      <t xml:space="preserve">: </t>
    </r>
    <r>
      <rPr>
        <b val="true"/>
        <sz val="10"/>
        <color rgb="FF000000"/>
        <rFont val="FreeSans"/>
        <family val="2"/>
      </rPr>
      <t xml:space="preserve">رمز الوثيقة — السنة — الرقم التسلسلي</t>
    </r>
  </si>
  <si>
    <t xml:space="preserve">DA</t>
  </si>
  <si>
    <t xml:space="preserve">DA-SSSS-NNN</t>
  </si>
  <si>
    <t xml:space="preserve">DA-2026-001</t>
  </si>
  <si>
    <r>
      <rPr>
        <i val="true"/>
        <sz val="9"/>
        <color rgb="FF000000"/>
        <rFont val="FreeSans"/>
        <family val="2"/>
      </rPr>
      <t xml:space="preserve">قاعدة ثابتة </t>
    </r>
    <r>
      <rPr>
        <i val="true"/>
        <sz val="9"/>
        <color rgb="FF000000"/>
        <rFont val="Calibri"/>
        <family val="0"/>
        <charset val="1"/>
      </rPr>
      <t xml:space="preserve">/ Format :</t>
    </r>
  </si>
  <si>
    <r>
      <rPr>
        <sz val="9"/>
        <color rgb="FF000000"/>
        <rFont val="FreeSans"/>
        <family val="2"/>
      </rPr>
      <t xml:space="preserve">طلب الاحتياج الداخلي — يصدر عن المصلحة الطالبة قبل أي عملية شراء</t>
    </r>
    <r>
      <rPr>
        <sz val="9"/>
        <color rgb="FF000000"/>
        <rFont val="Calibri"/>
        <family val="0"/>
        <charset val="1"/>
      </rPr>
      <t xml:space="preserve">. SSSS=</t>
    </r>
    <r>
      <rPr>
        <sz val="9"/>
        <color rgb="FF000000"/>
        <rFont val="FreeSans"/>
        <family val="2"/>
      </rPr>
      <t xml:space="preserve">السنة</t>
    </r>
    <r>
      <rPr>
        <sz val="9"/>
        <color rgb="FF000000"/>
        <rFont val="Calibri"/>
        <family val="0"/>
        <charset val="1"/>
      </rPr>
      <t xml:space="preserve">. NNN=</t>
    </r>
    <r>
      <rPr>
        <sz val="9"/>
        <color rgb="FF000000"/>
        <rFont val="FreeSans"/>
        <family val="2"/>
      </rPr>
      <t xml:space="preserve">رقم متسلسل يبدأ من </t>
    </r>
    <r>
      <rPr>
        <sz val="9"/>
        <color rgb="FF000000"/>
        <rFont val="Calibri"/>
        <family val="0"/>
        <charset val="1"/>
      </rPr>
      <t xml:space="preserve">001 </t>
    </r>
    <r>
      <rPr>
        <sz val="9"/>
        <color rgb="FF000000"/>
        <rFont val="FreeSans"/>
        <family val="2"/>
      </rPr>
      <t xml:space="preserve">كل سنة</t>
    </r>
    <r>
      <rPr>
        <sz val="9"/>
        <color rgb="FF000000"/>
        <rFont val="Calibri"/>
        <family val="0"/>
        <charset val="1"/>
      </rPr>
      <t xml:space="preserve">.</t>
    </r>
  </si>
  <si>
    <t xml:space="preserve">BC</t>
  </si>
  <si>
    <t xml:space="preserve">BC-SSSS-NNN</t>
  </si>
  <si>
    <t xml:space="preserve">BC-2026-007</t>
  </si>
  <si>
    <r>
      <rPr>
        <sz val="9"/>
        <color rgb="FF000000"/>
        <rFont val="FreeSans"/>
        <family val="2"/>
      </rPr>
      <t xml:space="preserve">أمر الشراء — يصدر عن المديرية للمورد بعد اعتماد </t>
    </r>
    <r>
      <rPr>
        <sz val="9"/>
        <color rgb="FF000000"/>
        <rFont val="Calibri"/>
        <family val="0"/>
        <charset val="1"/>
      </rPr>
      <t xml:space="preserve">DA. </t>
    </r>
    <r>
      <rPr>
        <sz val="9"/>
        <color rgb="FF000000"/>
        <rFont val="FreeSans"/>
        <family val="2"/>
      </rPr>
      <t xml:space="preserve">يُحال دائماً لرقم </t>
    </r>
    <r>
      <rPr>
        <sz val="9"/>
        <color rgb="FF000000"/>
        <rFont val="Calibri"/>
        <family val="0"/>
        <charset val="1"/>
      </rPr>
      <t xml:space="preserve">DA </t>
    </r>
    <r>
      <rPr>
        <sz val="9"/>
        <color rgb="FF000000"/>
        <rFont val="FreeSans"/>
        <family val="2"/>
      </rPr>
      <t xml:space="preserve">في الخانة المخصصة</t>
    </r>
    <r>
      <rPr>
        <sz val="9"/>
        <color rgb="FF000000"/>
        <rFont val="Calibri"/>
        <family val="0"/>
        <charset val="1"/>
      </rPr>
      <t xml:space="preserve">.</t>
    </r>
  </si>
  <si>
    <t xml:space="preserve">BR</t>
  </si>
  <si>
    <t xml:space="preserve">BR-SSSS-NNN</t>
  </si>
  <si>
    <t xml:space="preserve">BR-2026-003</t>
  </si>
  <si>
    <r>
      <rPr>
        <sz val="9"/>
        <color rgb="FF000000"/>
        <rFont val="FreeSans"/>
        <family val="2"/>
      </rPr>
      <t xml:space="preserve">وصل الاستلام — يُحرَّر عند وصول البضاعة من المورد</t>
    </r>
    <r>
      <rPr>
        <sz val="9"/>
        <color rgb="FF000000"/>
        <rFont val="Calibri"/>
        <family val="0"/>
        <charset val="1"/>
      </rPr>
      <t xml:space="preserve">. </t>
    </r>
    <r>
      <rPr>
        <sz val="9"/>
        <color rgb="FF000000"/>
        <rFont val="FreeSans"/>
        <family val="2"/>
      </rPr>
      <t xml:space="preserve">يُحال لرقم </t>
    </r>
    <r>
      <rPr>
        <sz val="9"/>
        <color rgb="FF000000"/>
        <rFont val="Calibri"/>
        <family val="0"/>
        <charset val="1"/>
      </rPr>
      <t xml:space="preserve">BC </t>
    </r>
    <r>
      <rPr>
        <sz val="9"/>
        <color rgb="FF000000"/>
        <rFont val="FreeSans"/>
        <family val="2"/>
      </rPr>
      <t xml:space="preserve">المقابل</t>
    </r>
    <r>
      <rPr>
        <sz val="9"/>
        <color rgb="FF000000"/>
        <rFont val="Calibri"/>
        <family val="0"/>
        <charset val="1"/>
      </rPr>
      <t xml:space="preserve">. </t>
    </r>
    <r>
      <rPr>
        <sz val="9"/>
        <color rgb="FF000000"/>
        <rFont val="FreeSans"/>
        <family val="2"/>
      </rPr>
      <t xml:space="preserve">يُحفَظ في ملف اللوازم</t>
    </r>
    <r>
      <rPr>
        <sz val="9"/>
        <color rgb="FF000000"/>
        <rFont val="Calibri"/>
        <family val="0"/>
        <charset val="1"/>
      </rPr>
      <t xml:space="preserve">.</t>
    </r>
  </si>
  <si>
    <t xml:space="preserve">BS</t>
  </si>
  <si>
    <t xml:space="preserve">BS-SSSS-NNN</t>
  </si>
  <si>
    <t xml:space="preserve">BS-2026-012</t>
  </si>
  <si>
    <r>
      <rPr>
        <sz val="9"/>
        <color rgb="FF000000"/>
        <rFont val="FreeSans"/>
        <family val="2"/>
      </rPr>
      <t xml:space="preserve">وصل الخروج</t>
    </r>
    <r>
      <rPr>
        <sz val="9"/>
        <color rgb="FF000000"/>
        <rFont val="Calibri"/>
        <family val="0"/>
        <charset val="1"/>
      </rPr>
      <t xml:space="preserve">/</t>
    </r>
    <r>
      <rPr>
        <sz val="9"/>
        <color rgb="FF000000"/>
        <rFont val="FreeSans"/>
        <family val="2"/>
      </rPr>
      <t xml:space="preserve">الصرف — يُحرَّر عند تسليم المواد للمصلحة الطالبة</t>
    </r>
    <r>
      <rPr>
        <sz val="9"/>
        <color rgb="FF000000"/>
        <rFont val="Calibri"/>
        <family val="0"/>
        <charset val="1"/>
      </rPr>
      <t xml:space="preserve">. </t>
    </r>
    <r>
      <rPr>
        <sz val="9"/>
        <color rgb="FF000000"/>
        <rFont val="FreeSans"/>
        <family val="2"/>
      </rPr>
      <t xml:space="preserve">يُحال لرقم </t>
    </r>
    <r>
      <rPr>
        <sz val="9"/>
        <color rgb="FF000000"/>
        <rFont val="Calibri"/>
        <family val="0"/>
        <charset val="1"/>
      </rPr>
      <t xml:space="preserve">DA </t>
    </r>
    <r>
      <rPr>
        <sz val="9"/>
        <color rgb="FF000000"/>
        <rFont val="FreeSans"/>
        <family val="2"/>
      </rPr>
      <t xml:space="preserve">عند الإمكان</t>
    </r>
    <r>
      <rPr>
        <sz val="9"/>
        <color rgb="FF000000"/>
        <rFont val="Calibri"/>
        <family val="0"/>
        <charset val="1"/>
      </rPr>
      <t xml:space="preserve">.</t>
    </r>
  </si>
  <si>
    <t xml:space="preserve">BC_Comp</t>
  </si>
  <si>
    <t xml:space="preserve">BC-2026-007-C</t>
  </si>
  <si>
    <t xml:space="preserve">—</t>
  </si>
  <si>
    <r>
      <rPr>
        <sz val="9"/>
        <color rgb="FF000000"/>
        <rFont val="FreeSans"/>
        <family val="2"/>
      </rPr>
      <t xml:space="preserve">إضافة حرف </t>
    </r>
    <r>
      <rPr>
        <sz val="9"/>
        <color rgb="FF000000"/>
        <rFont val="Calibri"/>
        <family val="0"/>
        <charset val="1"/>
      </rPr>
      <t xml:space="preserve">C (Complément) </t>
    </r>
    <r>
      <rPr>
        <sz val="9"/>
        <color rgb="FF000000"/>
        <rFont val="FreeSans"/>
        <family val="2"/>
      </rPr>
      <t xml:space="preserve">لأوامر الشراء التكميلية لنفس الطلبية — نادر الاستخدام</t>
    </r>
    <r>
      <rPr>
        <sz val="9"/>
        <color rgb="FF000000"/>
        <rFont val="Calibri"/>
        <family val="0"/>
        <charset val="1"/>
      </rPr>
      <t xml:space="preserve">.</t>
    </r>
  </si>
  <si>
    <r>
      <rPr>
        <b val="true"/>
        <sz val="11"/>
        <color rgb="FFFFFFFF"/>
        <rFont val="FreeSans"/>
        <family val="2"/>
      </rPr>
      <t xml:space="preserve">▸  ثانياً — ترميز المواد </t>
    </r>
    <r>
      <rPr>
        <b val="true"/>
        <sz val="11"/>
        <color rgb="FFFFFFFF"/>
        <rFont val="Calibri"/>
        <family val="0"/>
        <charset val="1"/>
      </rPr>
      <t xml:space="preserve">(Code Article)</t>
    </r>
  </si>
  <si>
    <t xml:space="preserve">ART</t>
  </si>
  <si>
    <t xml:space="preserve">ART-NNN</t>
  </si>
  <si>
    <r>
      <rPr>
        <sz val="9"/>
        <color rgb="FF000000"/>
        <rFont val="FreeSans"/>
        <family val="2"/>
      </rPr>
      <t xml:space="preserve">كل مادة تأخذ رمزاً فريداً لا يتغير أبداً بعد تسجيلها في النظام</t>
    </r>
    <r>
      <rPr>
        <sz val="9"/>
        <color rgb="FF000000"/>
        <rFont val="Calibri"/>
        <family val="0"/>
        <charset val="1"/>
      </rPr>
      <t xml:space="preserve">. NNN </t>
    </r>
    <r>
      <rPr>
        <sz val="9"/>
        <color rgb="FF000000"/>
        <rFont val="FreeSans"/>
        <family val="2"/>
      </rPr>
      <t xml:space="preserve">يبدأ من </t>
    </r>
    <r>
      <rPr>
        <sz val="9"/>
        <color rgb="FF000000"/>
        <rFont val="Calibri"/>
        <family val="0"/>
        <charset val="1"/>
      </rPr>
      <t xml:space="preserve">001 </t>
    </r>
    <r>
      <rPr>
        <sz val="9"/>
        <color rgb="FF000000"/>
        <rFont val="FreeSans"/>
        <family val="2"/>
      </rPr>
      <t xml:space="preserve">ويزيد بـ </t>
    </r>
    <r>
      <rPr>
        <sz val="9"/>
        <color rgb="FF000000"/>
        <rFont val="Calibri"/>
        <family val="0"/>
        <charset val="1"/>
      </rPr>
      <t xml:space="preserve">1 </t>
    </r>
    <r>
      <rPr>
        <sz val="9"/>
        <color rgb="FF000000"/>
        <rFont val="FreeSans"/>
        <family val="2"/>
      </rPr>
      <t xml:space="preserve">لكل مادة جديدة</t>
    </r>
    <r>
      <rPr>
        <sz val="9"/>
        <color rgb="FF000000"/>
        <rFont val="Calibri"/>
        <family val="0"/>
        <charset val="1"/>
      </rPr>
      <t xml:space="preserve">. </t>
    </r>
    <r>
      <rPr>
        <sz val="9"/>
        <color rgb="FF000000"/>
        <rFont val="FreeSans"/>
        <family val="2"/>
      </rPr>
      <t xml:space="preserve">لا تُعيد استخدام رمز مادة محذوفة</t>
    </r>
    <r>
      <rPr>
        <sz val="9"/>
        <color rgb="FF000000"/>
        <rFont val="Calibri"/>
        <family val="0"/>
        <charset val="1"/>
      </rPr>
      <t xml:space="preserve">.</t>
    </r>
  </si>
  <si>
    <t xml:space="preserve">INC</t>
  </si>
  <si>
    <t xml:space="preserve">INC-01</t>
  </si>
  <si>
    <r>
      <rPr>
        <sz val="9"/>
        <color rgb="FF000000"/>
        <rFont val="FreeSans"/>
        <family val="2"/>
      </rPr>
      <t xml:space="preserve">للمواد غير المعرَّفة أو التي لم تُصنَّف بعد</t>
    </r>
    <r>
      <rPr>
        <sz val="9"/>
        <color rgb="FF000000"/>
        <rFont val="Calibri"/>
        <family val="0"/>
        <charset val="1"/>
      </rPr>
      <t xml:space="preserve">. </t>
    </r>
    <r>
      <rPr>
        <sz val="9"/>
        <color rgb="FF000000"/>
        <rFont val="FreeSans"/>
        <family val="2"/>
      </rPr>
      <t xml:space="preserve">تُعالَج قبل أي عملية إدخال رسمية</t>
    </r>
    <r>
      <rPr>
        <sz val="9"/>
        <color rgb="FF000000"/>
        <rFont val="Calibri"/>
        <family val="0"/>
        <charset val="1"/>
      </rPr>
      <t xml:space="preserve">.</t>
    </r>
  </si>
  <si>
    <r>
      <rPr>
        <b val="true"/>
        <sz val="11"/>
        <color rgb="FFFFFFFF"/>
        <rFont val="FreeSans"/>
        <family val="2"/>
      </rPr>
      <t xml:space="preserve">▸  ثالثاً — هرمية الفئات </t>
    </r>
    <r>
      <rPr>
        <b val="true"/>
        <sz val="11"/>
        <color rgb="FFFFFFFF"/>
        <rFont val="Calibri"/>
        <family val="0"/>
        <charset val="1"/>
      </rPr>
      <t xml:space="preserve">(Catégories)</t>
    </r>
  </si>
  <si>
    <t xml:space="preserve">1</t>
  </si>
  <si>
    <t xml:space="preserve">لوازم مكتبية</t>
  </si>
  <si>
    <t xml:space="preserve">Fournitures Bureau</t>
  </si>
  <si>
    <t xml:space="preserve">ورق الطباعة</t>
  </si>
  <si>
    <t xml:space="preserve">ورق — أقلام — ملفات — دفاتر — سجلات إدارية</t>
  </si>
  <si>
    <t xml:space="preserve">2</t>
  </si>
  <si>
    <t xml:space="preserve">مستهلكات إعلام آلي</t>
  </si>
  <si>
    <t xml:space="preserve">Consommables IT</t>
  </si>
  <si>
    <t xml:space="preserve">حبر وتونر</t>
  </si>
  <si>
    <t xml:space="preserve">تونر الطابعة — خراطيش الحبر — بكرة الفاكس</t>
  </si>
  <si>
    <t xml:space="preserve">3</t>
  </si>
  <si>
    <t xml:space="preserve">أرشيف وتخزين</t>
  </si>
  <si>
    <t xml:space="preserve">Archivage &amp; Classement</t>
  </si>
  <si>
    <t xml:space="preserve">علب وملفات</t>
  </si>
  <si>
    <r>
      <rPr>
        <sz val="9"/>
        <color rgb="FF000000"/>
        <rFont val="FreeSans"/>
        <family val="2"/>
      </rPr>
      <t xml:space="preserve">علب الأرشيف — الملفات الكرتونية — ملفات </t>
    </r>
    <r>
      <rPr>
        <sz val="9"/>
        <color rgb="FF000000"/>
        <rFont val="Calibri"/>
        <family val="0"/>
        <charset val="1"/>
      </rPr>
      <t xml:space="preserve">A4</t>
    </r>
  </si>
  <si>
    <t xml:space="preserve">4</t>
  </si>
  <si>
    <t xml:space="preserve">أدوات مكتبية</t>
  </si>
  <si>
    <t xml:space="preserve">Matériel Bureau</t>
  </si>
  <si>
    <t xml:space="preserve">تدبيس وربط</t>
  </si>
  <si>
    <t xml:space="preserve">الدباسة — دبابيس — مشابك — ختم ومساحة</t>
  </si>
  <si>
    <t xml:space="preserve">5</t>
  </si>
  <si>
    <t xml:space="preserve">أدوات الكتابة</t>
  </si>
  <si>
    <t xml:space="preserve">Écriture &amp; Dessin</t>
  </si>
  <si>
    <t xml:space="preserve">أقلام</t>
  </si>
  <si>
    <t xml:space="preserve">قلم جاف — قلم تحديد — قلم ماجيك — ممحاة</t>
  </si>
  <si>
    <t xml:space="preserve">6</t>
  </si>
  <si>
    <t xml:space="preserve">سجلات إدارية</t>
  </si>
  <si>
    <t xml:space="preserve">Registres Administratifs</t>
  </si>
  <si>
    <t xml:space="preserve">دفاتر وسجلات</t>
  </si>
  <si>
    <r>
      <rPr>
        <sz val="9"/>
        <color rgb="FF000000"/>
        <rFont val="FreeSans"/>
        <family val="2"/>
      </rPr>
      <t xml:space="preserve">سجل </t>
    </r>
    <r>
      <rPr>
        <sz val="9"/>
        <color rgb="FF000000"/>
        <rFont val="Calibri"/>
        <family val="0"/>
        <charset val="1"/>
      </rPr>
      <t xml:space="preserve">5</t>
    </r>
    <r>
      <rPr>
        <sz val="9"/>
        <color rgb="FF000000"/>
        <rFont val="FreeSans"/>
        <family val="2"/>
      </rPr>
      <t xml:space="preserve">م — دفتر كبير — دفتر حضور</t>
    </r>
  </si>
  <si>
    <r>
      <rPr>
        <b val="true"/>
        <sz val="11"/>
        <color rgb="FFFFFFFF"/>
        <rFont val="FreeSans"/>
        <family val="2"/>
      </rPr>
      <t xml:space="preserve">▸  رابعاً — قواعد التسمية الرسمية 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قاعدة ذهبية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</si>
  <si>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★</t>
  </si>
  <si>
    <r>
      <rPr>
        <b val="true"/>
        <sz val="9"/>
        <color rgb="FF000000"/>
        <rFont val="FreeSans"/>
        <family val="2"/>
      </rPr>
      <t xml:space="preserve">التسمية الرسمية </t>
    </r>
    <r>
      <rPr>
        <b val="true"/>
        <sz val="9"/>
        <color rgb="FF000000"/>
        <rFont val="Calibri"/>
        <family val="0"/>
        <charset val="1"/>
      </rPr>
      <t xml:space="preserve">(FR): </t>
    </r>
    <r>
      <rPr>
        <b val="true"/>
        <sz val="9"/>
        <color rgb="FF000000"/>
        <rFont val="FreeSans"/>
        <family val="2"/>
      </rPr>
      <t xml:space="preserve">مُحددة، معيارية، تشمل المواصفة التقنية</t>
    </r>
  </si>
  <si>
    <r>
      <rPr>
        <i val="true"/>
        <sz val="9"/>
        <color rgb="FF555555"/>
        <rFont val="FreeSans"/>
        <family val="2"/>
      </rPr>
      <t xml:space="preserve">مثال صحيح</t>
    </r>
    <r>
      <rPr>
        <i val="true"/>
        <sz val="9"/>
        <color rgb="FF555555"/>
        <rFont val="Calibri"/>
        <family val="0"/>
        <charset val="1"/>
      </rPr>
      <t xml:space="preserve">: "Rame papier A4 80g/m²"  |  </t>
    </r>
    <r>
      <rPr>
        <i val="true"/>
        <sz val="9"/>
        <color rgb="FF555555"/>
        <rFont val="FreeSans"/>
        <family val="2"/>
      </rPr>
      <t xml:space="preserve">خاطئ</t>
    </r>
    <r>
      <rPr>
        <i val="true"/>
        <sz val="9"/>
        <color rgb="FF555555"/>
        <rFont val="Calibri"/>
        <family val="0"/>
        <charset val="1"/>
      </rPr>
      <t xml:space="preserve">: "</t>
    </r>
    <r>
      <rPr>
        <i val="true"/>
        <sz val="9"/>
        <color rgb="FF555555"/>
        <rFont val="FreeSans"/>
        <family val="2"/>
      </rPr>
      <t xml:space="preserve">ورق أبيض</t>
    </r>
    <r>
      <rPr>
        <i val="true"/>
        <sz val="9"/>
        <color rgb="FF555555"/>
        <rFont val="Calibri"/>
        <family val="0"/>
        <charset val="1"/>
      </rPr>
      <t xml:space="preserve">" </t>
    </r>
    <r>
      <rPr>
        <i val="true"/>
        <sz val="9"/>
        <color rgb="FF555555"/>
        <rFont val="FreeSans"/>
        <family val="2"/>
      </rPr>
      <t xml:space="preserve">أو </t>
    </r>
    <r>
      <rPr>
        <i val="true"/>
        <sz val="9"/>
        <color rgb="FF555555"/>
        <rFont val="Calibri"/>
        <family val="0"/>
        <charset val="1"/>
      </rPr>
      <t xml:space="preserve">"Rame A4"</t>
    </r>
  </si>
  <si>
    <r>
      <rPr>
        <b val="true"/>
        <sz val="9"/>
        <color rgb="FF000000"/>
        <rFont val="FreeSans"/>
        <family val="2"/>
      </rPr>
      <t xml:space="preserve">التسمية الرسمية </t>
    </r>
    <r>
      <rPr>
        <b val="true"/>
        <sz val="9"/>
        <color rgb="FF000000"/>
        <rFont val="Calibri"/>
        <family val="0"/>
        <charset val="1"/>
      </rPr>
      <t xml:space="preserve">(AR): </t>
    </r>
    <r>
      <rPr>
        <b val="true"/>
        <sz val="9"/>
        <color rgb="FF000000"/>
        <rFont val="FreeSans"/>
        <family val="2"/>
      </rPr>
      <t xml:space="preserve">تُكتَب مرة واحدة فقط في ورقة </t>
    </r>
    <r>
      <rPr>
        <b val="true"/>
        <sz val="9"/>
        <color rgb="FF000000"/>
        <rFont val="Calibri"/>
        <family val="0"/>
        <charset val="1"/>
      </rPr>
      <t xml:space="preserve">ARTICLES — </t>
    </r>
    <r>
      <rPr>
        <b val="true"/>
        <sz val="9"/>
        <color rgb="FF000000"/>
        <rFont val="FreeSans"/>
        <family val="2"/>
      </rPr>
      <t xml:space="preserve">لا يُكتَب الاسم يدوياً في أي وثيقة أخرى</t>
    </r>
  </si>
  <si>
    <r>
      <rPr>
        <i val="true"/>
        <sz val="9"/>
        <color rgb="FF555555"/>
        <rFont val="FreeSans"/>
        <family val="2"/>
      </rPr>
      <t xml:space="preserve">الاسم يُجلَب تلقائياً بـ </t>
    </r>
    <r>
      <rPr>
        <i val="true"/>
        <sz val="9"/>
        <color rgb="FF555555"/>
        <rFont val="Calibri"/>
        <family val="0"/>
        <charset val="1"/>
      </rPr>
      <t xml:space="preserve">VLOOKUP </t>
    </r>
    <r>
      <rPr>
        <i val="true"/>
        <sz val="9"/>
        <color rgb="FF555555"/>
        <rFont val="FreeSans"/>
        <family val="2"/>
      </rPr>
      <t xml:space="preserve">من رمز المادة</t>
    </r>
  </si>
  <si>
    <r>
      <rPr>
        <b val="true"/>
        <sz val="9"/>
        <color rgb="FF000000"/>
        <rFont val="FreeSans"/>
        <family val="2"/>
      </rPr>
      <t xml:space="preserve">الأسماء البديلة </t>
    </r>
    <r>
      <rPr>
        <b val="true"/>
        <sz val="9"/>
        <color rgb="FF000000"/>
        <rFont val="Calibri"/>
        <family val="0"/>
        <charset val="1"/>
      </rPr>
      <t xml:space="preserve">(Alias): </t>
    </r>
    <r>
      <rPr>
        <b val="true"/>
        <sz val="9"/>
        <color rgb="FF000000"/>
        <rFont val="FreeSans"/>
        <family val="2"/>
      </rPr>
      <t xml:space="preserve">تُوثَّق في العمود </t>
    </r>
    <r>
      <rPr>
        <b val="true"/>
        <sz val="9"/>
        <color rgb="FF000000"/>
        <rFont val="Calibri"/>
        <family val="0"/>
        <charset val="1"/>
      </rPr>
      <t xml:space="preserve">13 </t>
    </r>
    <r>
      <rPr>
        <b val="true"/>
        <sz val="9"/>
        <color rgb="FF000000"/>
        <rFont val="FreeSans"/>
        <family val="2"/>
      </rPr>
      <t xml:space="preserve">من </t>
    </r>
    <r>
      <rPr>
        <b val="true"/>
        <sz val="9"/>
        <color rgb="FF000000"/>
        <rFont val="Calibri"/>
        <family val="0"/>
        <charset val="1"/>
      </rPr>
      <t xml:space="preserve">ARTICLES </t>
    </r>
    <r>
      <rPr>
        <b val="true"/>
        <sz val="9"/>
        <color rgb="FF000000"/>
        <rFont val="FreeSans"/>
        <family val="2"/>
      </rPr>
      <t xml:space="preserve">للاسترشاد — لا تُستخدَم للإدخال</t>
    </r>
  </si>
  <si>
    <r>
      <rPr>
        <i val="true"/>
        <sz val="9"/>
        <color rgb="FF555555"/>
        <rFont val="FreeSans"/>
        <family val="2"/>
      </rPr>
      <t xml:space="preserve">مثال</t>
    </r>
    <r>
      <rPr>
        <i val="true"/>
        <sz val="9"/>
        <color rgb="FF555555"/>
        <rFont val="Calibri"/>
        <family val="0"/>
        <charset val="1"/>
      </rPr>
      <t xml:space="preserve">: ART-001 → alias: "Rame A4 | papier blanc | </t>
    </r>
    <r>
      <rPr>
        <i val="true"/>
        <sz val="9"/>
        <color rgb="FF555555"/>
        <rFont val="FreeSans"/>
        <family val="2"/>
      </rPr>
      <t xml:space="preserve">ورق مكتبي</t>
    </r>
    <r>
      <rPr>
        <i val="true"/>
        <sz val="9"/>
        <color rgb="FF555555"/>
        <rFont val="Calibri"/>
        <family val="0"/>
        <charset val="1"/>
      </rPr>
      <t xml:space="preserve">" — </t>
    </r>
    <r>
      <rPr>
        <i val="true"/>
        <sz val="9"/>
        <color rgb="FF555555"/>
        <rFont val="FreeSans"/>
        <family val="2"/>
      </rPr>
      <t xml:space="preserve">كلها خاطئة للإدخال</t>
    </r>
  </si>
  <si>
    <r>
      <rPr>
        <b val="true"/>
        <sz val="9"/>
        <color rgb="FF000000"/>
        <rFont val="FreeSans"/>
        <family val="2"/>
      </rPr>
      <t xml:space="preserve">الوحدة</t>
    </r>
    <r>
      <rPr>
        <b val="true"/>
        <sz val="9"/>
        <color rgb="FF000000"/>
        <rFont val="Calibri"/>
        <family val="0"/>
        <charset val="1"/>
      </rPr>
      <t xml:space="preserve">: </t>
    </r>
    <r>
      <rPr>
        <b val="true"/>
        <sz val="9"/>
        <color rgb="FF000000"/>
        <rFont val="FreeSans"/>
        <family val="2"/>
      </rPr>
      <t xml:space="preserve">تُحدَّد مرة واحدة في </t>
    </r>
    <r>
      <rPr>
        <b val="true"/>
        <sz val="9"/>
        <color rgb="FF000000"/>
        <rFont val="Calibri"/>
        <family val="0"/>
        <charset val="1"/>
      </rPr>
      <t xml:space="preserve">ARTICLES — </t>
    </r>
    <r>
      <rPr>
        <b val="true"/>
        <sz val="9"/>
        <color rgb="FF000000"/>
        <rFont val="FreeSans"/>
        <family val="2"/>
      </rPr>
      <t xml:space="preserve">رزمة </t>
    </r>
    <r>
      <rPr>
        <b val="true"/>
        <sz val="9"/>
        <color rgb="FF000000"/>
        <rFont val="Calibri"/>
        <family val="0"/>
        <charset val="1"/>
      </rPr>
      <t xml:space="preserve">/ </t>
    </r>
    <r>
      <rPr>
        <b val="true"/>
        <sz val="9"/>
        <color rgb="FF000000"/>
        <rFont val="FreeSans"/>
        <family val="2"/>
      </rPr>
      <t xml:space="preserve">وحدة </t>
    </r>
    <r>
      <rPr>
        <b val="true"/>
        <sz val="9"/>
        <color rgb="FF000000"/>
        <rFont val="Calibri"/>
        <family val="0"/>
        <charset val="1"/>
      </rPr>
      <t xml:space="preserve">/ </t>
    </r>
    <r>
      <rPr>
        <b val="true"/>
        <sz val="9"/>
        <color rgb="FF000000"/>
        <rFont val="FreeSans"/>
        <family val="2"/>
      </rPr>
      <t xml:space="preserve">علبة </t>
    </r>
    <r>
      <rPr>
        <b val="true"/>
        <sz val="9"/>
        <color rgb="FF000000"/>
        <rFont val="Calibri"/>
        <family val="0"/>
        <charset val="1"/>
      </rPr>
      <t xml:space="preserve">/ </t>
    </r>
    <r>
      <rPr>
        <b val="true"/>
        <sz val="9"/>
        <color rgb="FF000000"/>
        <rFont val="FreeSans"/>
        <family val="2"/>
      </rPr>
      <t xml:space="preserve">رولو — لا تخلط بين رزمة وقطعة</t>
    </r>
  </si>
  <si>
    <r>
      <rPr>
        <i val="true"/>
        <sz val="9"/>
        <color rgb="FF555555"/>
        <rFont val="FreeSans"/>
        <family val="2"/>
      </rPr>
      <t xml:space="preserve">مثال</t>
    </r>
    <r>
      <rPr>
        <i val="true"/>
        <sz val="9"/>
        <color rgb="FF555555"/>
        <rFont val="Calibri"/>
        <family val="0"/>
        <charset val="1"/>
      </rPr>
      <t xml:space="preserve">: ART-001 </t>
    </r>
    <r>
      <rPr>
        <i val="true"/>
        <sz val="9"/>
        <color rgb="FF555555"/>
        <rFont val="FreeSans"/>
        <family val="2"/>
      </rPr>
      <t xml:space="preserve">وحدته </t>
    </r>
    <r>
      <rPr>
        <i val="true"/>
        <sz val="9"/>
        <color rgb="FF555555"/>
        <rFont val="Calibri"/>
        <family val="0"/>
        <charset val="1"/>
      </rPr>
      <t xml:space="preserve">Rame (</t>
    </r>
    <r>
      <rPr>
        <i val="true"/>
        <sz val="9"/>
        <color rgb="FF555555"/>
        <rFont val="FreeSans"/>
        <family val="2"/>
      </rPr>
      <t xml:space="preserve">رزمة </t>
    </r>
    <r>
      <rPr>
        <i val="true"/>
        <sz val="9"/>
        <color rgb="FF555555"/>
        <rFont val="Calibri"/>
        <family val="0"/>
        <charset val="1"/>
      </rPr>
      <t xml:space="preserve">500 </t>
    </r>
    <r>
      <rPr>
        <i val="true"/>
        <sz val="9"/>
        <color rgb="FF555555"/>
        <rFont val="FreeSans"/>
        <family val="2"/>
      </rPr>
      <t xml:space="preserve">ورقة</t>
    </r>
    <r>
      <rPr>
        <i val="true"/>
        <sz val="9"/>
        <color rgb="FF555555"/>
        <rFont val="Calibri"/>
        <family val="0"/>
        <charset val="1"/>
      </rPr>
      <t xml:space="preserve">) </t>
    </r>
    <r>
      <rPr>
        <i val="true"/>
        <sz val="9"/>
        <color rgb="FF555555"/>
        <rFont val="FreeSans"/>
        <family val="2"/>
      </rPr>
      <t xml:space="preserve">وليس </t>
    </r>
    <r>
      <rPr>
        <i val="true"/>
        <sz val="9"/>
        <color rgb="FF555555"/>
        <rFont val="Calibri"/>
        <family val="0"/>
        <charset val="1"/>
      </rPr>
      <t xml:space="preserve">"</t>
    </r>
    <r>
      <rPr>
        <i val="true"/>
        <sz val="9"/>
        <color rgb="FF555555"/>
        <rFont val="FreeSans"/>
        <family val="2"/>
      </rPr>
      <t xml:space="preserve">ورقة</t>
    </r>
    <r>
      <rPr>
        <i val="true"/>
        <sz val="9"/>
        <color rgb="FF555555"/>
        <rFont val="Calibri"/>
        <family val="0"/>
        <charset val="1"/>
      </rPr>
      <t xml:space="preserve">" </t>
    </r>
    <r>
      <rPr>
        <i val="true"/>
        <sz val="9"/>
        <color rgb="FF555555"/>
        <rFont val="FreeSans"/>
        <family val="2"/>
      </rPr>
      <t xml:space="preserve">أو </t>
    </r>
    <r>
      <rPr>
        <i val="true"/>
        <sz val="9"/>
        <color rgb="FF555555"/>
        <rFont val="Calibri"/>
        <family val="0"/>
        <charset val="1"/>
      </rPr>
      <t xml:space="preserve">"</t>
    </r>
    <r>
      <rPr>
        <i val="true"/>
        <sz val="9"/>
        <color rgb="FF555555"/>
        <rFont val="FreeSans"/>
        <family val="2"/>
      </rPr>
      <t xml:space="preserve">حزمة</t>
    </r>
    <r>
      <rPr>
        <i val="true"/>
        <sz val="9"/>
        <color rgb="FF555555"/>
        <rFont val="Calibri"/>
        <family val="0"/>
        <charset val="1"/>
      </rPr>
      <t xml:space="preserve">"</t>
    </r>
  </si>
  <si>
    <r>
      <rPr>
        <i val="true"/>
        <sz val="8"/>
        <color rgb="FF888888"/>
        <rFont val="Calibri"/>
        <family val="0"/>
        <charset val="1"/>
      </rPr>
      <t xml:space="preserve">ERP_Academie_v9  |  </t>
    </r>
    <r>
      <rPr>
        <i val="true"/>
        <sz val="8"/>
        <color rgb="FF888888"/>
        <rFont val="FreeSans"/>
        <family val="2"/>
      </rPr>
      <t xml:space="preserve">مديرية التربية — ولاية البيض  </t>
    </r>
    <r>
      <rPr>
        <i val="true"/>
        <sz val="8"/>
        <color rgb="FF888888"/>
        <rFont val="Calibri"/>
        <family val="0"/>
        <charset val="1"/>
      </rPr>
      <t xml:space="preserve">|  </t>
    </r>
    <r>
      <rPr>
        <i val="true"/>
        <sz val="8"/>
        <color rgb="FF888888"/>
        <rFont val="FreeSans"/>
        <family val="2"/>
      </rPr>
      <t xml:space="preserve">ماحي كمال عبد الغني — </t>
    </r>
    <r>
      <rPr>
        <i val="true"/>
        <sz val="8"/>
        <color rgb="FF888888"/>
        <rFont val="Calibri"/>
        <family val="0"/>
        <charset val="1"/>
      </rPr>
      <t xml:space="preserve">TAG1801  |  02/04/2026</t>
    </r>
  </si>
  <si>
    <t xml:space="preserve">TAG1801 — CNEPD/INSFP El Bayadh</t>
  </si>
  <si>
    <t xml:space="preserve">REGISTRE DES MOUVEMENTS  —  ENTRÉES / SORTIES  [v7 | OPT-01 range 500 | OPT-02 MAX(1,…) CMUP | FIX-01 no prefix]</t>
  </si>
  <si>
    <t xml:space="preserve">Date</t>
  </si>
  <si>
    <t xml:space="preserve">Désignation (auto)</t>
  </si>
  <si>
    <t xml:space="preserve">Type
IN/OUT</t>
  </si>
  <si>
    <t xml:space="preserve">Quantité</t>
  </si>
  <si>
    <t xml:space="preserve">Prix Unit. (DA)
[AUTO-VLOOKUP]</t>
  </si>
  <si>
    <t xml:space="preserve">Valeur (DA)</t>
  </si>
  <si>
    <t xml:space="preserve">Réf. Doc</t>
  </si>
  <si>
    <t xml:space="preserve">Prix Cat.
(VLOOKUP col I)</t>
  </si>
  <si>
    <t xml:space="preserve">Stock Net
(IN−OUT col J)</t>
  </si>
  <si>
    <t xml:space="preserve">Valeur IN
Cumulée (K)</t>
  </si>
  <si>
    <t xml:space="preserve">CMUP Exact
(L=K÷MAX(1,ΣIN))
[OPT-02]</t>
  </si>
  <si>
    <t xml:space="preserve">Notes</t>
  </si>
  <si>
    <t xml:space="preserve">IN</t>
  </si>
  <si>
    <t xml:space="preserve">SI-2025</t>
  </si>
  <si>
    <t xml:space="preserve">رصيد افتتاحي 31/12/2025</t>
  </si>
  <si>
    <t xml:space="preserve">OUT</t>
  </si>
  <si>
    <t xml:space="preserve">BS-J1-001</t>
  </si>
  <si>
    <t xml:space="preserve">مصلحة الرواتب + المستخدمين</t>
  </si>
  <si>
    <t xml:space="preserve">BS-J1-002</t>
  </si>
  <si>
    <t xml:space="preserve">مصلحة الموظفين + الامتحانات</t>
  </si>
  <si>
    <t xml:space="preserve">BS-J1-003</t>
  </si>
  <si>
    <t xml:space="preserve">عدة مصالح — نهاية يناير</t>
  </si>
  <si>
    <t xml:space="preserve">BR-001</t>
  </si>
  <si>
    <t xml:space="preserve">وصل استلام — Toner G030</t>
  </si>
  <si>
    <t xml:space="preserve">وصل استلام — رزمة ورق A3</t>
  </si>
  <si>
    <t xml:space="preserve">SI-001</t>
  </si>
  <si>
    <t xml:space="preserve">رصيد افتتاحي فيفري</t>
  </si>
  <si>
    <t xml:space="preserve">BS-F1-001</t>
  </si>
  <si>
    <t xml:space="preserve">مصلحة الطباعة</t>
  </si>
  <si>
    <t xml:space="preserve">BS-F1-002</t>
  </si>
  <si>
    <t xml:space="preserve">مصلحة الرواتب والطبع</t>
  </si>
  <si>
    <t xml:space="preserve">BS-F1-003</t>
  </si>
  <si>
    <t xml:space="preserve">مصلحة الدراسات</t>
  </si>
  <si>
    <t xml:space="preserve">BS-F1-004</t>
  </si>
  <si>
    <t xml:space="preserve">عدة مكاتب</t>
  </si>
  <si>
    <t xml:space="preserve">BS-F1-005</t>
  </si>
  <si>
    <r>
      <rPr>
        <i val="true"/>
        <sz val="9"/>
        <color rgb="FF000000"/>
        <rFont val="Calibri"/>
        <family val="0"/>
        <charset val="1"/>
      </rPr>
      <t xml:space="preserve">!! </t>
    </r>
    <r>
      <rPr>
        <i val="true"/>
        <sz val="9"/>
        <color rgb="FF000000"/>
        <rFont val="FreeSans"/>
        <family val="2"/>
      </rPr>
      <t xml:space="preserve">نفاد مؤكد </t>
    </r>
    <r>
      <rPr>
        <i val="true"/>
        <sz val="9"/>
        <color rgb="FF000000"/>
        <rFont val="Calibri"/>
        <family val="0"/>
        <charset val="1"/>
      </rPr>
      <t xml:space="preserve">G030 → 0 </t>
    </r>
    <r>
      <rPr>
        <i val="true"/>
        <sz val="9"/>
        <color rgb="FF000000"/>
        <rFont val="FreeSans"/>
        <family val="2"/>
      </rPr>
      <t xml:space="preserve">وحدة</t>
    </r>
  </si>
  <si>
    <t xml:space="preserve">BS-F1-006</t>
  </si>
  <si>
    <t xml:space="preserve">مصلحة الأرشيف</t>
  </si>
  <si>
    <t xml:space="preserve">BS-F1-007</t>
  </si>
  <si>
    <t xml:space="preserve">BS-F2-001</t>
  </si>
  <si>
    <t xml:space="preserve">طباعة نتائج الامتحانات</t>
  </si>
  <si>
    <t xml:space="preserve">BS-M1-001</t>
  </si>
  <si>
    <t xml:space="preserve">مكتب الإدارة</t>
  </si>
  <si>
    <t xml:space="preserve">BS-M1-002</t>
  </si>
  <si>
    <r>
      <rPr>
        <i val="true"/>
        <sz val="9"/>
        <color rgb="FF000000"/>
        <rFont val="Calibri"/>
        <family val="0"/>
        <charset val="1"/>
      </rPr>
      <t xml:space="preserve">!! </t>
    </r>
    <r>
      <rPr>
        <i val="true"/>
        <sz val="9"/>
        <color rgb="FF000000"/>
        <rFont val="FreeSans"/>
        <family val="2"/>
      </rPr>
      <t xml:space="preserve">رصيد حرج </t>
    </r>
    <r>
      <rPr>
        <i val="true"/>
        <sz val="9"/>
        <color rgb="FF000000"/>
        <rFont val="Calibri"/>
        <family val="0"/>
        <charset val="1"/>
      </rPr>
      <t xml:space="preserve">A3 → 2 </t>
    </r>
    <r>
      <rPr>
        <i val="true"/>
        <sz val="9"/>
        <color rgb="FF000000"/>
        <rFont val="FreeSans"/>
        <family val="2"/>
      </rPr>
      <t xml:space="preserve">رزمة</t>
    </r>
  </si>
  <si>
    <t xml:space="preserve">BS-M1-003</t>
  </si>
  <si>
    <t xml:space="preserve">أمانة المدير + عدة مصالح</t>
  </si>
  <si>
    <t xml:space="preserve">BS-M1-004</t>
  </si>
  <si>
    <t xml:space="preserve">مصلحة الموظفين</t>
  </si>
  <si>
    <t xml:space="preserve">BS-M1-005</t>
  </si>
  <si>
    <t xml:space="preserve">رصيد أخير مُوثَّق = 130</t>
  </si>
  <si>
    <t xml:space="preserve">BS-M1-006</t>
  </si>
  <si>
    <r>
      <rPr>
        <i val="true"/>
        <sz val="9"/>
        <color rgb="FF000000"/>
        <rFont val="Calibri"/>
        <family val="0"/>
        <charset val="1"/>
      </rPr>
      <t xml:space="preserve">!! </t>
    </r>
    <r>
      <rPr>
        <i val="true"/>
        <sz val="9"/>
        <color rgb="FF000000"/>
        <rFont val="FreeSans"/>
        <family val="2"/>
      </rPr>
      <t xml:space="preserve">رصيد حرج → </t>
    </r>
    <r>
      <rPr>
        <i val="true"/>
        <sz val="9"/>
        <color rgb="FF000000"/>
        <rFont val="Calibri"/>
        <family val="0"/>
        <charset val="1"/>
      </rPr>
      <t xml:space="preserve">1 </t>
    </r>
    <r>
      <rPr>
        <i val="true"/>
        <sz val="9"/>
        <color rgb="FF000000"/>
        <rFont val="FreeSans"/>
        <family val="2"/>
      </rPr>
      <t xml:space="preserve">وحدة</t>
    </r>
  </si>
  <si>
    <t xml:space="preserve">TABLEAU DE BORD  —  ÉTAT DU STOCK + STATUTS ROP  [v7 | 12 articles | OPT-01 range | OPT-02 CMUP | Excel 2010]</t>
  </si>
  <si>
    <t xml:space="preserve">SECTION 1  —  ÉTAT DU STOCK EN TEMPS RÉEL  (ROP dynamique par article  |  38 j obs.  |  LT = 2 j)</t>
  </si>
  <si>
    <t xml:space="preserve">Désignation</t>
  </si>
  <si>
    <t xml:space="preserve">ABC</t>
  </si>
  <si>
    <t xml:space="preserve">Total IN</t>
  </si>
  <si>
    <t xml:space="preserve">Total OUT</t>
  </si>
  <si>
    <t xml:space="preserve">STOCK ACTUEL</t>
  </si>
  <si>
    <t xml:space="preserve">CMUP (DA)</t>
  </si>
  <si>
    <t xml:space="preserve">Valeur Stock (DA)</t>
  </si>
  <si>
    <t xml:space="preserve">ROP [OPT-01]</t>
  </si>
  <si>
    <t xml:space="preserve">Statut</t>
  </si>
  <si>
    <t xml:space="preserve">PARAMÈTRES</t>
  </si>
  <si>
    <t xml:space="preserve">Valeur</t>
  </si>
  <si>
    <t xml:space="preserve">Jours observation (fixe)</t>
  </si>
  <si>
    <t xml:space="preserve">Période réf. (jours ouvrés)</t>
  </si>
  <si>
    <t xml:space="preserve">Délai livraison LT (jours)</t>
  </si>
  <si>
    <t xml:space="preserve">TOTAUX</t>
  </si>
  <si>
    <t xml:space="preserve">LÉGENDE:  OK = stock suffisant  |  ~ ALERTE = stock &lt; 125% du ROP  |  &gt;&gt; COMMANDER = stock ≤ ROP  |  !! RUPTURE = stock nul  |  ROP = Stock_Min + (ΣOuts/38j) × 2j  |  CMUP = K÷MAX(1,ΣIN) [OPT-02]</t>
  </si>
  <si>
    <t xml:space="preserve">ALERTE_DASHBOARD  —  Sentinelle de Stock  [NEW v8 | auto-actualisé par formules]</t>
  </si>
  <si>
    <t xml:space="preserve">Les indicateurs ci-dessous se mettent à jour automatiquement à chaque modification de MOUVEMENTS.</t>
  </si>
  <si>
    <t xml:space="preserve">Dernière vérification : [Mise à jour par VBA VerifierAlertes — voir colonne O du Guide]</t>
  </si>
  <si>
    <t xml:space="preserve">RÉSUMÉ DES ALERTES — COMPTEURS EN TEMPS RÉEL</t>
  </si>
  <si>
    <t xml:space="preserve">!! RUPTURES</t>
  </si>
  <si>
    <t xml:space="preserve">&gt;&gt; À COMMANDER</t>
  </si>
  <si>
    <t xml:space="preserve">~ EN ALERTE</t>
  </si>
  <si>
    <t xml:space="preserve">✔ NORMAUX</t>
  </si>
  <si>
    <t xml:space="preserve">DÉTAIL PAR ARTICLE — ÉTAT COMPLET</t>
  </si>
  <si>
    <t xml:space="preserve">Stock Actuel</t>
  </si>
  <si>
    <t xml:space="preserve">ROP</t>
  </si>
  <si>
    <t xml:space="preserve">Priorité</t>
  </si>
  <si>
    <t xml:space="preserve">Action recommandée</t>
  </si>
  <si>
    <t xml:space="preserve">📌  Ce tableau se recalcule automatiquement. Pour forcer: ALT+F8 → RafraichirTableauBord | Pour envoyer alerte MsgBox: ALT+F8 → VerifierAlertes</t>
  </si>
  <si>
    <r>
      <rPr>
        <b val="true"/>
        <sz val="13"/>
        <color rgb="FFFFFFFF"/>
        <rFont val="Calibri"/>
        <family val="0"/>
        <charset val="1"/>
      </rPr>
      <t xml:space="preserve">INVENTAIRE PERMANENT  —  Écart Physique vs Comptable  [Jr</t>
    </r>
    <r>
      <rPr>
        <b val="true"/>
        <sz val="13"/>
        <color rgb="FFFFFFFF"/>
        <rFont val="FreeSans"/>
        <family val="2"/>
      </rPr>
      <t xml:space="preserve">د الدائم</t>
    </r>
    <r>
      <rPr>
        <b val="true"/>
        <sz val="13"/>
        <color rgb="FFFFFFFF"/>
        <rFont val="Calibri"/>
        <family val="0"/>
        <charset val="1"/>
      </rPr>
      <t xml:space="preserve">]</t>
    </r>
  </si>
  <si>
    <t xml:space="preserve">Stock Comptable
(Depuis MOUVEMENTS)</t>
  </si>
  <si>
    <t xml:space="preserve">Stock Physique
(Saisie manuelle)</t>
  </si>
  <si>
    <t xml:space="preserve">Écart
(Physique − Comptable)</t>
  </si>
  <si>
    <t xml:space="preserve">% Écart</t>
  </si>
  <si>
    <t xml:space="preserve">📌  Saisir le stock physique constaté (colonne D) lors de chaque opération d'inventaire.</t>
  </si>
  <si>
    <r>
      <rPr>
        <b val="true"/>
        <sz val="14"/>
        <color rgb="FF000000"/>
        <rFont val="Calibri"/>
        <family val="0"/>
        <charset val="1"/>
      </rPr>
      <t xml:space="preserve">RAPPORTS — </t>
    </r>
    <r>
      <rPr>
        <b val="true"/>
        <sz val="14"/>
        <color rgb="FF000000"/>
        <rFont val="FreeSans"/>
        <family val="2"/>
      </rPr>
      <t xml:space="preserve">التقارير الدورية </t>
    </r>
    <r>
      <rPr>
        <b val="true"/>
        <sz val="14"/>
        <color rgb="FF000000"/>
        <rFont val="Calibri"/>
        <family val="0"/>
        <charset val="1"/>
      </rPr>
      <t xml:space="preserve">| </t>
    </r>
    <r>
      <rPr>
        <b val="true"/>
        <sz val="14"/>
        <color rgb="FF000000"/>
        <rFont val="FreeSans"/>
        <family val="2"/>
      </rPr>
      <t xml:space="preserve">مخزن مديرية التربية — ولاية البيض</t>
    </r>
  </si>
  <si>
    <r>
      <rPr>
        <i val="true"/>
        <sz val="9"/>
        <color rgb="FF000000"/>
        <rFont val="FreeSans"/>
        <family val="2"/>
      </rPr>
      <t xml:space="preserve">الأرقام تُحسَب تلقائياً من ورقة </t>
    </r>
    <r>
      <rPr>
        <i val="true"/>
        <sz val="9"/>
        <color rgb="FF000000"/>
        <rFont val="Calibri"/>
        <family val="0"/>
        <charset val="1"/>
      </rPr>
      <t xml:space="preserve">MOUVEMENTS. </t>
    </r>
    <r>
      <rPr>
        <i val="true"/>
        <sz val="9"/>
        <color rgb="FF000000"/>
        <rFont val="FreeSans"/>
        <family val="2"/>
      </rPr>
      <t xml:space="preserve">أدخل التواريخ في الخلايا المحددة بالإطار السميك لتصفية الفترة المطلوبة</t>
    </r>
    <r>
      <rPr>
        <i val="true"/>
        <sz val="9"/>
        <color rgb="FF000000"/>
        <rFont val="Calibri"/>
        <family val="0"/>
        <charset val="1"/>
      </rPr>
      <t xml:space="preserve">.</t>
    </r>
  </si>
  <si>
    <r>
      <rPr>
        <b val="true"/>
        <sz val="11"/>
        <color rgb="FFFFFFFF"/>
        <rFont val="FreeSans"/>
        <family val="2"/>
      </rPr>
      <t xml:space="preserve">▸  التقرير الأسبوعي  —  </t>
    </r>
    <r>
      <rPr>
        <b val="true"/>
        <sz val="11"/>
        <color rgb="FFFFFFFF"/>
        <rFont val="Calibri"/>
        <family val="0"/>
        <charset val="1"/>
      </rPr>
      <t xml:space="preserve">Rapport Hebdomadaire — Fréquence: chaque lundi</t>
    </r>
  </si>
  <si>
    <r>
      <rPr>
        <b val="true"/>
        <sz val="10"/>
        <color rgb="FF000000"/>
        <rFont val="FreeSans"/>
        <family val="2"/>
      </rPr>
      <t xml:space="preserve">من  </t>
    </r>
    <r>
      <rPr>
        <b val="true"/>
        <sz val="10"/>
        <color rgb="FF000000"/>
        <rFont val="Calibri"/>
        <family val="0"/>
        <charset val="1"/>
      </rPr>
      <t xml:space="preserve">/  Du :</t>
    </r>
  </si>
  <si>
    <r>
      <rPr>
        <b val="true"/>
        <sz val="10"/>
        <color rgb="FF000000"/>
        <rFont val="FreeSans"/>
        <family val="2"/>
      </rPr>
      <t xml:space="preserve">إلى  </t>
    </r>
    <r>
      <rPr>
        <b val="true"/>
        <sz val="10"/>
        <color rgb="FF000000"/>
        <rFont val="Calibri"/>
        <family val="0"/>
        <charset val="1"/>
      </rPr>
      <t xml:space="preserve">/  À :</t>
    </r>
  </si>
  <si>
    <r>
      <rPr>
        <i val="true"/>
        <sz val="8"/>
        <color rgb="FF555555"/>
        <rFont val="FreeSans"/>
        <family val="2"/>
      </rPr>
      <t xml:space="preserve">★ أدخل تواريخ الفترة في الخلايا </t>
    </r>
    <r>
      <rPr>
        <i val="true"/>
        <sz val="8"/>
        <color rgb="FF555555"/>
        <rFont val="Calibri"/>
        <family val="0"/>
        <charset val="1"/>
      </rPr>
      <t xml:space="preserve">B </t>
    </r>
    <r>
      <rPr>
        <i val="true"/>
        <sz val="8"/>
        <color rgb="FF555555"/>
        <rFont val="FreeSans"/>
        <family val="2"/>
      </rPr>
      <t xml:space="preserve">و </t>
    </r>
    <r>
      <rPr>
        <i val="true"/>
        <sz val="8"/>
        <color rgb="FF555555"/>
        <rFont val="Calibri"/>
        <family val="0"/>
        <charset val="1"/>
      </rPr>
      <t xml:space="preserve">D</t>
    </r>
  </si>
  <si>
    <t xml:space="preserve">رمز المادة</t>
  </si>
  <si>
    <t xml:space="preserve">التسمية</t>
  </si>
  <si>
    <t xml:space="preserve">الفئة</t>
  </si>
  <si>
    <r>
      <rPr>
        <b val="true"/>
        <sz val="9"/>
        <color rgb="FFFFFFFF"/>
        <rFont val="FreeSans"/>
        <family val="2"/>
      </rPr>
      <t xml:space="preserve">دخول
</t>
    </r>
    <r>
      <rPr>
        <b val="true"/>
        <sz val="9"/>
        <color rgb="FFFFFFFF"/>
        <rFont val="Calibri"/>
        <family val="0"/>
        <charset val="1"/>
      </rPr>
      <t xml:space="preserve">(IN)</t>
    </r>
  </si>
  <si>
    <r>
      <rPr>
        <b val="true"/>
        <sz val="9"/>
        <color rgb="FFFFFFFF"/>
        <rFont val="FreeSans"/>
        <family val="2"/>
      </rPr>
      <t xml:space="preserve">خروج
</t>
    </r>
    <r>
      <rPr>
        <b val="true"/>
        <sz val="9"/>
        <color rgb="FFFFFFFF"/>
        <rFont val="Calibri"/>
        <family val="0"/>
        <charset val="1"/>
      </rPr>
      <t xml:space="preserve">(OUT)</t>
    </r>
  </si>
  <si>
    <r>
      <rPr>
        <b val="true"/>
        <sz val="9"/>
        <color rgb="FFFFFFFF"/>
        <rFont val="FreeSans"/>
        <family val="2"/>
      </rPr>
      <t xml:space="preserve">الرصيد
</t>
    </r>
    <r>
      <rPr>
        <b val="true"/>
        <sz val="9"/>
        <color rgb="FFFFFFFF"/>
        <rFont val="Calibri"/>
        <family val="0"/>
        <charset val="1"/>
      </rPr>
      <t xml:space="preserve">(Net)</t>
    </r>
  </si>
  <si>
    <r>
      <rPr>
        <b val="true"/>
        <sz val="9"/>
        <color rgb="FFFFFFFF"/>
        <rFont val="FreeSans"/>
        <family val="2"/>
      </rPr>
      <t xml:space="preserve">القيمة
</t>
    </r>
    <r>
      <rPr>
        <b val="true"/>
        <sz val="9"/>
        <color rgb="FFFFFFFF"/>
        <rFont val="Calibri"/>
        <family val="0"/>
        <charset val="1"/>
      </rPr>
      <t xml:space="preserve">(DA)</t>
    </r>
  </si>
  <si>
    <t xml:space="preserve">ملاحظة</t>
  </si>
  <si>
    <t xml:space="preserve">Total période</t>
  </si>
  <si>
    <r>
      <rPr>
        <i val="true"/>
        <sz val="9"/>
        <color rgb="FF444444"/>
        <rFont val="FreeSans"/>
        <family val="2"/>
      </rPr>
      <t xml:space="preserve">📌  التقرير الأسبوعي يُطبَع كل اثنين ويُسلَّم لمسؤول الوسائل</t>
    </r>
    <r>
      <rPr>
        <i val="true"/>
        <sz val="9"/>
        <color rgb="FF444444"/>
        <rFont val="Calibri"/>
        <family val="0"/>
        <charset val="1"/>
      </rPr>
      <t xml:space="preserve">. </t>
    </r>
    <r>
      <rPr>
        <i val="true"/>
        <sz val="9"/>
        <color rgb="FF444444"/>
        <rFont val="FreeSans"/>
        <family val="2"/>
      </rPr>
      <t xml:space="preserve">يُركِّز على مواد الفئة </t>
    </r>
    <r>
      <rPr>
        <i val="true"/>
        <sz val="9"/>
        <color rgb="FF444444"/>
        <rFont val="Calibri"/>
        <family val="0"/>
        <charset val="1"/>
      </rPr>
      <t xml:space="preserve">A (</t>
    </r>
    <r>
      <rPr>
        <i val="true"/>
        <sz val="9"/>
        <color rgb="FF444444"/>
        <rFont val="FreeSans"/>
        <family val="2"/>
      </rPr>
      <t xml:space="preserve">ورق </t>
    </r>
    <r>
      <rPr>
        <i val="true"/>
        <sz val="9"/>
        <color rgb="FF444444"/>
        <rFont val="Calibri"/>
        <family val="0"/>
        <charset val="1"/>
      </rPr>
      <t xml:space="preserve">A4 + </t>
    </r>
    <r>
      <rPr>
        <i val="true"/>
        <sz val="9"/>
        <color rgb="FF444444"/>
        <rFont val="FreeSans"/>
        <family val="2"/>
      </rPr>
      <t xml:space="preserve">حبر الطابعة</t>
    </r>
    <r>
      <rPr>
        <i val="true"/>
        <sz val="9"/>
        <color rgb="FF444444"/>
        <rFont val="Calibri"/>
        <family val="0"/>
        <charset val="1"/>
      </rPr>
      <t xml:space="preserve">).</t>
    </r>
  </si>
  <si>
    <r>
      <rPr>
        <b val="true"/>
        <sz val="11"/>
        <color rgb="FFFFFFFF"/>
        <rFont val="FreeSans"/>
        <family val="2"/>
      </rPr>
      <t xml:space="preserve">▸  التقرير الشهري  —  </t>
    </r>
    <r>
      <rPr>
        <b val="true"/>
        <sz val="11"/>
        <color rgb="FFFFFFFF"/>
        <rFont val="Calibri"/>
        <family val="0"/>
        <charset val="1"/>
      </rPr>
      <t xml:space="preserve">Rapport Mensuel — Fréquence: fin de chaque mois</t>
    </r>
  </si>
  <si>
    <r>
      <rPr>
        <i val="true"/>
        <sz val="9"/>
        <color rgb="FF444444"/>
        <rFont val="FreeSans"/>
        <family val="2"/>
      </rPr>
      <t xml:space="preserve">📌  التقرير الشهري يُقدَّم لمصلحة الميزانية</t>
    </r>
    <r>
      <rPr>
        <i val="true"/>
        <sz val="9"/>
        <color rgb="FF444444"/>
        <rFont val="Calibri"/>
        <family val="0"/>
        <charset val="1"/>
      </rPr>
      <t xml:space="preserve">. </t>
    </r>
    <r>
      <rPr>
        <i val="true"/>
        <sz val="9"/>
        <color rgb="FF444444"/>
        <rFont val="FreeSans"/>
        <family val="2"/>
      </rPr>
      <t xml:space="preserve">يُقارَن رصيد نهاية الشهر بالرصيد الافتتاحي لقياس معدل الاستهلاك</t>
    </r>
    <r>
      <rPr>
        <i val="true"/>
        <sz val="9"/>
        <color rgb="FF444444"/>
        <rFont val="Calibri"/>
        <family val="0"/>
        <charset val="1"/>
      </rPr>
      <t xml:space="preserve">.</t>
    </r>
  </si>
  <si>
    <r>
      <rPr>
        <b val="true"/>
        <sz val="11"/>
        <color rgb="FFFFFFFF"/>
        <rFont val="FreeSans"/>
        <family val="2"/>
      </rPr>
      <t xml:space="preserve">▸  التقرير الفصلي </t>
    </r>
    <r>
      <rPr>
        <b val="true"/>
        <sz val="11"/>
        <color rgb="FFFFFFFF"/>
        <rFont val="Calibri"/>
        <family val="0"/>
        <charset val="1"/>
      </rPr>
      <t xml:space="preserve">(3 </t>
    </r>
    <r>
      <rPr>
        <b val="true"/>
        <sz val="11"/>
        <color rgb="FFFFFFFF"/>
        <rFont val="FreeSans"/>
        <family val="2"/>
      </rPr>
      <t xml:space="preserve">أشهر</t>
    </r>
    <r>
      <rPr>
        <b val="true"/>
        <sz val="11"/>
        <color rgb="FFFFFFFF"/>
        <rFont val="Calibri"/>
        <family val="0"/>
        <charset val="1"/>
      </rPr>
      <t xml:space="preserve">)  —  Rapport Trimestriel — Fréquence: janv / avr / juil / oct</t>
    </r>
  </si>
  <si>
    <r>
      <rPr>
        <i val="true"/>
        <sz val="9"/>
        <color rgb="FF444444"/>
        <rFont val="FreeSans"/>
        <family val="2"/>
      </rPr>
      <t xml:space="preserve">📌  التقرير الفصلي يشمل جميع الفئات </t>
    </r>
    <r>
      <rPr>
        <i val="true"/>
        <sz val="9"/>
        <color rgb="FF444444"/>
        <rFont val="Calibri"/>
        <family val="0"/>
        <charset val="1"/>
      </rPr>
      <t xml:space="preserve">(A+B+C). </t>
    </r>
    <r>
      <rPr>
        <i val="true"/>
        <sz val="9"/>
        <color rgb="FF444444"/>
        <rFont val="FreeSans"/>
        <family val="2"/>
      </rPr>
      <t xml:space="preserve">يُستخدَم لتقدير احتياجات الشراء للفصل القادم وإعداد طلبيات </t>
    </r>
    <r>
      <rPr>
        <i val="true"/>
        <sz val="9"/>
        <color rgb="FF444444"/>
        <rFont val="Calibri"/>
        <family val="0"/>
        <charset val="1"/>
      </rPr>
      <t xml:space="preserve">DA.</t>
    </r>
  </si>
  <si>
    <r>
      <rPr>
        <b val="true"/>
        <sz val="11"/>
        <color rgb="FFFFFFFF"/>
        <rFont val="FreeSans"/>
        <family val="2"/>
      </rPr>
      <t xml:space="preserve">▸  التقرير السداسي </t>
    </r>
    <r>
      <rPr>
        <b val="true"/>
        <sz val="11"/>
        <color rgb="FFFFFFFF"/>
        <rFont val="Calibri"/>
        <family val="0"/>
        <charset val="1"/>
      </rPr>
      <t xml:space="preserve">(6 </t>
    </r>
    <r>
      <rPr>
        <b val="true"/>
        <sz val="11"/>
        <color rgb="FFFFFFFF"/>
        <rFont val="FreeSans"/>
        <family val="2"/>
      </rPr>
      <t xml:space="preserve">أشهر</t>
    </r>
    <r>
      <rPr>
        <b val="true"/>
        <sz val="11"/>
        <color rgb="FFFFFFFF"/>
        <rFont val="Calibri"/>
        <family val="0"/>
        <charset val="1"/>
      </rPr>
      <t xml:space="preserve">)  —  Rapport Semestriel — Fréquence: juin / décembre</t>
    </r>
  </si>
  <si>
    <r>
      <rPr>
        <i val="true"/>
        <sz val="9"/>
        <color rgb="FF444444"/>
        <rFont val="FreeSans"/>
        <family val="2"/>
      </rPr>
      <t xml:space="preserve">📌  التقرير السداسي يُقدَّم في الاجتماع الإداري نصف السنوي</t>
    </r>
    <r>
      <rPr>
        <i val="true"/>
        <sz val="9"/>
        <color rgb="FF444444"/>
        <rFont val="Calibri"/>
        <family val="0"/>
        <charset val="1"/>
      </rPr>
      <t xml:space="preserve">. </t>
    </r>
    <r>
      <rPr>
        <i val="true"/>
        <sz val="9"/>
        <color rgb="FF444444"/>
        <rFont val="FreeSans"/>
        <family val="2"/>
      </rPr>
      <t xml:space="preserve">يُركِّز على مطابقة الجرد المحاسبي بالجرد الفيزيائي </t>
    </r>
    <r>
      <rPr>
        <i val="true"/>
        <sz val="9"/>
        <color rgb="FF444444"/>
        <rFont val="Calibri"/>
        <family val="0"/>
        <charset val="1"/>
      </rPr>
      <t xml:space="preserve">(</t>
    </r>
    <r>
      <rPr>
        <i val="true"/>
        <sz val="9"/>
        <color rgb="FF444444"/>
        <rFont val="FreeSans"/>
        <family val="2"/>
      </rPr>
      <t xml:space="preserve">راجع ورقة </t>
    </r>
    <r>
      <rPr>
        <i val="true"/>
        <sz val="9"/>
        <color rgb="FF444444"/>
        <rFont val="Calibri"/>
        <family val="0"/>
        <charset val="1"/>
      </rPr>
      <t xml:space="preserve">INVENTAIRE).</t>
    </r>
  </si>
  <si>
    <t xml:space="preserve">MODÈLE DE WILSON — EOQ  [OPT-03 | D Auto-annualisé | ART-001 | Excel 2010]</t>
  </si>
  <si>
    <t xml:space="preserve">D</t>
  </si>
  <si>
    <t xml:space="preserve">Demande annuelle ART-001  [AUTO annualisé ×250 j]</t>
  </si>
  <si>
    <t xml:space="preserve">unités/an</t>
  </si>
  <si>
    <t xml:space="preserve">CL</t>
  </si>
  <si>
    <t xml:space="preserve">Coût passation par commande (DA)  [modifiable]</t>
  </si>
  <si>
    <t xml:space="preserve">DA/cmd</t>
  </si>
  <si>
    <t xml:space="preserve">PU</t>
  </si>
  <si>
    <t xml:space="preserve">Prix unitaire ART-001 (DA)  [confirmé terrain]</t>
  </si>
  <si>
    <t xml:space="preserve">DA/rame</t>
  </si>
  <si>
    <t xml:space="preserve">t</t>
  </si>
  <si>
    <t xml:space="preserve">Taux de possession annuel</t>
  </si>
  <si>
    <t xml:space="preserve">%</t>
  </si>
  <si>
    <t xml:space="preserve">SS</t>
  </si>
  <si>
    <t xml:space="preserve">Stock de sécurité (unités)  [modifiable]</t>
  </si>
  <si>
    <t xml:space="preserve">unités</t>
  </si>
  <si>
    <t xml:space="preserve">LT</t>
  </si>
  <si>
    <t xml:space="preserve">Délai livraison Oran→Bayadh (jours ouvrés)</t>
  </si>
  <si>
    <t xml:space="preserve">jours</t>
  </si>
  <si>
    <t xml:space="preserve">RÉSULTATS DU MODÈLE  —  Q*, N, ROP, CVT</t>
  </si>
  <si>
    <t xml:space="preserve">EOQ</t>
  </si>
  <si>
    <t xml:space="preserve">Quantité économique Q* = √(2·D·CL / Cs)  où Cs = PU·t</t>
  </si>
  <si>
    <t xml:space="preserve">N</t>
  </si>
  <si>
    <t xml:space="preserve">Nombre de commandes par an  N = D / Q*</t>
  </si>
  <si>
    <t xml:space="preserve">cmd/an</t>
  </si>
  <si>
    <t xml:space="preserve">Point de réappro  ROP = SS + CMJ·LT  [CMJ=D/250]</t>
  </si>
  <si>
    <t xml:space="preserve">Cp</t>
  </si>
  <si>
    <t xml:space="preserve">Coût de passation annuel  Cp = (D/Q*)·CL</t>
  </si>
  <si>
    <t xml:space="preserve">DA/an</t>
  </si>
  <si>
    <t xml:space="preserve">Cd</t>
  </si>
  <si>
    <t xml:space="preserve">Coût de détention annuel  Cd = (Q*/2+SS)·Cs</t>
  </si>
  <si>
    <t xml:space="preserve">CVT</t>
  </si>
  <si>
    <t xml:space="preserve">Coût Variable Total  CVT = Cp + Cd</t>
  </si>
  <si>
    <r>
      <rPr>
        <i val="true"/>
        <sz val="9"/>
        <color rgb="FF000000"/>
        <rFont val="Calibri"/>
        <family val="0"/>
        <charset val="1"/>
      </rPr>
      <t xml:space="preserve">📌  EOQ est calculé pour ART-001 (</t>
    </r>
    <r>
      <rPr>
        <i val="true"/>
        <sz val="9"/>
        <color rgb="FF000000"/>
        <rFont val="FreeSans"/>
        <family val="2"/>
      </rPr>
      <t xml:space="preserve">رزمة </t>
    </r>
    <r>
      <rPr>
        <i val="true"/>
        <sz val="9"/>
        <color rgb="FF000000"/>
        <rFont val="Calibri"/>
        <family val="0"/>
        <charset val="1"/>
      </rPr>
      <t xml:space="preserve">A4) uniquement, article de classe A.  D est auto-annualisé depuis MOUVEMENTS (38j obs. × 250j ouvrables).  Valeurs attendues : EOQ ≈ 60 rames | ROP ≈ 216 rames | CVT ≈ 4817 DA/an</t>
    </r>
  </si>
  <si>
    <r>
      <rPr>
        <b val="true"/>
        <sz val="13"/>
        <color rgb="FFFFFFFF"/>
        <rFont val="Calibri"/>
        <family val="0"/>
        <charset val="1"/>
      </rPr>
      <t xml:space="preserve">HISTORIQUE DES COMMANDES  —  </t>
    </r>
    <r>
      <rPr>
        <b val="true"/>
        <sz val="13"/>
        <color rgb="FFFFFFFF"/>
        <rFont val="FreeSans"/>
        <family val="2"/>
      </rPr>
      <t xml:space="preserve">سجل الطلبيات  </t>
    </r>
    <r>
      <rPr>
        <b val="true"/>
        <sz val="13"/>
        <color rgb="FFFFFFFF"/>
        <rFont val="Calibri"/>
        <family val="0"/>
        <charset val="1"/>
      </rPr>
      <t xml:space="preserve">[Bon de Commande]</t>
    </r>
  </si>
  <si>
    <t xml:space="preserve">N° BC</t>
  </si>
  <si>
    <t xml:space="preserve">N° DA (Origine)</t>
  </si>
  <si>
    <t xml:space="preserve">Date commande</t>
  </si>
  <si>
    <t xml:space="preserve">Qté commandée</t>
  </si>
  <si>
    <t xml:space="preserve">Qté livrée</t>
  </si>
  <si>
    <t xml:space="preserve">BC-001</t>
  </si>
  <si>
    <t xml:space="preserve">DA-2025-001</t>
  </si>
  <si>
    <t xml:space="preserve">2025-12-15</t>
  </si>
  <si>
    <t xml:space="preserve">✔ Livré</t>
  </si>
  <si>
    <t xml:space="preserve">BC-002</t>
  </si>
  <si>
    <t xml:space="preserve">2026-01-28</t>
  </si>
  <si>
    <t xml:space="preserve">BC-003</t>
  </si>
  <si>
    <t xml:space="preserve">BC-004</t>
  </si>
  <si>
    <t xml:space="preserve">DA-2026-002</t>
  </si>
  <si>
    <t xml:space="preserve">2026-03-09</t>
  </si>
  <si>
    <t xml:space="preserve">⏳ En attente</t>
  </si>
  <si>
    <t xml:space="preserve">BC-005</t>
  </si>
  <si>
    <t xml:space="preserve">الجمهورية الجزائرية الديمقراطية الشعبية</t>
  </si>
  <si>
    <r>
      <rPr>
        <b val="true"/>
        <sz val="10"/>
        <color rgb="FF000000"/>
        <rFont val="FreeSans"/>
        <family val="2"/>
      </rPr>
      <t xml:space="preserve">وزارة التربية الوطنية  </t>
    </r>
    <r>
      <rPr>
        <b val="true"/>
        <sz val="10"/>
        <color rgb="FF000000"/>
        <rFont val="Calibri"/>
        <family val="0"/>
        <charset val="1"/>
      </rPr>
      <t xml:space="preserve">|  </t>
    </r>
    <r>
      <rPr>
        <b val="true"/>
        <sz val="10"/>
        <color rgb="FF000000"/>
        <rFont val="FreeSans"/>
        <family val="2"/>
      </rPr>
      <t xml:space="preserve">مديرية التربية — ولاية البيض</t>
    </r>
  </si>
  <si>
    <t xml:space="preserve">مصلحة الإدارة والوسائل العامة  —  مخزن المديرية</t>
  </si>
  <si>
    <r>
      <rPr>
        <b val="true"/>
        <sz val="14"/>
        <color rgb="FF000000"/>
        <rFont val="FreeSans"/>
        <family val="2"/>
      </rPr>
      <t xml:space="preserve">وصل الاستلام  —  </t>
    </r>
    <r>
      <rPr>
        <b val="true"/>
        <sz val="14"/>
        <color rgb="FF000000"/>
        <rFont val="Calibri"/>
        <family val="0"/>
        <charset val="1"/>
      </rPr>
      <t xml:space="preserve">BON DE RÉCEPTION</t>
    </r>
  </si>
  <si>
    <r>
      <rPr>
        <b val="true"/>
        <sz val="10"/>
        <color rgb="FF000000"/>
        <rFont val="FreeSans"/>
        <family val="2"/>
      </rPr>
      <t xml:space="preserve">رقم الوصل  </t>
    </r>
    <r>
      <rPr>
        <b val="true"/>
        <sz val="10"/>
        <color rgb="FF000000"/>
        <rFont val="Calibri"/>
        <family val="0"/>
        <charset val="1"/>
      </rPr>
      <t xml:space="preserve">/  N° Bon de Réception :</t>
    </r>
  </si>
  <si>
    <r>
      <rPr>
        <i val="true"/>
        <sz val="8"/>
        <color rgb="FF555555"/>
        <rFont val="FreeSans"/>
        <family val="2"/>
      </rPr>
      <t xml:space="preserve">★  مثال — </t>
    </r>
    <r>
      <rPr>
        <i val="true"/>
        <sz val="8"/>
        <color rgb="FF555555"/>
        <rFont val="Calibri"/>
        <family val="0"/>
        <charset val="1"/>
      </rPr>
      <t xml:space="preserve">Exemple :  BR-2026-001   (BR = Bon Réception  |  2026 = année  |  001 = numéro ordre)</t>
    </r>
  </si>
  <si>
    <r>
      <rPr>
        <b val="true"/>
        <sz val="10"/>
        <color rgb="FF000000"/>
        <rFont val="FreeSans"/>
        <family val="2"/>
      </rPr>
      <t xml:space="preserve">تاريخ الاستلام  </t>
    </r>
    <r>
      <rPr>
        <b val="true"/>
        <sz val="10"/>
        <color rgb="FF000000"/>
        <rFont val="Calibri"/>
        <family val="0"/>
        <charset val="1"/>
      </rPr>
      <t xml:space="preserve">/  Date réception :</t>
    </r>
  </si>
  <si>
    <r>
      <rPr>
        <b val="true"/>
        <sz val="10"/>
        <color rgb="FF000000"/>
        <rFont val="FreeSans"/>
        <family val="2"/>
      </rPr>
      <t xml:space="preserve">المورد  </t>
    </r>
    <r>
      <rPr>
        <b val="true"/>
        <sz val="10"/>
        <color rgb="FF000000"/>
        <rFont val="Calibri"/>
        <family val="0"/>
        <charset val="1"/>
      </rPr>
      <t xml:space="preserve">/  Fournisseur :</t>
    </r>
  </si>
  <si>
    <r>
      <rPr>
        <b val="true"/>
        <sz val="10"/>
        <color rgb="FF000000"/>
        <rFont val="FreeSans"/>
        <family val="2"/>
      </rPr>
      <t xml:space="preserve">رقم أمر الشراء  </t>
    </r>
    <r>
      <rPr>
        <b val="true"/>
        <sz val="10"/>
        <color rgb="FF000000"/>
        <rFont val="Calibri"/>
        <family val="0"/>
        <charset val="1"/>
      </rPr>
      <t xml:space="preserve">/  N° Bon de Commande (BC) :</t>
    </r>
  </si>
  <si>
    <r>
      <rPr>
        <i val="true"/>
        <sz val="8"/>
        <color rgb="FF555555"/>
        <rFont val="FreeSans"/>
        <family val="2"/>
      </rPr>
      <t xml:space="preserve">★  مثال — </t>
    </r>
    <r>
      <rPr>
        <i val="true"/>
        <sz val="8"/>
        <color rgb="FF555555"/>
        <rFont val="Calibri"/>
        <family val="0"/>
        <charset val="1"/>
      </rPr>
      <t xml:space="preserve">Exemple :  BC-2026-001   — </t>
    </r>
    <r>
      <rPr>
        <i val="true"/>
        <sz val="8"/>
        <color rgb="FF555555"/>
        <rFont val="FreeSans"/>
        <family val="2"/>
      </rPr>
      <t xml:space="preserve">يرتبط بأمر الشراء الذي أنشأ هذا الاستلام</t>
    </r>
  </si>
  <si>
    <t xml:space="preserve">#</t>
  </si>
  <si>
    <t xml:space="preserve">Code
Article</t>
  </si>
  <si>
    <r>
      <rPr>
        <b val="true"/>
        <sz val="9"/>
        <color rgb="FF000000"/>
        <rFont val="Calibri"/>
        <family val="0"/>
        <charset val="1"/>
      </rPr>
      <t xml:space="preserve">Désignation  /  </t>
    </r>
    <r>
      <rPr>
        <b val="true"/>
        <sz val="9"/>
        <color rgb="FF000000"/>
        <rFont val="FreeSans"/>
        <family val="2"/>
      </rPr>
      <t xml:space="preserve">التسمية</t>
    </r>
  </si>
  <si>
    <t xml:space="preserve">Qté
Demandée</t>
  </si>
  <si>
    <t xml:space="preserve">Qté
Servie / Livrée</t>
  </si>
  <si>
    <t xml:space="preserve">Prix Unit.
(DA)</t>
  </si>
  <si>
    <t xml:space="preserve">Valeur
(DA)</t>
  </si>
  <si>
    <r>
      <rPr>
        <b val="true"/>
        <sz val="10"/>
        <color rgb="FF000000"/>
        <rFont val="Calibri"/>
        <family val="0"/>
        <charset val="1"/>
      </rPr>
      <t xml:space="preserve">TOTAL  (DA)  |  </t>
    </r>
    <r>
      <rPr>
        <b val="true"/>
        <sz val="10"/>
        <color rgb="FF000000"/>
        <rFont val="FreeSans"/>
        <family val="2"/>
      </rPr>
      <t xml:space="preserve">المجموع الإجمالي</t>
    </r>
  </si>
  <si>
    <r>
      <rPr>
        <i val="true"/>
        <sz val="8"/>
        <color rgb="FF555555"/>
        <rFont val="FreeSans"/>
        <family val="2"/>
      </rPr>
      <t xml:space="preserve">★  الخلايا الصفراء للإدخال اليدوي  </t>
    </r>
    <r>
      <rPr>
        <i val="true"/>
        <sz val="8"/>
        <color rgb="FF555555"/>
        <rFont val="Calibri"/>
        <family val="0"/>
        <charset val="1"/>
      </rPr>
      <t xml:space="preserve">|  </t>
    </r>
    <r>
      <rPr>
        <i val="true"/>
        <sz val="8"/>
        <color rgb="FF555555"/>
        <rFont val="FreeSans"/>
        <family val="2"/>
      </rPr>
      <t xml:space="preserve">عمود </t>
    </r>
    <r>
      <rPr>
        <i val="true"/>
        <sz val="8"/>
        <color rgb="FF555555"/>
        <rFont val="Calibri"/>
        <family val="0"/>
        <charset val="1"/>
      </rPr>
      <t xml:space="preserve">B: </t>
    </r>
    <r>
      <rPr>
        <i val="true"/>
        <sz val="8"/>
        <color rgb="FF555555"/>
        <rFont val="FreeSans"/>
        <family val="2"/>
      </rPr>
      <t xml:space="preserve">أدخل الرمز </t>
    </r>
    <r>
      <rPr>
        <i val="true"/>
        <sz val="8"/>
        <color rgb="FF555555"/>
        <rFont val="Calibri"/>
        <family val="0"/>
        <charset val="1"/>
      </rPr>
      <t xml:space="preserve">(ART-001...) — </t>
    </r>
    <r>
      <rPr>
        <i val="true"/>
        <sz val="8"/>
        <color rgb="FF555555"/>
        <rFont val="FreeSans"/>
        <family val="2"/>
      </rPr>
      <t xml:space="preserve">تتعبأ التسمية والسعر تلقائياً</t>
    </r>
  </si>
  <si>
    <r>
      <rPr>
        <b val="true"/>
        <sz val="9"/>
        <color rgb="FF000000"/>
        <rFont val="FreeSans"/>
        <family val="2"/>
      </rPr>
      <t xml:space="preserve">ملاحظات  </t>
    </r>
    <r>
      <rPr>
        <b val="true"/>
        <sz val="9"/>
        <color rgb="FF000000"/>
        <rFont val="Calibri"/>
        <family val="0"/>
        <charset val="1"/>
      </rPr>
      <t xml:space="preserve">/  Observations :</t>
    </r>
  </si>
  <si>
    <r>
      <rPr>
        <b val="true"/>
        <sz val="9"/>
        <color rgb="FF000000"/>
        <rFont val="FreeSans"/>
        <family val="2"/>
      </rPr>
      <t xml:space="preserve">المستلِم (أمين المخزن)
</t>
    </r>
    <r>
      <rPr>
        <b val="true"/>
        <sz val="9"/>
        <color rgb="FF000000"/>
        <rFont val="Calibri"/>
        <family val="0"/>
        <charset val="1"/>
      </rPr>
      <t xml:space="preserve">Magasinier</t>
    </r>
  </si>
  <si>
    <r>
      <rPr>
        <b val="true"/>
        <sz val="9"/>
        <color rgb="FF000000"/>
        <rFont val="FreeSans"/>
        <family val="2"/>
      </rPr>
      <t xml:space="preserve">المسؤول عن المادة
</t>
    </r>
    <r>
      <rPr>
        <b val="true"/>
        <sz val="9"/>
        <color rgb="FF000000"/>
        <rFont val="Calibri"/>
        <family val="0"/>
        <charset val="1"/>
      </rPr>
      <t xml:space="preserve">Responsable Matériel</t>
    </r>
  </si>
  <si>
    <r>
      <rPr>
        <b val="true"/>
        <sz val="9"/>
        <color rgb="FF000000"/>
        <rFont val="FreeSans"/>
        <family val="2"/>
      </rPr>
      <t xml:space="preserve">مصلحة الميزانية
</t>
    </r>
    <r>
      <rPr>
        <b val="true"/>
        <sz val="9"/>
        <color rgb="FF000000"/>
        <rFont val="Calibri"/>
        <family val="0"/>
        <charset val="1"/>
      </rPr>
      <t xml:space="preserve">Visa Budget
</t>
    </r>
  </si>
  <si>
    <r>
      <rPr>
        <i val="true"/>
        <sz val="8"/>
        <color rgb="FF888888"/>
        <rFont val="FreeSans"/>
        <family val="2"/>
      </rPr>
      <t xml:space="preserve">الإمضاء والختم  </t>
    </r>
    <r>
      <rPr>
        <i val="true"/>
        <sz val="8"/>
        <color rgb="FF888888"/>
        <rFont val="Calibri"/>
        <family val="0"/>
        <charset val="1"/>
      </rPr>
      <t xml:space="preserve">/  Signature &amp; Cachet</t>
    </r>
  </si>
  <si>
    <r>
      <rPr>
        <i val="true"/>
        <sz val="8"/>
        <color rgb="FF555555"/>
        <rFont val="FreeSans"/>
        <family val="2"/>
      </rPr>
      <t xml:space="preserve">★  للطباعة بنصف الصفحة </t>
    </r>
    <r>
      <rPr>
        <i val="true"/>
        <sz val="8"/>
        <color rgb="FF555555"/>
        <rFont val="Calibri"/>
        <family val="0"/>
        <charset val="1"/>
      </rPr>
      <t xml:space="preserve">(A5): </t>
    </r>
    <r>
      <rPr>
        <i val="true"/>
        <sz val="8"/>
        <color rgb="FF555555"/>
        <rFont val="FreeSans"/>
        <family val="2"/>
      </rPr>
      <t xml:space="preserve">ضبط منطقة الطباعة من </t>
    </r>
    <r>
      <rPr>
        <i val="true"/>
        <sz val="8"/>
        <color rgb="FF555555"/>
        <rFont val="Calibri"/>
        <family val="0"/>
        <charset val="1"/>
      </rPr>
      <t xml:space="preserve">Page Layout → Print Area → </t>
    </r>
    <r>
      <rPr>
        <i val="true"/>
        <sz val="8"/>
        <color rgb="FF555555"/>
        <rFont val="FreeSans"/>
        <family val="2"/>
      </rPr>
      <t xml:space="preserve">الصفوف </t>
    </r>
    <r>
      <rPr>
        <i val="true"/>
        <sz val="8"/>
        <color rgb="FF555555"/>
        <rFont val="Calibri"/>
        <family val="0"/>
        <charset val="1"/>
      </rPr>
      <t xml:space="preserve">1 </t>
    </r>
    <r>
      <rPr>
        <i val="true"/>
        <sz val="8"/>
        <color rgb="FF555555"/>
        <rFont val="FreeSans"/>
        <family val="2"/>
      </rPr>
      <t xml:space="preserve">إلى </t>
    </r>
    <r>
      <rPr>
        <i val="true"/>
        <sz val="8"/>
        <color rgb="FF555555"/>
        <rFont val="Calibri"/>
        <family val="0"/>
        <charset val="1"/>
      </rPr>
      <t xml:space="preserve">22</t>
    </r>
  </si>
  <si>
    <r>
      <rPr>
        <b val="true"/>
        <sz val="14"/>
        <color rgb="FF000000"/>
        <rFont val="FreeSans"/>
        <family val="2"/>
      </rPr>
      <t xml:space="preserve">وصل الخروج </t>
    </r>
    <r>
      <rPr>
        <b val="true"/>
        <sz val="14"/>
        <color rgb="FF000000"/>
        <rFont val="Calibri"/>
        <family val="0"/>
        <charset val="1"/>
      </rPr>
      <t xml:space="preserve">(</t>
    </r>
    <r>
      <rPr>
        <b val="true"/>
        <sz val="14"/>
        <color rgb="FF000000"/>
        <rFont val="FreeSans"/>
        <family val="2"/>
      </rPr>
      <t xml:space="preserve">الصرف</t>
    </r>
    <r>
      <rPr>
        <b val="true"/>
        <sz val="14"/>
        <color rgb="FF000000"/>
        <rFont val="Calibri"/>
        <family val="0"/>
        <charset val="1"/>
      </rPr>
      <t xml:space="preserve">)  —  BON DE SORTIE</t>
    </r>
  </si>
  <si>
    <r>
      <rPr>
        <b val="true"/>
        <sz val="10"/>
        <color rgb="FF000000"/>
        <rFont val="FreeSans"/>
        <family val="2"/>
      </rPr>
      <t xml:space="preserve">رقم وصل الخروج  </t>
    </r>
    <r>
      <rPr>
        <b val="true"/>
        <sz val="10"/>
        <color rgb="FF000000"/>
        <rFont val="Calibri"/>
        <family val="0"/>
        <charset val="1"/>
      </rPr>
      <t xml:space="preserve">/  N° Bon de Sortie :</t>
    </r>
  </si>
  <si>
    <r>
      <rPr>
        <i val="true"/>
        <sz val="8"/>
        <color rgb="FF555555"/>
        <rFont val="FreeSans"/>
        <family val="2"/>
      </rPr>
      <t xml:space="preserve">★  مثال — </t>
    </r>
    <r>
      <rPr>
        <i val="true"/>
        <sz val="8"/>
        <color rgb="FF555555"/>
        <rFont val="Calibri"/>
        <family val="0"/>
        <charset val="1"/>
      </rPr>
      <t xml:space="preserve">Exemple :  BS-2026-001   (BS = Bon Sortie  |  001 = numéro ordre séquentiel)</t>
    </r>
  </si>
  <si>
    <r>
      <rPr>
        <b val="true"/>
        <sz val="10"/>
        <color rgb="FF000000"/>
        <rFont val="FreeSans"/>
        <family val="2"/>
      </rPr>
      <t xml:space="preserve">تاريخ الصرف  </t>
    </r>
    <r>
      <rPr>
        <b val="true"/>
        <sz val="10"/>
        <color rgb="FF000000"/>
        <rFont val="Calibri"/>
        <family val="0"/>
        <charset val="1"/>
      </rPr>
      <t xml:space="preserve">/  Date sortie :</t>
    </r>
  </si>
  <si>
    <r>
      <rPr>
        <b val="true"/>
        <sz val="10"/>
        <color rgb="FF000000"/>
        <rFont val="FreeSans"/>
        <family val="2"/>
      </rPr>
      <t xml:space="preserve">المصلحة الطالبة  </t>
    </r>
    <r>
      <rPr>
        <b val="true"/>
        <sz val="10"/>
        <color rgb="FF000000"/>
        <rFont val="Calibri"/>
        <family val="0"/>
        <charset val="1"/>
      </rPr>
      <t xml:space="preserve">/  Service demandeur :</t>
    </r>
  </si>
  <si>
    <r>
      <rPr>
        <i val="true"/>
        <sz val="8"/>
        <color rgb="FF555555"/>
        <rFont val="FreeSans"/>
        <family val="2"/>
      </rPr>
      <t xml:space="preserve">★  مثال</t>
    </r>
    <r>
      <rPr>
        <i val="true"/>
        <sz val="8"/>
        <color rgb="FF555555"/>
        <rFont val="Calibri"/>
        <family val="0"/>
        <charset val="1"/>
      </rPr>
      <t xml:space="preserve">: </t>
    </r>
    <r>
      <rPr>
        <i val="true"/>
        <sz val="8"/>
        <color rgb="FF555555"/>
        <rFont val="FreeSans"/>
        <family val="2"/>
      </rPr>
      <t xml:space="preserve">مصلحة الرواتب  </t>
    </r>
    <r>
      <rPr>
        <i val="true"/>
        <sz val="8"/>
        <color rgb="FF555555"/>
        <rFont val="Calibri"/>
        <family val="0"/>
        <charset val="1"/>
      </rPr>
      <t xml:space="preserve">|  </t>
    </r>
    <r>
      <rPr>
        <i val="true"/>
        <sz val="8"/>
        <color rgb="FF555555"/>
        <rFont val="FreeSans"/>
        <family val="2"/>
      </rPr>
      <t xml:space="preserve">مصلحة الامتحانات  </t>
    </r>
    <r>
      <rPr>
        <i val="true"/>
        <sz val="8"/>
        <color rgb="FF555555"/>
        <rFont val="Calibri"/>
        <family val="0"/>
        <charset val="1"/>
      </rPr>
      <t xml:space="preserve">|  </t>
    </r>
    <r>
      <rPr>
        <i val="true"/>
        <sz val="8"/>
        <color rgb="FF555555"/>
        <rFont val="FreeSans"/>
        <family val="2"/>
      </rPr>
      <t xml:space="preserve">مكتب المدير  </t>
    </r>
    <r>
      <rPr>
        <i val="true"/>
        <sz val="8"/>
        <color rgb="FF555555"/>
        <rFont val="Calibri"/>
        <family val="0"/>
        <charset val="1"/>
      </rPr>
      <t xml:space="preserve">|  </t>
    </r>
    <r>
      <rPr>
        <i val="true"/>
        <sz val="8"/>
        <color rgb="FF555555"/>
        <rFont val="FreeSans"/>
        <family val="2"/>
      </rPr>
      <t xml:space="preserve">مصلحة التعليم</t>
    </r>
  </si>
  <si>
    <r>
      <rPr>
        <b val="true"/>
        <sz val="10"/>
        <color rgb="FF000000"/>
        <rFont val="FreeSans"/>
        <family val="2"/>
      </rPr>
      <t xml:space="preserve">رقم طلب الشراء المرجعي </t>
    </r>
    <r>
      <rPr>
        <b val="true"/>
        <sz val="10"/>
        <color rgb="FF000000"/>
        <rFont val="Calibri"/>
        <family val="0"/>
        <charset val="1"/>
      </rPr>
      <t xml:space="preserve">(DA) :</t>
    </r>
  </si>
  <si>
    <r>
      <rPr>
        <i val="true"/>
        <sz val="8"/>
        <color rgb="FF555555"/>
        <rFont val="FreeSans"/>
        <family val="2"/>
      </rPr>
      <t xml:space="preserve">★  مثال</t>
    </r>
    <r>
      <rPr>
        <i val="true"/>
        <sz val="8"/>
        <color rgb="FF555555"/>
        <rFont val="Calibri"/>
        <family val="0"/>
        <charset val="1"/>
      </rPr>
      <t xml:space="preserve">: DA-2026-003  — </t>
    </r>
    <r>
      <rPr>
        <i val="true"/>
        <sz val="8"/>
        <color rgb="FF555555"/>
        <rFont val="FreeSans"/>
        <family val="2"/>
      </rPr>
      <t xml:space="preserve">رقم طلب الشراء الداخلي الذي أنشأ هذا الخروج </t>
    </r>
    <r>
      <rPr>
        <i val="true"/>
        <sz val="8"/>
        <color rgb="FF555555"/>
        <rFont val="Calibri"/>
        <family val="0"/>
        <charset val="1"/>
      </rPr>
      <t xml:space="preserve">(</t>
    </r>
    <r>
      <rPr>
        <i val="true"/>
        <sz val="8"/>
        <color rgb="FF555555"/>
        <rFont val="FreeSans"/>
        <family val="2"/>
      </rPr>
      <t xml:space="preserve">اختياري إن لم يكن متوفراً</t>
    </r>
    <r>
      <rPr>
        <i val="true"/>
        <sz val="8"/>
        <color rgb="FF555555"/>
        <rFont val="Calibri"/>
        <family val="0"/>
        <charset val="1"/>
      </rPr>
      <t xml:space="preserve">)</t>
    </r>
  </si>
  <si>
    <r>
      <rPr>
        <i val="true"/>
        <sz val="8"/>
        <color rgb="FF555555"/>
        <rFont val="FreeSans"/>
        <family val="2"/>
      </rPr>
      <t xml:space="preserve">★  للطباعة بنصف الصفحة </t>
    </r>
    <r>
      <rPr>
        <i val="true"/>
        <sz val="8"/>
        <color rgb="FF555555"/>
        <rFont val="Calibri"/>
        <family val="0"/>
        <charset val="1"/>
      </rPr>
      <t xml:space="preserve">(A5) </t>
    </r>
    <r>
      <rPr>
        <i val="true"/>
        <sz val="8"/>
        <color rgb="FF555555"/>
        <rFont val="FreeSans"/>
        <family val="2"/>
      </rPr>
      <t xml:space="preserve">لإصدار مادة واحدة</t>
    </r>
    <r>
      <rPr>
        <i val="true"/>
        <sz val="8"/>
        <color rgb="FF555555"/>
        <rFont val="Calibri"/>
        <family val="0"/>
        <charset val="1"/>
      </rPr>
      <t xml:space="preserve">: Print Area → </t>
    </r>
    <r>
      <rPr>
        <i val="true"/>
        <sz val="8"/>
        <color rgb="FF555555"/>
        <rFont val="FreeSans"/>
        <family val="2"/>
      </rPr>
      <t xml:space="preserve">الصفوف </t>
    </r>
    <r>
      <rPr>
        <i val="true"/>
        <sz val="8"/>
        <color rgb="FF555555"/>
        <rFont val="Calibri"/>
        <family val="0"/>
        <charset val="1"/>
      </rPr>
      <t xml:space="preserve">1 </t>
    </r>
    <r>
      <rPr>
        <i val="true"/>
        <sz val="8"/>
        <color rgb="FF555555"/>
        <rFont val="FreeSans"/>
        <family val="2"/>
      </rPr>
      <t xml:space="preserve">إلى </t>
    </r>
    <r>
      <rPr>
        <i val="true"/>
        <sz val="8"/>
        <color rgb="FF555555"/>
        <rFont val="Calibri"/>
        <family val="0"/>
        <charset val="1"/>
      </rPr>
      <t xml:space="preserve">24</t>
    </r>
  </si>
  <si>
    <r>
      <rPr>
        <b val="true"/>
        <sz val="9"/>
        <color rgb="FF000000"/>
        <rFont val="FreeSans"/>
        <family val="2"/>
      </rPr>
      <t xml:space="preserve">المستلِم
</t>
    </r>
    <r>
      <rPr>
        <b val="true"/>
        <sz val="9"/>
        <color rgb="FF000000"/>
        <rFont val="Calibri"/>
        <family val="0"/>
        <charset val="1"/>
      </rPr>
      <t xml:space="preserve">Bénéficiaire
</t>
    </r>
  </si>
  <si>
    <r>
      <rPr>
        <b val="true"/>
        <sz val="9"/>
        <color rgb="FF000000"/>
        <rFont val="FreeSans"/>
        <family val="2"/>
      </rPr>
      <t xml:space="preserve">أمين المخزن
</t>
    </r>
    <r>
      <rPr>
        <b val="true"/>
        <sz val="9"/>
        <color rgb="FF000000"/>
        <rFont val="Calibri"/>
        <family val="0"/>
        <charset val="1"/>
      </rPr>
      <t xml:space="preserve">Magasinier
</t>
    </r>
  </si>
  <si>
    <r>
      <rPr>
        <b val="true"/>
        <sz val="9"/>
        <color rgb="FF000000"/>
        <rFont val="FreeSans"/>
        <family val="2"/>
      </rPr>
      <t xml:space="preserve">مسؤول الوسائل + ختم
</t>
    </r>
    <r>
      <rPr>
        <b val="true"/>
        <sz val="9"/>
        <color rgb="FF000000"/>
        <rFont val="Calibri"/>
        <family val="0"/>
        <charset val="1"/>
      </rPr>
      <t xml:space="preserve">Responsable + Cachet
</t>
    </r>
  </si>
  <si>
    <r>
      <rPr>
        <i val="true"/>
        <sz val="8"/>
        <color rgb="FF555555"/>
        <rFont val="FreeSans"/>
        <family val="2"/>
      </rPr>
      <t xml:space="preserve">★  يُعبَّأ هذا الوصل في نسختين</t>
    </r>
    <r>
      <rPr>
        <i val="true"/>
        <sz val="8"/>
        <color rgb="FF555555"/>
        <rFont val="Calibri"/>
        <family val="0"/>
        <charset val="1"/>
      </rPr>
      <t xml:space="preserve">: </t>
    </r>
    <r>
      <rPr>
        <i val="true"/>
        <sz val="8"/>
        <color rgb="FF555555"/>
        <rFont val="FreeSans"/>
        <family val="2"/>
      </rPr>
      <t xml:space="preserve">نسخة للمصلحة المستفيدة </t>
    </r>
    <r>
      <rPr>
        <i val="true"/>
        <sz val="8"/>
        <color rgb="FF555555"/>
        <rFont val="Calibri"/>
        <family val="0"/>
        <charset val="1"/>
      </rPr>
      <t xml:space="preserve">+ </t>
    </r>
    <r>
      <rPr>
        <i val="true"/>
        <sz val="8"/>
        <color rgb="FF555555"/>
        <rFont val="FreeSans"/>
        <family val="2"/>
      </rPr>
      <t xml:space="preserve">نسخة للمخزن — الختم إلزامي لإتمام الدورة المستندية</t>
    </r>
  </si>
  <si>
    <r>
      <rPr>
        <b val="true"/>
        <sz val="14"/>
        <color rgb="FF000000"/>
        <rFont val="FreeSans"/>
        <family val="2"/>
      </rPr>
      <t xml:space="preserve">أمر الشراء  —  </t>
    </r>
    <r>
      <rPr>
        <b val="true"/>
        <sz val="14"/>
        <color rgb="FF000000"/>
        <rFont val="Calibri"/>
        <family val="0"/>
        <charset val="1"/>
      </rPr>
      <t xml:space="preserve">BON DE COMMANDE (BC)</t>
    </r>
  </si>
  <si>
    <r>
      <rPr>
        <b val="true"/>
        <sz val="10"/>
        <color rgb="FF000000"/>
        <rFont val="FreeSans"/>
        <family val="2"/>
      </rPr>
      <t xml:space="preserve">رقم أمر الشراء  </t>
    </r>
    <r>
      <rPr>
        <b val="true"/>
        <sz val="10"/>
        <color rgb="FF000000"/>
        <rFont val="Calibri"/>
        <family val="0"/>
        <charset val="1"/>
      </rPr>
      <t xml:space="preserve">/  N° Bon de Commande :</t>
    </r>
  </si>
  <si>
    <r>
      <rPr>
        <i val="true"/>
        <sz val="8"/>
        <color rgb="FF555555"/>
        <rFont val="FreeSans"/>
        <family val="2"/>
      </rPr>
      <t xml:space="preserve">★  مثال — </t>
    </r>
    <r>
      <rPr>
        <i val="true"/>
        <sz val="8"/>
        <color rgb="FF555555"/>
        <rFont val="Calibri"/>
        <family val="0"/>
        <charset val="1"/>
      </rPr>
      <t xml:space="preserve">Exemple :  BC-2026-001   (BC = Bon Commande  |  001 = n° séquentiel)</t>
    </r>
  </si>
  <si>
    <r>
      <rPr>
        <b val="true"/>
        <sz val="10"/>
        <color rgb="FF000000"/>
        <rFont val="FreeSans"/>
        <family val="2"/>
      </rPr>
      <t xml:space="preserve">تاريخ الطلبية  </t>
    </r>
    <r>
      <rPr>
        <b val="true"/>
        <sz val="10"/>
        <color rgb="FF000000"/>
        <rFont val="Calibri"/>
        <family val="0"/>
        <charset val="1"/>
      </rPr>
      <t xml:space="preserve">/  Date commande :</t>
    </r>
  </si>
  <si>
    <r>
      <rPr>
        <b val="true"/>
        <sz val="10"/>
        <color rgb="FF7B5800"/>
        <rFont val="FreeSans"/>
        <family val="2"/>
      </rPr>
      <t xml:space="preserve">رقم طلب الاحتياج المنشئ </t>
    </r>
    <r>
      <rPr>
        <b val="true"/>
        <sz val="10"/>
        <color rgb="FF7B5800"/>
        <rFont val="Calibri"/>
        <family val="0"/>
        <charset val="1"/>
      </rPr>
      <t xml:space="preserve">/ N° DA (Origine) :</t>
    </r>
  </si>
  <si>
    <r>
      <rPr>
        <i val="true"/>
        <sz val="8"/>
        <color rgb="FF555555"/>
        <rFont val="FreeSans"/>
        <family val="2"/>
      </rPr>
      <t xml:space="preserve">★  مثال</t>
    </r>
    <r>
      <rPr>
        <i val="true"/>
        <sz val="8"/>
        <color rgb="FF555555"/>
        <rFont val="Calibri"/>
        <family val="0"/>
        <charset val="1"/>
      </rPr>
      <t xml:space="preserve">: ENAP Alger  |  Bureautique Center Oran  |  Bureau Plus Mascara — </t>
    </r>
    <r>
      <rPr>
        <i val="true"/>
        <sz val="8"/>
        <color rgb="FF555555"/>
        <rFont val="FreeSans"/>
        <family val="2"/>
      </rPr>
      <t xml:space="preserve">انظر ورقة </t>
    </r>
    <r>
      <rPr>
        <i val="true"/>
        <sz val="8"/>
        <color rgb="FF555555"/>
        <rFont val="Calibri"/>
        <family val="0"/>
        <charset val="1"/>
      </rPr>
      <t xml:space="preserve">FOURNISSEURS</t>
    </r>
  </si>
  <si>
    <r>
      <rPr>
        <b val="true"/>
        <sz val="10"/>
        <color rgb="FF000000"/>
        <rFont val="FreeSans"/>
        <family val="2"/>
      </rPr>
      <t xml:space="preserve">طلب الشراء المرجعي  </t>
    </r>
    <r>
      <rPr>
        <b val="true"/>
        <sz val="10"/>
        <color rgb="FF000000"/>
        <rFont val="Calibri"/>
        <family val="0"/>
        <charset val="1"/>
      </rPr>
      <t xml:space="preserve">/  Réf. DA :</t>
    </r>
  </si>
  <si>
    <r>
      <rPr>
        <i val="true"/>
        <sz val="8"/>
        <color rgb="FF555555"/>
        <rFont val="FreeSans"/>
        <family val="2"/>
      </rPr>
      <t xml:space="preserve">★  مثال</t>
    </r>
    <r>
      <rPr>
        <i val="true"/>
        <sz val="8"/>
        <color rgb="FF555555"/>
        <rFont val="Calibri"/>
        <family val="0"/>
        <charset val="1"/>
      </rPr>
      <t xml:space="preserve">: DA-2026-002  — </t>
    </r>
    <r>
      <rPr>
        <i val="true"/>
        <sz val="8"/>
        <color rgb="FF555555"/>
        <rFont val="FreeSans"/>
        <family val="2"/>
      </rPr>
      <t xml:space="preserve">رقم طلب الشراء الداخلي الذي استوجب إصدار هذا الأمر</t>
    </r>
  </si>
  <si>
    <r>
      <rPr>
        <b val="true"/>
        <sz val="10"/>
        <color rgb="FF000000"/>
        <rFont val="FreeSans"/>
        <family val="2"/>
      </rPr>
      <t xml:space="preserve">طريقة الدفع  </t>
    </r>
    <r>
      <rPr>
        <b val="true"/>
        <sz val="10"/>
        <color rgb="FF000000"/>
        <rFont val="Calibri"/>
        <family val="0"/>
        <charset val="1"/>
      </rPr>
      <t xml:space="preserve">/  Mode de règlement :</t>
    </r>
  </si>
  <si>
    <r>
      <rPr>
        <i val="true"/>
        <sz val="8"/>
        <color rgb="FF555555"/>
        <rFont val="FreeSans"/>
        <family val="2"/>
      </rPr>
      <t xml:space="preserve">★  مثال</t>
    </r>
    <r>
      <rPr>
        <i val="true"/>
        <sz val="8"/>
        <color rgb="FF555555"/>
        <rFont val="Calibri"/>
        <family val="0"/>
        <charset val="1"/>
      </rPr>
      <t xml:space="preserve">: </t>
    </r>
    <r>
      <rPr>
        <i val="true"/>
        <sz val="8"/>
        <color rgb="FF555555"/>
        <rFont val="FreeSans"/>
        <family val="2"/>
      </rPr>
      <t xml:space="preserve">تحويل بنكي  </t>
    </r>
    <r>
      <rPr>
        <i val="true"/>
        <sz val="8"/>
        <color rgb="FF555555"/>
        <rFont val="Calibri"/>
        <family val="0"/>
        <charset val="1"/>
      </rPr>
      <t xml:space="preserve">|  </t>
    </r>
    <r>
      <rPr>
        <i val="true"/>
        <sz val="8"/>
        <color rgb="FF555555"/>
        <rFont val="FreeSans"/>
        <family val="2"/>
      </rPr>
      <t xml:space="preserve">شيك  </t>
    </r>
    <r>
      <rPr>
        <i val="true"/>
        <sz val="8"/>
        <color rgb="FF555555"/>
        <rFont val="Calibri"/>
        <family val="0"/>
        <charset val="1"/>
      </rPr>
      <t xml:space="preserve">|  </t>
    </r>
    <r>
      <rPr>
        <i val="true"/>
        <sz val="8"/>
        <color rgb="FF555555"/>
        <rFont val="FreeSans"/>
        <family val="2"/>
      </rPr>
      <t xml:space="preserve">خزينة الولاية — وفق الإجراءات المحاسبية المعتمدة</t>
    </r>
  </si>
  <si>
    <r>
      <rPr>
        <b val="true"/>
        <sz val="9"/>
        <color rgb="FF000000"/>
        <rFont val="FreeSans"/>
        <family val="2"/>
      </rPr>
      <t xml:space="preserve">شروط التسليم  </t>
    </r>
    <r>
      <rPr>
        <b val="true"/>
        <sz val="9"/>
        <color rgb="FF000000"/>
        <rFont val="Calibri"/>
        <family val="0"/>
        <charset val="1"/>
      </rPr>
      <t xml:space="preserve">/  Conditions de livraison :</t>
    </r>
  </si>
  <si>
    <r>
      <rPr>
        <b val="true"/>
        <sz val="9"/>
        <color rgb="FF000000"/>
        <rFont val="FreeSans"/>
        <family val="2"/>
      </rPr>
      <t xml:space="preserve">المسؤول عن المادة
</t>
    </r>
    <r>
      <rPr>
        <b val="true"/>
        <sz val="9"/>
        <color rgb="FF000000"/>
        <rFont val="Calibri"/>
        <family val="0"/>
        <charset val="1"/>
      </rPr>
      <t xml:space="preserve">Responsable Matériel
</t>
    </r>
  </si>
  <si>
    <r>
      <rPr>
        <b val="true"/>
        <sz val="9"/>
        <color rgb="FF000000"/>
        <rFont val="FreeSans"/>
        <family val="2"/>
      </rPr>
      <t xml:space="preserve">المدير / المقتصد
</t>
    </r>
    <r>
      <rPr>
        <b val="true"/>
        <sz val="9"/>
        <color rgb="FF000000"/>
        <rFont val="Calibri"/>
        <family val="0"/>
        <charset val="1"/>
      </rPr>
      <t xml:space="preserve">Directeur / Intendant
</t>
    </r>
  </si>
  <si>
    <r>
      <rPr>
        <b val="true"/>
        <sz val="9"/>
        <color rgb="FF000000"/>
        <rFont val="FreeSans"/>
        <family val="2"/>
      </rPr>
      <t xml:space="preserve">ختم وإمضاء المدير
</t>
    </r>
    <r>
      <rPr>
        <b val="true"/>
        <sz val="9"/>
        <color rgb="FF000000"/>
        <rFont val="Calibri"/>
        <family val="0"/>
        <charset val="1"/>
      </rPr>
      <t xml:space="preserve">Cachet + Signature Directeur
</t>
    </r>
  </si>
  <si>
    <t xml:space="preserve">★  يُرسَل أمر الشراء للمورد في نسختين — أصل للمورد، نسخة للمصلحة المالية</t>
  </si>
  <si>
    <r>
      <rPr>
        <b val="true"/>
        <sz val="14"/>
        <color rgb="FF000000"/>
        <rFont val="FreeSans"/>
        <family val="2"/>
      </rPr>
      <t xml:space="preserve">طلب الاحتياج من المواد </t>
    </r>
    <r>
      <rPr>
        <b val="true"/>
        <sz val="14"/>
        <color rgb="FF000000"/>
        <rFont val="Calibri"/>
        <family val="0"/>
        <charset val="1"/>
      </rPr>
      <t xml:space="preserve">(DA)  —  DEMANDE D'ACHAT / D'APPROVISIONNEMENT</t>
    </r>
  </si>
  <si>
    <r>
      <rPr>
        <b val="true"/>
        <sz val="10"/>
        <color rgb="FF000000"/>
        <rFont val="FreeSans"/>
        <family val="2"/>
      </rPr>
      <t xml:space="preserve">رقم الطلب  </t>
    </r>
    <r>
      <rPr>
        <b val="true"/>
        <sz val="10"/>
        <color rgb="FF000000"/>
        <rFont val="Calibri"/>
        <family val="0"/>
        <charset val="1"/>
      </rPr>
      <t xml:space="preserve">/  N° DA :</t>
    </r>
  </si>
  <si>
    <t xml:space="preserve">★  DA-2026-001   (DA = Demande d'Achat  |  numéro séquentiel)</t>
  </si>
  <si>
    <r>
      <rPr>
        <b val="true"/>
        <sz val="10"/>
        <color rgb="FF000000"/>
        <rFont val="FreeSans"/>
        <family val="2"/>
      </rPr>
      <t xml:space="preserve">التاريخ  </t>
    </r>
    <r>
      <rPr>
        <b val="true"/>
        <sz val="10"/>
        <color rgb="FF000000"/>
        <rFont val="Calibri"/>
        <family val="0"/>
        <charset val="1"/>
      </rPr>
      <t xml:space="preserve">/  Date :</t>
    </r>
  </si>
  <si>
    <r>
      <rPr>
        <i val="true"/>
        <sz val="8"/>
        <color rgb="FF555555"/>
        <rFont val="FreeSans"/>
        <family val="2"/>
      </rPr>
      <t xml:space="preserve">★  مثال</t>
    </r>
    <r>
      <rPr>
        <i val="true"/>
        <sz val="8"/>
        <color rgb="FF555555"/>
        <rFont val="Calibri"/>
        <family val="0"/>
        <charset val="1"/>
      </rPr>
      <t xml:space="preserve">: </t>
    </r>
    <r>
      <rPr>
        <i val="true"/>
        <sz val="8"/>
        <color rgb="FF555555"/>
        <rFont val="FreeSans"/>
        <family val="2"/>
      </rPr>
      <t xml:space="preserve">مصلحة الرواتب  </t>
    </r>
    <r>
      <rPr>
        <i val="true"/>
        <sz val="8"/>
        <color rgb="FF555555"/>
        <rFont val="Calibri"/>
        <family val="0"/>
        <charset val="1"/>
      </rPr>
      <t xml:space="preserve">|  </t>
    </r>
    <r>
      <rPr>
        <i val="true"/>
        <sz val="8"/>
        <color rgb="FF555555"/>
        <rFont val="FreeSans"/>
        <family val="2"/>
      </rPr>
      <t xml:space="preserve">مكتب المدير  </t>
    </r>
    <r>
      <rPr>
        <i val="true"/>
        <sz val="8"/>
        <color rgb="FF555555"/>
        <rFont val="Calibri"/>
        <family val="0"/>
        <charset val="1"/>
      </rPr>
      <t xml:space="preserve">|  </t>
    </r>
    <r>
      <rPr>
        <i val="true"/>
        <sz val="8"/>
        <color rgb="FF555555"/>
        <rFont val="FreeSans"/>
        <family val="2"/>
      </rPr>
      <t xml:space="preserve">مصلحة الامتحانات</t>
    </r>
  </si>
  <si>
    <r>
      <rPr>
        <b val="true"/>
        <sz val="10"/>
        <color rgb="FF000000"/>
        <rFont val="FreeSans"/>
        <family val="2"/>
      </rPr>
      <t xml:space="preserve">المسؤول عن المصلحة  </t>
    </r>
    <r>
      <rPr>
        <b val="true"/>
        <sz val="10"/>
        <color rgb="FF000000"/>
        <rFont val="Calibri"/>
        <family val="0"/>
        <charset val="1"/>
      </rPr>
      <t xml:space="preserve">/  Responsable :</t>
    </r>
  </si>
  <si>
    <r>
      <rPr>
        <i val="true"/>
        <sz val="8"/>
        <color rgb="FF555555"/>
        <rFont val="FreeSans"/>
        <family val="2"/>
      </rPr>
      <t xml:space="preserve">★  الاسم الكامل </t>
    </r>
    <r>
      <rPr>
        <i val="true"/>
        <sz val="8"/>
        <color rgb="FF555555"/>
        <rFont val="Calibri"/>
        <family val="0"/>
        <charset val="1"/>
      </rPr>
      <t xml:space="preserve">+ </t>
    </r>
    <r>
      <rPr>
        <i val="true"/>
        <sz val="8"/>
        <color rgb="FF555555"/>
        <rFont val="FreeSans"/>
        <family val="2"/>
      </rPr>
      <t xml:space="preserve">الصفة الوظيفية</t>
    </r>
  </si>
  <si>
    <r>
      <rPr>
        <b val="true"/>
        <sz val="10"/>
        <color rgb="FF000000"/>
        <rFont val="FreeSans"/>
        <family val="2"/>
      </rPr>
      <t xml:space="preserve">الغرض  </t>
    </r>
    <r>
      <rPr>
        <b val="true"/>
        <sz val="10"/>
        <color rgb="FF000000"/>
        <rFont val="Calibri"/>
        <family val="0"/>
        <charset val="1"/>
      </rPr>
      <t xml:space="preserve">/  Objet / Motif :</t>
    </r>
  </si>
  <si>
    <r>
      <rPr>
        <i val="true"/>
        <sz val="8"/>
        <color rgb="FF555555"/>
        <rFont val="FreeSans"/>
        <family val="2"/>
      </rPr>
      <t xml:space="preserve">★  مثال</t>
    </r>
    <r>
      <rPr>
        <i val="true"/>
        <sz val="8"/>
        <color rgb="FF555555"/>
        <rFont val="Calibri"/>
        <family val="0"/>
        <charset val="1"/>
      </rPr>
      <t xml:space="preserve">: </t>
    </r>
    <r>
      <rPr>
        <i val="true"/>
        <sz val="8"/>
        <color rgb="FF555555"/>
        <rFont val="FreeSans"/>
        <family val="2"/>
      </rPr>
      <t xml:space="preserve">تموين احتياجات الطباعة لشهر أفريل </t>
    </r>
    <r>
      <rPr>
        <i val="true"/>
        <sz val="8"/>
        <color rgb="FF555555"/>
        <rFont val="Calibri"/>
        <family val="0"/>
        <charset val="1"/>
      </rPr>
      <t xml:space="preserve">2026  |  </t>
    </r>
    <r>
      <rPr>
        <i val="true"/>
        <sz val="8"/>
        <color rgb="FF555555"/>
        <rFont val="FreeSans"/>
        <family val="2"/>
      </rPr>
      <t xml:space="preserve">تجهيز قاعة الامتحانات</t>
    </r>
  </si>
  <si>
    <t xml:space="preserve">Quantité
Demandée</t>
  </si>
  <si>
    <t xml:space="preserve">Quantité
Approuvée</t>
  </si>
  <si>
    <t xml:space="preserve">Observations</t>
  </si>
  <si>
    <t xml:space="preserve">Disponib.
Stock</t>
  </si>
  <si>
    <r>
      <rPr>
        <i val="true"/>
        <sz val="9"/>
        <color rgb="FF000000"/>
        <rFont val="FreeSans"/>
        <family val="2"/>
      </rPr>
      <t xml:space="preserve">ملاحظة للمصلحة الطالبة: تُعبَّأ الخانات البيضاء (رمز المادة + الكمية المطلوبة + الغرض) وتُرسل هذه الورقة إلى مصلحة الوسائل العامة</t>
    </r>
    <r>
      <rPr>
        <i val="true"/>
        <sz val="9"/>
        <color rgb="FF000000"/>
        <rFont val="Calibri"/>
        <family val="0"/>
        <charset val="1"/>
      </rPr>
      <t xml:space="preserve">.
</t>
    </r>
    <r>
      <rPr>
        <i val="true"/>
        <sz val="9"/>
        <color rgb="FF000000"/>
        <rFont val="FreeSans"/>
        <family val="2"/>
      </rPr>
      <t xml:space="preserve">ملاحظة للمخزن: الخانة (الكمية المعتمدة) والخانة (المخزون الحالي) تُعبَّأن بعد التحقق من الرصيد الفعلي في النظام</t>
    </r>
    <r>
      <rPr>
        <i val="true"/>
        <sz val="9"/>
        <color rgb="FF000000"/>
        <rFont val="Calibri"/>
        <family val="0"/>
        <charset val="1"/>
      </rPr>
      <t xml:space="preserve">.
</t>
    </r>
    <r>
      <rPr>
        <i val="true"/>
        <sz val="9"/>
        <color rgb="FF000000"/>
        <rFont val="FreeSans"/>
        <family val="2"/>
      </rPr>
      <t xml:space="preserve">الدورة المستندية</t>
    </r>
    <r>
      <rPr>
        <i val="true"/>
        <sz val="9"/>
        <color rgb="FF000000"/>
        <rFont val="Calibri"/>
        <family val="0"/>
        <charset val="1"/>
      </rPr>
      <t xml:space="preserve">: DA → (</t>
    </r>
    <r>
      <rPr>
        <i val="true"/>
        <sz val="9"/>
        <color rgb="FF000000"/>
        <rFont val="FreeSans"/>
        <family val="2"/>
      </rPr>
      <t xml:space="preserve">إن متوفر</t>
    </r>
    <r>
      <rPr>
        <i val="true"/>
        <sz val="9"/>
        <color rgb="FF000000"/>
        <rFont val="Calibri"/>
        <family val="0"/>
        <charset val="1"/>
      </rPr>
      <t xml:space="preserve">) BS  |  DA → (</t>
    </r>
    <r>
      <rPr>
        <i val="true"/>
        <sz val="9"/>
        <color rgb="FF000000"/>
        <rFont val="FreeSans"/>
        <family val="2"/>
      </rPr>
      <t xml:space="preserve">غير متوفر</t>
    </r>
    <r>
      <rPr>
        <i val="true"/>
        <sz val="9"/>
        <color rgb="FF000000"/>
        <rFont val="Calibri"/>
        <family val="0"/>
        <charset val="1"/>
      </rPr>
      <t xml:space="preserve">) BC → BR → BS</t>
    </r>
  </si>
  <si>
    <r>
      <rPr>
        <b val="true"/>
        <sz val="9"/>
        <color rgb="FF000000"/>
        <rFont val="FreeSans"/>
        <family val="2"/>
      </rPr>
      <t xml:space="preserve">توقيع المصلحة الطالبة
</t>
    </r>
    <r>
      <rPr>
        <b val="true"/>
        <sz val="9"/>
        <color rgb="FF000000"/>
        <rFont val="Calibri"/>
        <family val="0"/>
        <charset val="1"/>
      </rPr>
      <t xml:space="preserve">Signature du Service
</t>
    </r>
  </si>
  <si>
    <r>
      <rPr>
        <b val="true"/>
        <sz val="9"/>
        <color rgb="FF000000"/>
        <rFont val="FreeSans"/>
        <family val="2"/>
      </rPr>
      <t xml:space="preserve">اعتماد مسؤول المخزن
</t>
    </r>
    <r>
      <rPr>
        <b val="true"/>
        <sz val="9"/>
        <color rgb="FF000000"/>
        <rFont val="Calibri"/>
        <family val="0"/>
        <charset val="1"/>
      </rPr>
      <t xml:space="preserve">Visa Magasinier
</t>
    </r>
  </si>
  <si>
    <r>
      <rPr>
        <b val="true"/>
        <sz val="9"/>
        <color rgb="FF000000"/>
        <rFont val="FreeSans"/>
        <family val="2"/>
      </rPr>
      <t xml:space="preserve">مصادقة المدير
</t>
    </r>
    <r>
      <rPr>
        <b val="true"/>
        <sz val="9"/>
        <color rgb="FF000000"/>
        <rFont val="Calibri"/>
        <family val="0"/>
        <charset val="1"/>
      </rPr>
      <t xml:space="preserve">Visa Directeur
</t>
    </r>
  </si>
  <si>
    <r>
      <rPr>
        <b val="true"/>
        <sz val="14"/>
        <color rgb="FFFFFFFF"/>
        <rFont val="Calibri"/>
        <family val="0"/>
        <charset val="1"/>
      </rPr>
      <t xml:space="preserve">GUIDE D'UTILISATION  —  </t>
    </r>
    <r>
      <rPr>
        <b val="true"/>
        <sz val="14"/>
        <color rgb="FFFFFFFF"/>
        <rFont val="FreeSans"/>
        <family val="2"/>
      </rPr>
      <t xml:space="preserve">دليل الاستخدام  </t>
    </r>
    <r>
      <rPr>
        <b val="true"/>
        <sz val="14"/>
        <color rgb="FFFFFFFF"/>
        <rFont val="Calibri"/>
        <family val="0"/>
        <charset val="1"/>
      </rPr>
      <t xml:space="preserve">|  ERP_Academie_v8  [v7 + Automation]</t>
    </r>
  </si>
  <si>
    <t xml:space="preserve">SECTION</t>
  </si>
  <si>
    <t xml:space="preserve">CORRECTIONS v7 vs v6  (bugs résolus)</t>
  </si>
  <si>
    <t xml:space="preserve">✔</t>
  </si>
  <si>
    <t xml:space="preserve">OPT-01  Range ARTICLES étendu à 12 articles (lignes 3-14). Toutes les formules VLOOKUP utilisent $A$3:$G$500</t>
  </si>
  <si>
    <t xml:space="preserve">OPT-02  CMUP colonne L : dénominateur protégé par MAX(1,…) → aucune erreur DIV/0 possible</t>
  </si>
  <si>
    <t xml:space="preserve">OPT-03  Calcul Wilson (EOQ) déplacé dans la feuille CALCULS_EOQ (était dans TABLEAU DE BORD)</t>
  </si>
  <si>
    <t xml:space="preserve">FIX-01  Préfixe MOUVEMENTS! supprimé dans les formules de la feuille MOUVEMENTS (référence circulaire évitée)</t>
  </si>
  <si>
    <t xml:space="preserve">FIX-02  Colonne J MOUVEMENTS renommée «Stock Net (IN−OUT)» — label correct</t>
  </si>
  <si>
    <t xml:space="preserve">FIX-03  5 feuilles manquantes ajoutées: ACCUEIL, FOURNISSEURS, INVENTAIRE, CALCULS_EOQ, HISTORIQUE</t>
  </si>
  <si>
    <t xml:space="preserve">FIX-04  Catalogue: 12 articles conformes à l'analyse ABC du terrain (vs 8 dans v6)</t>
  </si>
  <si>
    <r>
      <rPr>
        <sz val="10"/>
        <color rgb="FF000000"/>
        <rFont val="Calibri"/>
        <family val="0"/>
        <charset val="1"/>
      </rPr>
      <t xml:space="preserve">FIX-05  Registre: 29 mouvements depuis données réelles des b</t>
    </r>
    <r>
      <rPr>
        <sz val="10"/>
        <color rgb="FF000000"/>
        <rFont val="FreeSans"/>
        <family val="2"/>
      </rPr>
      <t xml:space="preserve">طاقات المخزون</t>
    </r>
  </si>
  <si>
    <t xml:space="preserve">COMPATIBILITÉ EXCEL 2010 / WINDOWS 7</t>
  </si>
  <si>
    <t xml:space="preserve">Aucune fonction moderne (XLOOKUP, UNIQUE, FILTER, tableaux dynamiques)</t>
  </si>
  <si>
    <t xml:space="preserve">VLOOKUP, SUMIFS, SUMPRODUCT, IFERROR, MAX uniquement</t>
  </si>
  <si>
    <t xml:space="preserve">LOOKUP(2,1/(array=val),result) pour trouver la dernière valeur CMUP par article</t>
  </si>
  <si>
    <t xml:space="preserve">VBA — MACROS À AJOUTER MANUELLEMENT (ALT+F11)</t>
  </si>
  <si>
    <t xml:space="preserve">►</t>
  </si>
  <si>
    <t xml:space="preserve">Sub AjouterMouvement() — Demande code, type, qté, ref → insère ligne en MOUVEMENTS, rafraîchit TDB</t>
  </si>
  <si>
    <t xml:space="preserve">Sub VerifierAlertes() — Boucle sur TABLEAU DE BORD col K, MsgBox si COMMANDER ou RUPTURE</t>
  </si>
  <si>
    <t xml:space="preserve">Sub RafraichirTableauBord() — Force recalcul (Application.Calculate), met à jour date ACCUEIL</t>
  </si>
  <si>
    <t xml:space="preserve">COMMENT AJOUTER UN MOUVEMENT</t>
  </si>
  <si>
    <t xml:space="preserve">1.</t>
  </si>
  <si>
    <t xml:space="preserve">Aller dans la feuille MOUVEMENTS</t>
  </si>
  <si>
    <t xml:space="preserve">2.</t>
  </si>
  <si>
    <t xml:space="preserve">Saisir la date (col A), le code article (col B), IN/OUT (col D), quantité (col E), réf. doc (col H)</t>
  </si>
  <si>
    <t xml:space="preserve">3.</t>
  </si>
  <si>
    <t xml:space="preserve">Les colonnes C, F, G, I, J, K, L se calculent automatiquement</t>
  </si>
  <si>
    <t xml:space="preserve">4.</t>
  </si>
  <si>
    <t xml:space="preserve">Le TABLEAU DE BORD se met à jour dès que vous revenez sur cet onglet</t>
  </si>
  <si>
    <t xml:space="preserve">PARAMÈTRES AJUSTABLES (TABLEAU DE BORD, colonnes M-N)</t>
  </si>
  <si>
    <t xml:space="preserve">N4</t>
  </si>
  <si>
    <t xml:space="preserve">Jours d'observation = 38 jours (période terrain 01/02 – 09/03/2026). Modifier si nouvelle période.</t>
  </si>
  <si>
    <t xml:space="preserve">N6</t>
  </si>
  <si>
    <t xml:space="preserve">Lead Time = 2 jours (Oran → El Bayadh). Modifier si délai change.</t>
  </si>
  <si>
    <t xml:space="preserve">CALCULS_EOQ — WILSON</t>
  </si>
  <si>
    <t xml:space="preserve">C3</t>
  </si>
  <si>
    <t xml:space="preserve">D = Demande annuelle ART-001 (calculée auto depuis MOUVEMENTS)</t>
  </si>
  <si>
    <t xml:space="preserve">C4</t>
  </si>
  <si>
    <t xml:space="preserve">CL = 50 DA par commande (modifiable)</t>
  </si>
  <si>
    <t xml:space="preserve">C5</t>
  </si>
  <si>
    <t xml:space="preserve">PU = 400 DA/rame (confirmé terrain — NE PAS changer)</t>
  </si>
  <si>
    <t xml:space="preserve">C6</t>
  </si>
  <si>
    <t xml:space="preserve">t = 20% taux de possession (standard secteur public)</t>
  </si>
  <si>
    <t xml:space="preserve">C7</t>
  </si>
  <si>
    <t xml:space="preserve">SS = 200 rames (stock de sécurité — modifiable)</t>
  </si>
  <si>
    <t xml:space="preserve">C8</t>
  </si>
  <si>
    <t xml:space="preserve">LT = 2 jours (modifiable)</t>
  </si>
  <si>
    <r>
      <rPr>
        <b val="true"/>
        <sz val="10"/>
        <color rgb="FFFFFFFF"/>
        <rFont val="Calibri"/>
        <family val="0"/>
        <charset val="1"/>
      </rPr>
      <t xml:space="preserve">MÉMOIRE — Références m</t>
    </r>
    <r>
      <rPr>
        <b val="true"/>
        <sz val="10"/>
        <color rgb="FFFFFFFF"/>
        <rFont val="FreeSans"/>
        <family val="2"/>
      </rPr>
      <t xml:space="preserve">ذكرة تخرج</t>
    </r>
  </si>
  <si>
    <t xml:space="preserve">§</t>
  </si>
  <si>
    <t xml:space="preserve">Chapitre 3, §3.2 : Tableau ABC → ART-001 = 72.2% de la valeur totale</t>
  </si>
  <si>
    <t xml:space="preserve">Chapitre 3, §3.3 : CMUP = K ÷ MAX(1,ΣIN) → formule colonne L, MOUVEMENTS</t>
  </si>
  <si>
    <t xml:space="preserve">Chapitre 3, §3.4 : Wilson EOQ ≈ 60 rames | ROP ≈ 216 rames | CVT ≈ 4817 DA/an</t>
  </si>
  <si>
    <t xml:space="preserve">Chapitre 4, §4.2 : 9 feuilles, 12 articles, VLOOKUP+SUMPRODUCT, Excel 2010</t>
  </si>
  <si>
    <t xml:space="preserve">NOUVELLES FEUILLES v8 (depuis analyse Gemini)</t>
  </si>
  <si>
    <t xml:space="preserve">ALERTE_DASHBOARD  — Sentinelle formule: 4 KPIs (ruptures, commander, alerte, OK) + table détail</t>
  </si>
  <si>
    <t xml:space="preserve">BON_RECEPTION     — Template A4 imprimable: header institutionnel + VLOOKUP auto + QR placeholder + PDF VBA</t>
  </si>
  <si>
    <t xml:space="preserve">AUDIT_LOG         — Journal fantôme pré-formaté pour VBA JournaliserAction()</t>
  </si>
  <si>
    <t xml:space="preserve">VBA_MODULES       — Code complet production-ready à coller dans ALT+F11 (4 modules + UserForm)</t>
  </si>
  <si>
    <t xml:space="preserve">WORKFLOW COMPLET v8</t>
  </si>
  <si>
    <t xml:space="preserve">Ouvrir le fichier → Workbook_Open vérifie les ruptures automatiquement</t>
  </si>
  <si>
    <t xml:space="preserve">ALT+F8 → AjouterMouvement → frmDataEntry s'ouvre (ComboBox filtrés par classe ABC)</t>
  </si>
  <si>
    <t xml:space="preserve">Sélectionner article, type IN/OUT, quantité, N° doc → ✔ Enregistrer</t>
  </si>
  <si>
    <t xml:space="preserve">La macro valide le stock (bloque si OUT &gt; stock actuel), écrit dans MOUVEMENTS, recalcule</t>
  </si>
  <si>
    <t xml:space="preserve">5.</t>
  </si>
  <si>
    <t xml:space="preserve">ALERTE_DASHBOARD et TABLEAU DE BORD se mettent à jour automatiquement</t>
  </si>
  <si>
    <t xml:space="preserve">6.</t>
  </si>
  <si>
    <t xml:space="preserve">ALT+F8 → GenererBonReception → PDF exporté avec nom horodaté</t>
  </si>
  <si>
    <t xml:space="preserve">7.</t>
  </si>
  <si>
    <t xml:space="preserve">AUDIT_LOG reçoit silencieusement chaque action</t>
  </si>
  <si>
    <r>
      <rPr>
        <b val="true"/>
        <sz val="10"/>
        <color rgb="FF0C447C"/>
        <rFont val="FreeSans"/>
        <family val="2"/>
      </rPr>
      <t xml:space="preserve">مجلدات </t>
    </r>
    <r>
      <rPr>
        <b val="true"/>
        <sz val="10"/>
        <color rgb="FF0C447C"/>
        <rFont val="Calibri"/>
        <family val="0"/>
        <charset val="1"/>
      </rPr>
      <t xml:space="preserve">PDF </t>
    </r>
    <r>
      <rPr>
        <b val="true"/>
        <sz val="10"/>
        <color rgb="FF0C447C"/>
        <rFont val="FreeSans"/>
        <family val="2"/>
      </rPr>
      <t xml:space="preserve">المُوصى بها — </t>
    </r>
    <r>
      <rPr>
        <b val="true"/>
        <sz val="10"/>
        <color rgb="FF0C447C"/>
        <rFont val="Calibri"/>
        <family val="0"/>
        <charset val="1"/>
      </rPr>
      <t xml:space="preserve">PDF Archive Folders</t>
    </r>
  </si>
  <si>
    <t xml:space="preserve">PDF_SORTIES</t>
  </si>
  <si>
    <r>
      <rPr>
        <sz val="9"/>
        <color rgb="FF1A1A1A"/>
        <rFont val="Calibri"/>
        <family val="0"/>
        <charset val="1"/>
      </rPr>
      <t xml:space="preserve">BS + BC + DA — </t>
    </r>
    <r>
      <rPr>
        <sz val="9"/>
        <color rgb="FF1A1A1A"/>
        <rFont val="FreeSans"/>
        <family val="2"/>
      </rPr>
      <t xml:space="preserve">يُولَّد تلقائياً بالماكرو عند كل طباعة وصل</t>
    </r>
  </si>
  <si>
    <t xml:space="preserve">PDF_ENTREES</t>
  </si>
  <si>
    <r>
      <rPr>
        <sz val="9"/>
        <color rgb="FF1A1A1A"/>
        <rFont val="Calibri"/>
        <family val="0"/>
        <charset val="1"/>
      </rPr>
      <t xml:space="preserve">BR + </t>
    </r>
    <r>
      <rPr>
        <sz val="9"/>
        <color rgb="FF1A1A1A"/>
        <rFont val="FreeSans"/>
        <family val="2"/>
      </rPr>
      <t xml:space="preserve">وثائق الموردين — يُحمَّل يدوياً أو من الماكرو عند الاستلام</t>
    </r>
  </si>
  <si>
    <r>
      <rPr>
        <i val="true"/>
        <sz val="9"/>
        <color rgb="FF37474F"/>
        <rFont val="FreeSans"/>
        <family val="2"/>
      </rPr>
      <t xml:space="preserve">انشئ هذين المجلدين بجوار ملف </t>
    </r>
    <r>
      <rPr>
        <i val="true"/>
        <sz val="9"/>
        <color rgb="FF37474F"/>
        <rFont val="Cambria"/>
        <family val="0"/>
        <charset val="1"/>
      </rPr>
      <t xml:space="preserve">ERP. </t>
    </r>
    <r>
      <rPr>
        <i val="true"/>
        <sz val="9"/>
        <color rgb="FF37474F"/>
        <rFont val="FreeSans"/>
        <family val="2"/>
      </rPr>
      <t xml:space="preserve">الاسم ثابت لا يتغير حتى يعمل الماكرو صحيحاً</t>
    </r>
    <r>
      <rPr>
        <i val="true"/>
        <sz val="9"/>
        <color rgb="FF37474F"/>
        <rFont val="Cambria"/>
        <family val="0"/>
        <charset val="1"/>
      </rPr>
      <t xml:space="preserve">.</t>
    </r>
  </si>
  <si>
    <t xml:space="preserve">TAG1801 — CNEPD/INSFP El Bayadh — Mahi Kamel Abdelghani — avril 2026</t>
  </si>
  <si>
    <t xml:space="preserve">VBA_MODULES  —  Code source complet v8.1  |  Gemini-refined  |  ALT+F11 → Module → Coller</t>
  </si>
  <si>
    <t xml:space="preserve">══ MODULE 1 — MAIN_MACROS  ══  Insert → Module, Name it 'MAIN_MACROS'</t>
  </si>
  <si>
    <t xml:space="preserve">Sub AjouterMouvement()</t>
  </si>
  <si>
    <t xml:space="preserve">' Launch the data entry UserForm
frmDataEntry.Show
End Sub</t>
  </si>
  <si>
    <t xml:space="preserve">Sub VerifierAlertes()</t>
  </si>
  <si>
    <t xml:space="preserve">Dim ws As Worksheet, msg As String, rupt As String, cmd As String
Set ws = ThisWorkbook.Sheets("TABLEAU DE BORD")
Dim i As Integer
For i = 4 To 15
    Dim code As String, st As String, desig As String
    code = ws.Cells(i,1).Value : st = ws.Cells(i,11).Value : desig = ws.Cells(i,2).Value
    If code &lt;&gt; "" Then
        If st = "!! RUPTURE"   Then rupt = rupt &amp; "  !! " &amp; code &amp; " — " &amp; desig &amp; Chr(13)
        If st = "&gt;&gt; COMMANDER" Then cmd  = cmd  &amp; "  &gt;&gt; " &amp; code &amp; " — " &amp; desig &amp; Chr(13)
    End If
Next i
If rupt = "" And cmd = "" Then
    MsgBox "OK — All items at satisfactory level.", vbInformation, "ERP v8.1"
Else
    If rupt &lt;&gt; "" Then msg = msg &amp; "=== RUPTURES ===" &amp; Chr(13) &amp; rupt &amp; Chr(13)
    If cmd  &lt;&gt; "" Then msg = msg &amp; "=== TO ORDER ===" &amp; Chr(13) &amp; cmd
    MsgBox msg, vbExclamation, "STOCK ALERTS — ERP v8.1"
End If
On Error Resume Next
ThisWorkbook.Sheets("ALERTE_DASHBOARD").Range("C3").Value = "Last check: " &amp; Format(Now(),"DD/MM/YYYY HH:MM")
End Sub</t>
  </si>
  <si>
    <t xml:space="preserve">Sub RafraichirTableauBord()</t>
  </si>
  <si>
    <t xml:space="preserve">Application.ScreenUpdating = False
Application.Calculate
Application.ScreenUpdating = True
ThisWorkbook.Sheets("TABLEAU DE BORD").Activate
MsgBox "Recalculation complete — " &amp; Format(Now(),"DD/MM/YYYY HH:MM"), vbInformation, "ERP v8.1"
End Sub</t>
  </si>
  <si>
    <t xml:space="preserve">Sub GenererBonReception()</t>
  </si>
  <si>
    <t xml:space="preserve">Dim wsMouv As Worksheet, wsBon As Worksheet
Set wsMouv = ThisWorkbook.Sheets("MOUVEMENTS")
Set wsBon  = ThisWorkbook.Sheets("BON_RECEPTION")
Dim r As Long, code As String, ref As String, qty As Long
For r = wsMouv.Cells(wsMouv.Rows.Count,"A").End(xlUp).Row To 3 Step -1
    If wsMouv.Cells(r,4).Value = "IN" Then
        code = wsMouv.Cells(r,2).Value
        qty  = wsMouv.Cells(r,5).Value
        ref  = wsMouv.Cells(r,8).Value
        Exit For
    End If
Next r
If code = "" Then MsgBox "No IN movement found.", vbInformation : Exit Sub
wsBon.Range("E6").Value = ref
wsBon.Range("B12").Value = code
wsBon.Range("F12").Value = qty
Dim pdfPath As String
pdfPath = ThisWorkbook.Path &amp; "\BR_" &amp; ref &amp; "_" &amp; Format(Date,"YYYYMMDD") &amp; ".pdf"
wsBon.ExportAsFixedFormat Type:=xlTypePDF, Filename:=pdfPath, Quality:=xlQualityStandard, OpenAfterPublish:=True
Call JournaliserAction("PDF_BR", ref &amp; " → " &amp; pdfPath)
MsgBox "PDF exported:" &amp; Chr(13) &amp; pdfPath, vbInformation, "ERP v8.1"
End Sub</t>
  </si>
  <si>
    <t xml:space="preserve">Sub GenererBonSortie()</t>
  </si>
  <si>
    <t xml:space="preserve">' NEW v8.1 — generates a BON_SORTIE PDF for the last OUT movement
Dim wsMouv As Worksheet, wsBon As Worksheet
Set wsMouv = ThisWorkbook.Sheets("MOUVEMENTS")
Set wsBon  = ThisWorkbook.Sheets("BON_SORTIE")
Dim r As Long, code As String, ref As String, qty As Long
For r = wsMouv.Cells(wsMouv.Rows.Count,"A").End(xlUp).Row To 3 Step -1
    If wsMouv.Cells(r,4).Value = "OUT" Then
        code = wsMouv.Cells(r,2).Value
        qty  = wsMouv.Cells(r,5).Value
        ref  = wsMouv.Cells(r,8).Value
        Exit For
    End If
Next r
If code = "" Then MsgBox "No OUT movement found.", vbInformation : Exit Sub
wsBon.Range("E6").Value = ref
wsBon.Range("B12").Value = code
wsBon.Range("F12").Value = qty
Dim pdfPath As String
pdfPath = ThisWorkbook.Path &amp; "\BS_" &amp; ref &amp; "_" &amp; Format(Date,"YYYYMMDD") &amp; ".pdf"
wsBon.ExportAsFixedFormat Type:=xlTypePDF, Filename:=pdfPath, Quality:=xlQualityStandard, OpenAfterPublish:=True
Call JournaliserAction("PDF_BS", ref &amp; " → " &amp; pdfPath)
MsgBox "Bon de Sortie PDF exported:" &amp; Chr(13) &amp; pdfPath, vbInformation, "ERP v8.1"
End Sub</t>
  </si>
  <si>
    <t xml:space="preserve">Sub JournaliserAction(ActionType As String, Details As String)</t>
  </si>
  <si>
    <t xml:space="preserve">On Error GoTo ErrHandler
Dim wsA As Worksheet, lr As Long
Set wsA = ThisWorkbook.Sheets("AUDIT_LOG")
lr = wsA.Cells(wsA.Rows.Count,"A").End(xlUp).Row + 1
wsA.Cells(lr,1).Value = Now() : wsA.Cells(lr,1).NumberFormat = "DD/MM/YYYY HH:MM:SS"
wsA.Cells(lr,2).Value = Environ("USERNAME")
wsA.Cells(lr,3).Value = ActionType
wsA.Cells(lr,4).Value = Details
wsA.Cells(lr,5).Value = Application.UserName
Exit Sub
ErrHandler:  ' Silent fail
End Sub</t>
  </si>
  <si>
    <t xml:space="preserve">Sub ProcesserTransaction(TypeMvt As String, CodeArt As String, Qty As Long, RefDoc As String, Notes As String)</t>
  </si>
  <si>
    <t xml:space="preserve">Dim ws As Worksheet
Set ws = ThisWorkbook.Sheets("MOUVEMENTS")
Dim lr As Long : lr = ws.Cells(ws.Rows.Count,"A").End(xlUp).Row + 1
' --- VALIDATION: block negative stock on OUT ---
If TypeMvt = "OUT" Then
    Dim sIN As Long, sOUT As Long
    sIN  = Application.WorksheetFunction.SumIfs(ws.Range("E3:E500"),ws.Range("B3:B500"),CodeArt,ws.Range("D3:D500"),"IN")
    sOUT = Application.WorksheetFunction.SumIfs(ws.Range("E3:E500"),ws.Range("B3:B500"),CodeArt,ws.Range("D3:D500"),"OUT")
    If Qty &gt; (sIN - sOUT) Then
        MsgBox "Stock insuffisant!" &amp; Chr(13) &amp; "Actuel: " &amp; (sIN-sOUT) &amp; " | Requested: " &amp; Qty, vbCritical, "Sortie refusee"
        Exit Sub
    End If
End If
' --- WRITE static values ---
ws.Cells(lr,1).Value = Date : ws.Cells(lr,2).Value = CodeArt
ws.Cells(lr,4).Value = TypeMvt : ws.Cells(lr,5).Value = Qty
ws.Cells(lr,8).Value = RefDoc  : ws.Cells(lr,13).Value = Notes
' --- COPY expanding SUMPRODUCT formulas from previous row ---
Dim pr As Long : pr = lr - 1
If pr &gt;= 3 Then
    Dim fJ As String, fK As String, fL As String
    fJ = Replace(Replace(ws.Cells(pr,10).Formula, "$B"&amp;pr, "$B"&amp;lr), "$D"&amp;pr, "$D"&amp;lr)
    fJ = Replace(fJ, "$E"&amp;pr, "$E"&amp;lr)
    fK = Replace(Replace(ws.Cells(pr,11).Formula, "$B"&amp;pr, "$B"&amp;lr), "$D"&amp;pr, "$D"&amp;lr)
    fK = Replace(Replace(fK, "$E"&amp;pr, "$E"&amp;lr), "$F"&amp;pr, "$F"&amp;lr)
    fL = Replace(Replace(ws.Cells(pr,12).Formula, "$B"&amp;pr, "$B"&amp;lr), "$D"&amp;pr, "$D"&amp;lr)
    fL = Replace(fL, "$E"&amp;pr, "$E"&amp;lr)
    ws.Cells(lr,3).Formula  = ws.Cells(pr,3).Formula
    ws.Cells(lr,6).Formula  = ws.Cells(pr,6).Formula
    ws.Cells(lr,7).Formula  = "=E" &amp; lr &amp; "*F" &amp; lr
    ws.Cells(lr,9).Formula  = ws.Cells(pr,9).Formula
    ws.Cells(lr,10).Formula = fJ
    ws.Cells(lr,11).Formula = fK
    ws.Cells(lr,12).Formula = fL
End If
Call JournaliserAction("MOUVEMENT_" &amp; TypeMvt, CodeArt &amp; " | Qty:" &amp; Qty &amp; " | Ref:" &amp; RefDoc)
Application.Calculate
MsgBox "Recorded: " &amp; TypeMvt &amp; " | " &amp; CodeArt &amp; " | Qty: " &amp; Qty, vbInformation, "ERP v8.1"
End Sub</t>
  </si>
  <si>
    <t xml:space="preserve">══ MODULE 2 — THISWORKBOOK EVENTS  ══  Double-click ThisWorkbook in VBAProject</t>
  </si>
  <si>
    <t xml:space="preserve">Private Sub Workbook_Open()</t>
  </si>
  <si>
    <t xml:space="preserve">On Error Resume Next
Application.Calculate
ThisWorkbook.Sheets("ALERTE_DASHBOARD").Range("C3").Value = "Opened: " &amp; Format(Now(),"DD/MM/YYYY HH:MM")
Dim ws As Worksheet : Set ws = ThisWorkbook.Sheets("TABLEAU DE BORD")
Dim nRupt As Integer
nRupt = Application.WorksheetFunction.CountIf(ws.Range("K4:K15"),"!! RUPTURE")
If nRupt &gt; 0 Then
    MsgBox nRupt &amp; " RUPTURE(s) detected at startup!" &amp; Chr(13) &amp; "Check ALERTE_DASHBOARD.", vbExclamation, "ERP v8.1"
End If
On Error GoTo 0
End Sub</t>
  </si>
  <si>
    <t xml:space="preserve">══ MODULE 3 — MOUVEMENTS SHEET EVENT  ══  Double-click Feuille MOUVEMENTS</t>
  </si>
  <si>
    <t xml:space="preserve">Private Sub Worksheet_Change(ByVal Target As Range)</t>
  </si>
  <si>
    <t xml:space="preserve">If Not Intersect(Target, Me.Range("A3:H500")) Is Nothing Then
    If Target.Rows.Count = 1 And Target.Columns.Count = 1 Then
        Call JournaliserAction("CELL_EDIT","MOUVEMENTS " &amp; Target.Address &amp; " -&gt; " &amp; CStr(Target.Value))
    End If
End If
End Sub</t>
  </si>
  <si>
    <t xml:space="preserve">══ MODULE 4 — frmDataEntry UserForm  ══  FULL GEMINI-REFINED RTL VERSION</t>
  </si>
  <si>
    <t xml:space="preserve">frmDataEntry — CONTROLS REQUIRED (Properties window F4)</t>
  </si>
  <si>
    <t xml:space="preserve">UserForm properties:
  Name        = frmDataEntry
  Caption     = ERP v8.1 — Saisie Mouvement | إضافة حركة مخزون
  BackColor   = &amp;H00FFFFFF&amp;   (white — not default grey)
  Width       = 340
  Height      = 380
Controls to add (all TextAlign = 3-fmTextAlignRight, all fonts = Traditional Arabic 11):
  [Frame1]        Caption="نوع الحركة"    Top=10  Left=10  Width=315  Height=55
    cmbTypeTransaction (ComboBox) Width=290 Height=22 Top=20 Left=12
  [Frame2]        Caption="تفاصيل المادة"  Top=70  Left=10  Width=315  Height=120
    Label: "الفئة"       Top=15  Left=200
    cmbCategorie (ComboBox)       Top=12  Left=10  Width=185
    Label: "الصنف / Article"  Top=50  Left=200
    cmbArticle  (ComboBox)        Top=47  Left=10  Width=185
    lblStockActuel (Label)        Top=80  Left=10  Width=290  Height=24
       — shows real-time stock in green/orange/red
  [Frame3]        Caption="بيانات الحركة"  Top=196 Left=10  Width=315  Height=110
    Label: "الكمية"    Top=15  Left=240
    txtQuantite (TextBox)         Top=12  Left=10  Width=220
    Label: "رقم الوصل ★" Top=45  Left=240
    txtNumeroBon (TextBox)        Top=42  Left=10  Width=220
    Label: "ملاحظات"   Top=75  Left=240
    txtNotes    (TextBox)         Top=72  Left=10  Width=220
  btnSubmit   (CommandButton)  Caption="✔ تسجيل"  Top=314  Left=10   Width=150  BackColor=green
  btnFermer   (CommandButton)  Caption="✗ إغلاق"  Top=314  Left=175  Width=150  BackColor=grey
</t>
  </si>
  <si>
    <t xml:space="preserve">frmDataEntry — UserForm_Initialize  (double-click form background)</t>
  </si>
  <si>
    <t xml:space="preserve">Private Sub UserForm_Initialize()
    ' ── Type dropdown ──
    cmbTypeTransaction.Clear
    cmbTypeTransaction.AddItem "IN  — دخول (استلام)"
    cmbTypeTransaction.AddItem "OUT — خروج (إصدار)"
    cmbTypeTransaction.ListIndex = 0
    cmbTypeTransaction.TextAlign = 3   ' fmTextAlignRight
    ' ── Category dropdown — built from ARTICLES col 11 (Catégorie) ──
    ' NEW v8.1: uses Catégorie column instead of ABC class
    cmbCategorie.Clear
    Dim wsA As Worksheet : Set wsA = ThisWorkbook.Sheets("ARTICLES")
    Dim cats As New Collection
    On Error Resume Next
    Dim i As Integer
    For i = 3 To 20
        If wsA.Cells(i,1).Value = "" Then Exit For
        Dim cat As String : cat = wsA.Cells(i,11).Value  ' Catégorie col 11
        If cat &lt;&gt; "" Then cats.Add cat, cat              ' Collection deduplicates by key
    Next i
    On Error GoTo 0
    cmbCategorie.AddItem "All — جميع الأصناف"
    Dim c As Variant
    For Each c In cats
        cmbCategorie.AddItem c
    Next c
    cmbCategorie.ListIndex = 0
    cmbCategorie.TextAlign = 3
    ' ── Load all articles initially ──
    Call LoadArticlesByCategory("")
    Me.Caption = "ERP v8.1 — " &amp; Format(Date,"DD/MM/YYYY")
End Sub</t>
  </si>
  <si>
    <t xml:space="preserve">frmDataEntry — cmbCategorie_Change  (cascading dropdown logic)</t>
  </si>
  <si>
    <t xml:space="preserve">Private Sub cmbCategorie_Change()
    ' CASCADING DROPDOWN — Gemini architecture implemented
    Dim selected As String : selected = cmbCategorie.Value
    If selected = "All — جميع الأصناف" Or selected = "" Then
        Call LoadArticlesByCategory("")
    Else
        Call LoadArticlesByCategory(selected)
    End If
End Sub
Private Sub LoadArticlesByCategory(filterCat As String)
    cmbArticle.Clear
    Dim wsA As Worksheet : Set wsA = ThisWorkbook.Sheets("ARTICLES")
    Dim i As Integer
    For i = 3 To 20
        Dim code As String : code = wsA.Cells(i,1).Value
        If code = "" Then Exit For
        Dim cat As String : cat = wsA.Cells(i,11).Value   ' col 11 = Catégorie
        If filterCat = "" Or cat = filterCat Then
            ' Display: "ART-001 | رزمة ورق A4 80غ"
            cmbArticle.AddItem code &amp; "  |  " &amp; wsA.Cells(i,3).Value  ' col 3 = Arabic name
        End If
    Next i
    If cmbArticle.ListCount &gt; 0 Then cmbArticle.ListIndex = 0
    cmbArticle.TextAlign = 3
    Call UpdateStockLabel
End Sub</t>
  </si>
  <si>
    <t xml:space="preserve">frmDataEntry — cmbArticle_Change  (real-time stock indicator)</t>
  </si>
  <si>
    <t xml:space="preserve">Private Sub cmbArticle_Change()
    Call UpdateStockLabel
End Sub
Private Sub cmbTypeTransaction_Change()
    Call UpdateStockLabel
End Sub
Private Sub UpdateStockLabel()
    ' REAL-TIME STOCK FEEDBACK — Gemini recommendation implemented
    If cmbArticle.ListCount = 0 Or Len(Trim(cmbArticle.Value)) &lt; 7 Then
        lblStockActuel.Caption = "Stock actuel : —"
        lblStockActuel.ForeColor = RGB(100,100,100)
        Exit Sub
    End If
    ' Extract the 7-character code from "ART-001  |  ..."
    Dim code As String : code = Trim(Left(cmbArticle.Value, 7))
    ' Lookup current stock from MOUVEMENTS using SUMIFS logic
    Dim wsMouv As Worksheet : Set wsMouv = ThisWorkbook.Sheets("MOUVEMENTS")
    Dim sIN As Long, sOUT As Long
    On Error Resume Next
    sIN  = Application.WorksheetFunction.SumIfs( _
               wsMouv.Range("E3:E500"), wsMouv.Range("B3:B500"), code, wsMouv.Range("D3:D500"), "IN")
    sOUT = Application.WorksheetFunction.SumIfs( _
               wsMouv.Range("E3:E500"), wsMouv.Range("B3:B500"), code, wsMouv.Range("D3:D500"), "OUT")
    On Error GoTo 0
    Dim net As Long : net = sIN - sOUT
    ' Also lookup ROP from TABLEAU DE BORD for context
    Dim rop As Long : rop = 0
    Dim wsTDB As Worksheet : Set wsTDB = ThisWorkbook.Sheets("TABLEAU DE BORD")
    Dim j As Integer
    For j = 4 To 15
        If Trim(wsTDB.Cells(j,1).Value) = code Then
            rop = wsTDB.Cells(j,10).Value : Exit For
        End If
    Next j
    ' Display with color coding
    Dim typeStr As String : typeStr = Left(cmbTypeTransaction.Value, 2)
    If net &lt;= 0 Then
        lblStockActuel.Caption = "Stock: " &amp; net &amp; " — !! RUPTURE"
        lblStockActuel.ForeColor = RGB(180,0,0)
    ElseIf net &lt;= rop Then
        lblStockActuel.Caption = "Stock: " &amp; net &amp; " — &gt;&gt; A COMMANDER (ROP=" &amp; rop &amp; ")"
        lblStockActuel.ForeColor = RGB(186,117,23)
    Else
        lblStockActuel.Caption = "Stock actuel : " &amp; net &amp; " unites  (ROP=" &amp; rop &amp; ")"
        lblStockActuel.ForeColor = RGB(31,107,46)
    End If
End Sub</t>
  </si>
  <si>
    <t xml:space="preserve">frmDataEntry — btnSubmit_Click  (full validation — Gemini pattern)</t>
  </si>
  <si>
    <t xml:space="preserve">Private Sub btnSubmit_Click()
    ' ── 1. Article validation ──
    If cmbArticle.ListCount = 0 Or cmbArticle.Value = "" Then
        MsgBox "Please select an article.", vbExclamation, "Input Error"
        cmbArticle.SetFocus : Exit Sub
    End If
    ' ── 2. Quantity validation ──
    If Not IsNumeric(txtQuantite.Value) Or CLng(txtQuantite.Value) &lt;= 0 Then
        MsgBox "Invalid quantity (integer &gt; 0 required).", vbExclamation, "Input Error"
        txtQuantite.SetFocus : Exit Sub
    End If
    ' ── 3. MANDATORY BON NUMBER — Gemini traceability lock ──
    ' This single check eliminates the zero-traceability problem found in the audit
    If Trim(txtNumeroBon.Value) = "" Then
        MsgBox "N° de document obligatoire (BR-xxx ou BS-xxx)." &amp; Chr(13) &amp; _
               "الرجاء إدخال رقم الوصل قبل المتابعة.", vbCritical, "Bon Number Required"
        txtNumeroBon.SetFocus : Exit Sub
    End If
    ' ── 4. Extract code and process ──
    Dim code As String : code = Trim(Left(cmbArticle.Value, 7))
    Dim typeStr As String
    typeStr = IIf(InStr(cmbTypeTransaction.Value,"IN") &gt; 0, "IN", "OUT")
    ' ── 5. Call the processor (includes negative-stock guard internally) ──
    Call ProcesserTransaction(typeStr, code, CLng(txtQuantite.Value), _
                              Trim(txtNumeroBon.Value), Trim(txtNotes.Value))
    ' ── 6. Reset for next entry (keep type and category selected) ──
    txtQuantite.Value = ""
    txtNumeroBon.Value = ""
    txtNotes.Value = ""
    Call UpdateStockLabel   ' refresh the stock indicator immediately
End Sub
Private Sub btnFermer_Click()
    Unload Me
End Sub</t>
  </si>
  <si>
    <t xml:space="preserve">══ INSTALLATION — 5 STEPS  ══</t>
  </si>
  <si>
    <t xml:space="preserve">STEP 1 — Save as .xlsm</t>
  </si>
  <si>
    <t xml:space="preserve">File → Save As → Excel Macro-Enabled Workbook (*.xlsm)
NAME IT: ERP_Academie_v8_1.xlsm
MANDATORY — macros will NOT run in .xlsx format.</t>
  </si>
  <si>
    <t xml:space="preserve">STEP 2 — Paste Module 1 (MAIN_MACROS)</t>
  </si>
  <si>
    <t xml:space="preserve">1. Open the file → press ALT+F11
2. In the VBAProject tree → right-click → Insert → Module
3. Rename it MAIN_MACROS (double-click the module name)
4. Copy all code from this sheet (MODULE 1 section above)
5. Paste into the module editor</t>
  </si>
  <si>
    <t xml:space="preserve">STEP 3 — Paste Workbook &amp; Sheet Events</t>
  </si>
  <si>
    <t xml:space="preserve">THISWORKBOOK:
  In VBAProject → double-click "ThisWorkbook"
  Paste MODULE 2 code (Workbook_Open)
MOUVEMENTS SHEET:
  In VBAProject → double-click the MOUVEMENTS sheet object
  Paste MODULE 3 code (Worksheet_Change)</t>
  </si>
  <si>
    <t xml:space="preserve">STEP 4 — Create frmDataEntry UserForm</t>
  </si>
  <si>
    <t xml:space="preserve">1. ALT+F11 → Insert → UserForm
2. In Properties (F4): Name = frmDataEntry
3. Build controls per the layout diagram above (MODULE 4 section)
4. Set UserForm BackColor to white (&amp;H00FFFFFF&amp;)
5. For every ComboBox and TextBox: TextAlign = 3 (fmTextAlignRight) for Arabic RTL
6. Double-click each control → paste the corresponding code block from MODULE 4</t>
  </si>
  <si>
    <t xml:space="preserve">STEP 5 — Test workflow</t>
  </si>
  <si>
    <t xml:space="preserve">TEST 1 — Try to submit with empty Bon number → system should BLOCK
TEST 2 — Try OUT quantity &gt; current stock → system should BLOCK  
TEST 3 — Select a category → Article dropdown should filter automatically
TEST 4 — Select ART-002 (Toner G030, stock=0) → label should show RED RUPTURE
TEST 5 — ALT+F8 → GenererBonReception → PDF should open from same folder
TEST 6 — ALT+F8 → GenererBonSortie → PDF should open from same folder  (NEW v8.1)
TEST 7 — Check AUDIT_LOG after any operation → entries should appear automatically</t>
  </si>
  <si>
    <t xml:space="preserve">KEY CHANGES v8 → v8.1 (SUMMARY)</t>
  </si>
  <si>
    <t xml:space="preserve">+  ARTICLES: 3 new columns added
   - Col 11: Catégorie principale  (8 categories for cascading dropdown)
   - Col 12: Sous-catégorie        (sub-categories for future UI hierarchy)
   - Col 13: Alias / Noms alternatifs  (fixes naming discrepancy problem)
+  BON_SORTIE sheet: A4 print template for goods EXIT (وصل خروج)
   - Matches 2023 archive document structure
   - VLOOKUP auto-fill on code entry
   - 3-zone signature block (beneficiary, storekeeper, supervisor+stamp)
+  VBA frmDataEntry: RTL-ready Arabic UserForm
   - Cascading dropdown: Catégorie → filters Article list
   - Real-time stock indicator (green/orange/red with ROP context)
   - Mandatory Bon number validation (fixes zero-traceability diagnostic finding)
   - Negative stock guard on OUT movements
   - GenererBonSortie() added for BS PDF export
FINE-TUNING ROADMAP (gradual):
  Phase 1 (now): Install the 5 steps above, test all 7 test cases
  Phase 2:       Add Catégorie to UserForm label for display (cosmetic)
  Phase 3:       Extend ARTICLES to 15 articles using real field data  
  Phase 4:       Map BON_SORTIE fields to actual 2023 archive photos
  Phase 5:       Add BON_COMMANDE template (the full procurement cycle)
  Phase 6:       HTML Arabic front-end interface (standalone .html file)</t>
  </si>
  <si>
    <t xml:space="preserve">══ ADDED v9 — GenererDA + GenererBC + DA workflow ══</t>
  </si>
  <si>
    <t xml:space="preserve">Sub GenererDA() + Sub GenererBC() + DA cycle documentation</t>
  </si>
  <si>
    <t xml:space="preserve">Sub GenererDA()
    ' Export blank DA form as PDF — user prints and gives to requesting department
    Dim wsDA As Worksheet
    Set wsDA = ThisWorkbook.Sheets("DA_DEMANDE_ACHAT")
    Dim pdfPath As String
    pdfPath = ThisWorkbook.Path &amp; "\DA_" &amp; Format(Date,"YYYYMMDD") &amp; "_" &amp; Format(Time,"HHMMSS") &amp; ".pdf"
    wsDA.ExportAsFixedFormat Type:=xlTypePDF, Filename:=pdfPath, Quality:=xlQualityStandard, OpenAfterPublish:=True
    Call JournaliserAction("PDF_DA", "Blank DA form → " &amp; pdfPath)
    MsgBox "DA form exported. Print it and give to the requesting department." &amp; Chr(13) &amp; pdfPath, vbInformation, "ERP v9"
End Sub
Sub GenererBC()
    ' Export blank BC form as PDF
    Dim wsBC As Worksheet
    Set wsBC = ThisWorkbook.Sheets("BON_COMMANDE")
    Dim pdfPath As String
    pdfPath = ThisWorkbook.Path &amp; "\BC_" &amp; Format(Date,"YYYYMMDD") &amp; "_" &amp; Format(Time,"HHMMSS") &amp; ".pdf"
    wsBC.ExportAsFixedFormat Type:=xlTypePDF, Filename:=pdfPath, Quality:=xlQualityStandard, OpenAfterPublish:=True
    Call JournaliserAction("PDF_BC", "BC form → " &amp; pdfPath)
    MsgBox "Bon de Commande exported." &amp; Chr(13) &amp; pdfPath, vbInformation, "ERP v9"
End Sub
' ── DA WORKFLOW CYCLE (documentary chain) ──
' Standard Algerian public procurement cycle (Dورة المستندية):
'
'  [Department need]
'       ↓
'   DA (Demande d'Achat)   ← department fills paper form, submits to warehouse
'       ↓
'   Warehouse checks stock (column H in DA form = current stock)
'       ↓
'   IF stock &gt;= needed:    → emit BS directly (no purchase needed)
'   IF stock &lt; needed:     → emit BC to supplier
'       ↓ (BC path)
'   Supplier delivers goods
'       ↓
'   BR (Bon de Réception)  → record IN movement in MOUVEMENTS
'       ↓
'   Stock updated automatically in TABLEAU DE BORD
'       ↓
'   emit BS to requesting department
'
' All document numbers follow CONVENTIONS sheet rules.
' Author: ماحي كمال عبد الغني — TAG1801</t>
  </si>
  <si>
    <t xml:space="preserve">AUDIT_LOG  —  Journal des Actions  [Ghost Logger | Écrit par VBA | Ne pas modifier manuellement]</t>
  </si>
  <si>
    <t xml:space="preserve">Toute modification de MOUVEMENTS est consignée automatiquement ici par la macro JournaliserAction().</t>
  </si>
  <si>
    <t xml:space="preserve">Horodatage</t>
  </si>
  <si>
    <t xml:space="preserve">Utilisateur Windows</t>
  </si>
  <si>
    <t xml:space="preserve">Type Action</t>
  </si>
  <si>
    <t xml:space="preserve">Détails</t>
  </si>
  <si>
    <t xml:space="preserve">Session Excel</t>
  </si>
  <si>
    <t xml:space="preserve">31/12/2025 08:00:00</t>
  </si>
  <si>
    <t xml:space="preserve">ADMIN</t>
  </si>
  <si>
    <t xml:space="preserve">MOUVEMENT_IN</t>
  </si>
  <si>
    <t xml:space="preserve">ART-001 | Qté: 405 | Réf: SI-2025</t>
  </si>
  <si>
    <t xml:space="preserve">Excel_v8</t>
  </si>
  <si>
    <t xml:space="preserve">01/02/2026 09:15:32</t>
  </si>
  <si>
    <t xml:space="preserve">ART-002 | Qté: 5 | Réf: BR-001</t>
  </si>
  <si>
    <t xml:space="preserve">05/02/2026 10:22:08</t>
  </si>
  <si>
    <t xml:space="preserve">MOUVEMENT_OUT</t>
  </si>
  <si>
    <t xml:space="preserve">ART-002 | Qté: 2 | Réf: BS-F1-001</t>
  </si>
  <si>
    <t xml:space="preserve">20/02/2026 11:05:44</t>
  </si>
  <si>
    <t xml:space="preserve">ART-002 | Qté: 3 | Réf: BS-F1-005 | !! Rupture G030</t>
  </si>
  <si>
    <t xml:space="preserve">09/03/2026 14:30:12</t>
  </si>
  <si>
    <t xml:space="preserve">ART-001 | Qté: 10 | Réf: BS-M1-005 | Dernier mouvement</t>
  </si>
  <si>
    <t xml:space="preserve">09/03/2026 14:30:15</t>
  </si>
  <si>
    <t xml:space="preserve">PDF_EXPORT</t>
  </si>
  <si>
    <t xml:space="preserve">Bon de Réception BR-001 → C:\Dropbox\BR_BR-001_20260209.pdf</t>
  </si>
  <si>
    <t xml:space="preserve">— Entrées suivantes générées par VBA —</t>
  </si>
  <si>
    <t xml:space="preserve">📌  VBA écrit automatiquement à partir de la ligne 11. NE PAS supprimer ce journal. Il constitue la traçabilité légale des opérations.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</si>
</sst>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\ [$DA]"/>
    <numFmt numFmtId="166" formatCode="General"/>
    <numFmt numFmtId="167" formatCode="#,##0"/>
    <numFmt numFmtId="168" formatCode="dd/mm/yyyy"/>
    <numFmt numFmtId="169" formatCode="#,##0.00"/>
    <numFmt numFmtId="170" formatCode="0.0%"/>
    <numFmt numFmtId="171" formatCode="dd/mm/yyyy\ hh:mm:ss"/>
  </numFmts>
  <fonts count="8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FreeSans"/>
      <family val="2"/>
      <charset val="1"/>
    </font>
    <font>
      <i val="true"/>
      <sz val="10"/>
      <color rgb="FFFFFFFF"/>
      <name val="Calibri"/>
      <family val="0"/>
      <charset val="1"/>
    </font>
    <font>
      <b val="true"/>
      <sz val="10"/>
      <color rgb="FF000000"/>
      <name val="FreeSans"/>
      <family val="2"/>
      <charset val="1"/>
    </font>
    <font>
      <sz val="11"/>
      <color theme="1"/>
      <name val="FreeSans"/>
      <family val="2"/>
      <charset val="1"/>
    </font>
    <font>
      <sz val="11"/>
      <color theme="1"/>
      <name val="FreeSans"/>
      <family val="2"/>
    </font>
    <font>
      <b val="true"/>
      <sz val="11"/>
      <color rgb="FFFFFFFF"/>
      <name val="FreeSans"/>
      <family val="2"/>
      <charset val="1"/>
    </font>
    <font>
      <b val="true"/>
      <sz val="10"/>
      <color rgb="FF000000"/>
      <name val="FreeSans"/>
      <family val="2"/>
    </font>
    <font>
      <b val="true"/>
      <sz val="1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i val="true"/>
      <sz val="9"/>
      <color rgb="FF555555"/>
      <name val="FreeSans"/>
      <family val="2"/>
      <charset val="1"/>
    </font>
    <font>
      <b val="true"/>
      <sz val="10"/>
      <color rgb="FF8B0000"/>
      <name val="FreeSans"/>
      <family val="2"/>
    </font>
    <font>
      <b val="true"/>
      <sz val="10"/>
      <color rgb="FF8B0000"/>
      <name val="Calibri"/>
      <family val="0"/>
      <charset val="1"/>
    </font>
    <font>
      <b val="true"/>
      <sz val="14"/>
      <color rgb="FF8B0000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i val="true"/>
      <sz val="9"/>
      <color rgb="FF555555"/>
      <name val="FreeSans"/>
      <family val="2"/>
    </font>
    <font>
      <b val="true"/>
      <sz val="10"/>
      <color rgb="FF7B3F00"/>
      <name val="FreeSans"/>
      <family val="2"/>
    </font>
    <font>
      <b val="true"/>
      <sz val="14"/>
      <color rgb="FF7B3F00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000000"/>
      <name val="Calibri"/>
      <family val="0"/>
      <charset val="1"/>
    </font>
    <font>
      <i val="true"/>
      <sz val="9"/>
      <color rgb="FF000000"/>
      <name val="FreeSans"/>
      <family val="2"/>
    </font>
    <font>
      <b val="true"/>
      <sz val="10"/>
      <color rgb="FF0C447C"/>
      <name val="FreeSans"/>
      <family val="2"/>
    </font>
    <font>
      <b val="true"/>
      <sz val="10"/>
      <color rgb="FF0C447C"/>
      <name val="Calibri"/>
      <family val="0"/>
      <charset val="1"/>
    </font>
    <font>
      <b val="true"/>
      <sz val="10"/>
      <color rgb="FF1A1A1A"/>
      <name val="FreeSans"/>
      <family val="2"/>
    </font>
    <font>
      <b val="true"/>
      <sz val="10"/>
      <color rgb="FF1A1A1A"/>
      <name val="Calibri"/>
      <family val="0"/>
      <charset val="1"/>
    </font>
    <font>
      <sz val="9"/>
      <color rgb="FF185FA5"/>
      <name val="Courier New"/>
      <family val="0"/>
      <charset val="1"/>
    </font>
    <font>
      <sz val="9"/>
      <color rgb="FF555555"/>
      <name val="Calibri"/>
      <family val="0"/>
      <charset val="1"/>
    </font>
    <font>
      <sz val="9"/>
      <color rgb="FF555555"/>
      <name val="FreeSans"/>
      <family val="2"/>
    </font>
    <font>
      <b val="true"/>
      <sz val="13"/>
      <color rgb="FFFFFFFF"/>
      <name val="Calibri"/>
      <family val="0"/>
      <charset val="1"/>
    </font>
    <font>
      <b val="true"/>
      <sz val="13"/>
      <color rgb="FFFFFFFF"/>
      <name val="FreeSans"/>
      <family val="2"/>
    </font>
    <font>
      <b val="true"/>
      <sz val="9"/>
      <color rgb="FFFFFFFF"/>
      <name val="Calibri"/>
      <family val="0"/>
      <charset val="1"/>
    </font>
    <font>
      <b val="true"/>
      <sz val="9"/>
      <color rgb="FFFFFFFF"/>
      <name val="FreeSans"/>
      <family val="2"/>
    </font>
    <font>
      <sz val="11"/>
      <color rgb="FF000000"/>
      <name val="Calibri"/>
      <family val="0"/>
      <charset val="1"/>
    </font>
    <font>
      <sz val="11"/>
      <color rgb="FF000000"/>
      <name val="FreeSans"/>
      <family val="2"/>
      <charset val="1"/>
    </font>
    <font>
      <b val="true"/>
      <sz val="9"/>
      <color rgb="FF000000"/>
      <name val="FreeSans"/>
      <family val="2"/>
    </font>
    <font>
      <b val="true"/>
      <sz val="9"/>
      <color rgb="FF000000"/>
      <name val="Calibri"/>
      <family val="0"/>
      <charset val="1"/>
    </font>
    <font>
      <sz val="9"/>
      <color rgb="FF000000"/>
      <name val="FreeSans"/>
      <family val="2"/>
    </font>
    <font>
      <sz val="9"/>
      <color rgb="FF000000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i val="true"/>
      <sz val="9"/>
      <color rgb="FF666666"/>
      <name val="FreeSans"/>
      <family val="2"/>
    </font>
    <font>
      <b val="true"/>
      <sz val="10"/>
      <color rgb="FF7B5800"/>
      <name val="Calibri"/>
      <family val="0"/>
      <charset val="1"/>
    </font>
    <font>
      <b val="true"/>
      <sz val="10"/>
      <color rgb="FF1B5E20"/>
      <name val="Calibri"/>
      <family val="0"/>
      <charset val="1"/>
    </font>
    <font>
      <i val="true"/>
      <sz val="9"/>
      <color rgb="FF444444"/>
      <name val="Calibri"/>
      <family val="0"/>
      <charset val="1"/>
    </font>
    <font>
      <b val="true"/>
      <sz val="14"/>
      <color rgb="FF000000"/>
      <name val="FreeSans"/>
      <family val="2"/>
    </font>
    <font>
      <b val="true"/>
      <sz val="11"/>
      <color rgb="FFFFFFFF"/>
      <name val="FreeSans"/>
      <family val="2"/>
    </font>
    <font>
      <b val="true"/>
      <sz val="12"/>
      <color rgb="FF000000"/>
      <name val="Calibri"/>
      <family val="0"/>
      <charset val="1"/>
    </font>
    <font>
      <b val="true"/>
      <sz val="10"/>
      <color rgb="FF000000"/>
      <name val="Courier New"/>
      <family val="0"/>
      <charset val="1"/>
    </font>
    <font>
      <sz val="9"/>
      <color rgb="FF000000"/>
      <name val="Courier New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8"/>
      <color rgb="FF888888"/>
      <name val="Calibri"/>
      <family val="0"/>
      <charset val="1"/>
    </font>
    <font>
      <i val="true"/>
      <sz val="8"/>
      <color rgb="FF888888"/>
      <name val="FreeSans"/>
      <family val="2"/>
    </font>
    <font>
      <i val="true"/>
      <sz val="8"/>
      <color rgb="FFAAAAAA"/>
      <name val="Cambria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11"/>
      <color rgb="FF1F6B2E"/>
      <name val="Calibri"/>
      <family val="0"/>
      <charset val="1"/>
    </font>
    <font>
      <i val="true"/>
      <sz val="9"/>
      <color rgb="FF000000"/>
      <name val="FreeSans"/>
      <family val="2"/>
      <charset val="1"/>
    </font>
    <font>
      <b val="true"/>
      <sz val="11"/>
      <color rgb="FF7B3F0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20"/>
      <color rgb="FF8B0000"/>
      <name val="Cambria"/>
      <family val="0"/>
      <charset val="1"/>
    </font>
    <font>
      <b val="true"/>
      <sz val="20"/>
      <color rgb="FFBF360C"/>
      <name val="Cambria"/>
      <family val="0"/>
      <charset val="1"/>
    </font>
    <font>
      <b val="true"/>
      <sz val="20"/>
      <color rgb="FF7B5800"/>
      <name val="Cambria"/>
      <family val="0"/>
      <charset val="1"/>
    </font>
    <font>
      <b val="true"/>
      <sz val="20"/>
      <color rgb="FF1B5E20"/>
      <name val="Cambria"/>
      <family val="0"/>
      <charset val="1"/>
    </font>
    <font>
      <i val="true"/>
      <sz val="8"/>
      <color rgb="FF555555"/>
      <name val="FreeSans"/>
      <family val="2"/>
    </font>
    <font>
      <i val="true"/>
      <sz val="8"/>
      <color rgb="FF555555"/>
      <name val="Calibri"/>
      <family val="0"/>
      <charset val="1"/>
    </font>
    <font>
      <i val="true"/>
      <sz val="9"/>
      <color rgb="FF444444"/>
      <name val="FreeSans"/>
      <family val="2"/>
    </font>
    <font>
      <sz val="10"/>
      <color rgb="FF000000"/>
      <name val="Calibri"/>
      <family val="0"/>
      <charset val="1"/>
    </font>
    <font>
      <b val="true"/>
      <sz val="11"/>
      <color rgb="FF000000"/>
      <name val="FreeSans"/>
      <family val="2"/>
    </font>
    <font>
      <b val="true"/>
      <sz val="10"/>
      <color rgb="FF7B5800"/>
      <name val="FreeSans"/>
      <family val="2"/>
    </font>
    <font>
      <b val="true"/>
      <sz val="14"/>
      <color rgb="FFFFFFFF"/>
      <name val="FreeSans"/>
      <family val="2"/>
    </font>
    <font>
      <sz val="10"/>
      <color rgb="FF000000"/>
      <name val="FreeSans"/>
      <family val="2"/>
    </font>
    <font>
      <b val="true"/>
      <sz val="10"/>
      <color rgb="FFFFFFFF"/>
      <name val="FreeSans"/>
      <family val="2"/>
    </font>
    <font>
      <b val="true"/>
      <sz val="9"/>
      <color rgb="FF0C447C"/>
      <name val="Courier New"/>
      <family val="0"/>
      <charset val="1"/>
    </font>
    <font>
      <sz val="9"/>
      <color rgb="FF1A1A1A"/>
      <name val="Calibri"/>
      <family val="0"/>
      <charset val="1"/>
    </font>
    <font>
      <sz val="9"/>
      <color rgb="FF1A1A1A"/>
      <name val="FreeSans"/>
      <family val="2"/>
    </font>
    <font>
      <i val="true"/>
      <sz val="9"/>
      <color rgb="FF37474F"/>
      <name val="FreeSans"/>
      <family val="2"/>
    </font>
    <font>
      <i val="true"/>
      <sz val="9"/>
      <color rgb="FF37474F"/>
      <name val="Cambria"/>
      <family val="0"/>
      <charset val="1"/>
    </font>
    <font>
      <sz val="9"/>
      <name val="Courier New"/>
      <family val="0"/>
      <charset val="1"/>
    </font>
    <font>
      <i val="true"/>
      <sz val="9"/>
      <color rgb="FFFFFFFF"/>
      <name val="Calibri"/>
      <family val="0"/>
      <charset val="1"/>
    </font>
  </fonts>
  <fills count="48">
    <fill>
      <patternFill patternType="none"/>
    </fill>
    <fill>
      <patternFill patternType="gray125"/>
    </fill>
    <fill>
      <patternFill patternType="solid">
        <fgColor rgb="FF176B30"/>
        <bgColor rgb="FF1C5B13"/>
      </patternFill>
    </fill>
    <fill>
      <patternFill patternType="darkGray">
        <fgColor rgb="FF1C5B13"/>
        <bgColor rgb="FF37474F"/>
      </patternFill>
    </fill>
    <fill>
      <patternFill patternType="solid">
        <fgColor rgb="FFEAF3DE"/>
        <bgColor rgb="FFE8F5E9"/>
      </patternFill>
    </fill>
    <fill>
      <patternFill patternType="solid">
        <fgColor rgb="FF0C3547"/>
        <bgColor rgb="FF2D3539"/>
      </patternFill>
    </fill>
    <fill>
      <patternFill patternType="solid">
        <fgColor rgb="FFE6F1FB"/>
        <bgColor rgb="FFE3F2FD"/>
      </patternFill>
    </fill>
    <fill>
      <patternFill patternType="solid">
        <fgColor rgb="FFFFF2CC"/>
        <bgColor rgb="FFFFF3CD"/>
      </patternFill>
    </fill>
    <fill>
      <patternFill patternType="solid">
        <fgColor rgb="FFFCEBEB"/>
        <bgColor rgb="FFFFEBEE"/>
      </patternFill>
    </fill>
    <fill>
      <patternFill patternType="solid">
        <fgColor rgb="FFFFD0D0"/>
        <bgColor rgb="FFFFE0B2"/>
      </patternFill>
    </fill>
    <fill>
      <patternFill patternType="solid">
        <fgColor rgb="FFFAEEDA"/>
        <bgColor rgb="FFFCEBEB"/>
      </patternFill>
    </fill>
    <fill>
      <patternFill patternType="solid">
        <fgColor rgb="FFFFE5B4"/>
        <bgColor rgb="FFFFE0B2"/>
      </patternFill>
    </fill>
    <fill>
      <patternFill patternType="solid">
        <fgColor rgb="FFFFFACD"/>
        <bgColor rgb="FFFFF3CD"/>
      </patternFill>
    </fill>
    <fill>
      <patternFill patternType="solid">
        <fgColor rgb="FF2F4858"/>
        <bgColor rgb="FF37474F"/>
      </patternFill>
    </fill>
    <fill>
      <patternFill patternType="solid">
        <fgColor rgb="FFF7F7F5"/>
        <bgColor rgb="FFF5F5F5"/>
      </patternFill>
    </fill>
    <fill>
      <patternFill patternType="solid">
        <fgColor rgb="FFFFF3CD"/>
        <bgColor rgb="FFFFF2CC"/>
      </patternFill>
    </fill>
    <fill>
      <patternFill patternType="solid">
        <fgColor rgb="FFF5EEF8"/>
        <bgColor rgb="FFF5F5F5"/>
      </patternFill>
    </fill>
    <fill>
      <patternFill patternType="solid">
        <fgColor rgb="FFFFFFFF"/>
        <bgColor rgb="FFFFFEF0"/>
      </patternFill>
    </fill>
    <fill>
      <patternFill patternType="solid">
        <fgColor rgb="FFF5F5F5"/>
        <bgColor rgb="FFF7F7F5"/>
      </patternFill>
    </fill>
    <fill>
      <patternFill patternType="solid">
        <fgColor rgb="FF37474F"/>
        <bgColor rgb="FF2F4858"/>
      </patternFill>
    </fill>
    <fill>
      <patternFill patternType="darkGray">
        <fgColor rgb="FF1C5B13"/>
        <bgColor rgb="FF176B30"/>
      </patternFill>
    </fill>
    <fill>
      <patternFill patternType="darkGray">
        <fgColor rgb="FF308334"/>
        <bgColor rgb="FF176B30"/>
      </patternFill>
    </fill>
    <fill>
      <patternFill patternType="solid">
        <fgColor rgb="FF4A148C"/>
        <bgColor rgb="FF4527A0"/>
      </patternFill>
    </fill>
    <fill>
      <patternFill patternType="darkGray">
        <fgColor rgb="FF0C4584"/>
        <bgColor rgb="FF1661B4"/>
      </patternFill>
    </fill>
    <fill>
      <patternFill patternType="solid">
        <fgColor rgb="FFBA7517"/>
        <bgColor rgb="FFB45309"/>
      </patternFill>
    </fill>
    <fill>
      <patternFill patternType="solid">
        <fgColor rgb="FF546E7A"/>
        <bgColor rgb="FF666666"/>
      </patternFill>
    </fill>
    <fill>
      <patternFill patternType="solid">
        <fgColor rgb="FF1661B4"/>
        <bgColor rgb="FF0C4584"/>
      </patternFill>
    </fill>
    <fill>
      <patternFill patternType="solid">
        <fgColor rgb="FF4527A0"/>
        <bgColor rgb="FF4A148C"/>
      </patternFill>
    </fill>
    <fill>
      <patternFill patternType="solid">
        <fgColor rgb="FF455A64"/>
        <bgColor rgb="FF555555"/>
      </patternFill>
    </fill>
    <fill>
      <patternFill patternType="solid">
        <fgColor rgb="FFFFFBF0"/>
        <bgColor rgb="FFFFFEF0"/>
      </patternFill>
    </fill>
    <fill>
      <patternFill patternType="solid">
        <fgColor rgb="FF7B1818"/>
        <bgColor rgb="FF8B1A1A"/>
      </patternFill>
    </fill>
    <fill>
      <patternFill patternType="solid">
        <fgColor rgb="FF0C4584"/>
        <bgColor rgb="FF0C3547"/>
      </patternFill>
    </fill>
    <fill>
      <patternFill patternType="solid">
        <fgColor rgb="FF8B1A1A"/>
        <bgColor rgb="FF7B1818"/>
      </patternFill>
    </fill>
    <fill>
      <patternFill patternType="solid">
        <fgColor rgb="FFE8F5E9"/>
        <bgColor rgb="FFEAF3DE"/>
      </patternFill>
    </fill>
    <fill>
      <patternFill patternType="solid">
        <fgColor rgb="FFFFEBEE"/>
        <bgColor rgb="FFFCEBEB"/>
      </patternFill>
    </fill>
    <fill>
      <patternFill patternType="solid">
        <fgColor rgb="FFE3F2FD"/>
        <bgColor rgb="FFE6F1FB"/>
      </patternFill>
    </fill>
    <fill>
      <patternFill patternType="solid">
        <fgColor rgb="FF8B0000"/>
        <bgColor rgb="FF8B1A1A"/>
      </patternFill>
    </fill>
    <fill>
      <patternFill patternType="solid">
        <fgColor rgb="FFA93226"/>
        <bgColor rgb="FFC52B15"/>
      </patternFill>
    </fill>
    <fill>
      <patternFill patternType="solid">
        <fgColor rgb="FF7B3F00"/>
        <bgColor rgb="FF7B5800"/>
      </patternFill>
    </fill>
    <fill>
      <patternFill patternType="solid">
        <fgColor rgb="FF806000"/>
        <bgColor rgb="FF7B5800"/>
      </patternFill>
    </fill>
    <fill>
      <patternFill patternType="solid">
        <fgColor rgb="FFFFE0B2"/>
        <bgColor rgb="FFFFE5B4"/>
      </patternFill>
    </fill>
    <fill>
      <patternFill patternType="solid">
        <fgColor rgb="FFFFFF99"/>
        <bgColor rgb="FFFFFACD"/>
      </patternFill>
    </fill>
    <fill>
      <patternFill patternType="solid">
        <fgColor rgb="FFD5F0C0"/>
        <bgColor rgb="FFEAF3DE"/>
      </patternFill>
    </fill>
    <fill>
      <patternFill patternType="mediumGray">
        <fgColor rgb="FF444444"/>
        <bgColor rgb="FF2D3539"/>
      </patternFill>
    </fill>
    <fill>
      <patternFill patternType="solid">
        <fgColor rgb="FF7B5800"/>
        <bgColor rgb="FF806000"/>
      </patternFill>
    </fill>
    <fill>
      <patternFill patternType="solid">
        <fgColor rgb="FFFFFEF0"/>
        <bgColor rgb="FFFFFBF0"/>
      </patternFill>
    </fill>
    <fill>
      <patternFill patternType="solid">
        <fgColor rgb="FF4A235A"/>
        <bgColor rgb="FF4E342E"/>
      </patternFill>
    </fill>
    <fill>
      <patternFill patternType="solid">
        <fgColor rgb="FF6C3483"/>
        <bgColor rgb="FF6A1B9A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 diagonalUp="false" diagonalDown="false"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>
        <color rgb="FFC8C8C8"/>
      </left>
      <right/>
      <top style="thin">
        <color rgb="FFC8C8C8"/>
      </top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3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35" fillId="2" borderId="3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34" fillId="2" borderId="4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7" fontId="3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7" fontId="3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4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7" fontId="3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8" fillId="1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9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1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3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19" borderId="3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7" fillId="20" borderId="3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7" fillId="21" borderId="3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7" fillId="22" borderId="3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7" fillId="23" borderId="3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7" fillId="24" borderId="3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7" fillId="25" borderId="3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7" fillId="26" borderId="3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7" fillId="27" borderId="3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7" fillId="28" borderId="3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8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1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1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1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9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4" fillId="20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4" fillId="30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4" fillId="31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4" fillId="28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4" fillId="22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4" fillId="32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2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3" borderId="1" xfId="0" applyFont="fals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7" fontId="0" fillId="34" borderId="1" xfId="0" applyFont="fals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7" fontId="26" fillId="3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3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3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2" fillId="8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63" fillId="40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64" fillId="15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65" fillId="4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1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4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1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1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8" fillId="41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0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18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17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8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8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0" fillId="41" borderId="5" xfId="0" applyFont="fals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9" fillId="4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43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34" fillId="44" borderId="0" xfId="0" applyFont="true" applyBorder="false" applyAlignment="true" applyProtection="false">
      <alignment horizontal="center" vertical="center" textRotation="0" wrapText="false" indent="0" shrinkToFit="false" readingOrder="2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45" borderId="0" xfId="0" applyFont="true" applyBorder="false" applyAlignment="true" applyProtection="false">
      <alignment horizontal="center" vertical="center" textRotation="0" wrapText="false" indent="0" shrinkToFit="false" readingOrder="2"/>
      <protection locked="true" hidden="false"/>
    </xf>
    <xf numFmtId="164" fontId="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1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1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6" fillId="17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1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9" fillId="1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1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7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17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7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1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1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1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7" fillId="17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17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8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2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0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6" fillId="4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1" fillId="4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1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41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52B15"/>
      <rgbColor rgb="FFFFFEF0"/>
      <rgbColor rgb="FF37474F"/>
      <rgbColor rgb="FFFFF2CC"/>
      <rgbColor rgb="FF7B3F00"/>
      <rgbColor rgb="FFF5F5F5"/>
      <rgbColor rgb="FF8B0000"/>
      <rgbColor rgb="FF176B30"/>
      <rgbColor rgb="FF4A235A"/>
      <rgbColor rgb="FF806000"/>
      <rgbColor rgb="FF6A1B9A"/>
      <rgbColor rgb="FF0C4584"/>
      <rgbColor rgb="FFC8C8C8"/>
      <rgbColor rgb="FF888888"/>
      <rgbColor rgb="FFF5EEF8"/>
      <rgbColor rgb="FF6C3483"/>
      <rgbColor rgb="FFFFFACD"/>
      <rgbColor rgb="FFE3F2FD"/>
      <rgbColor rgb="FF4A148C"/>
      <rgbColor rgb="FFB45309"/>
      <rgbColor rgb="FF1661B4"/>
      <rgbColor rgb="FFFFD0D0"/>
      <rgbColor rgb="FF2F4858"/>
      <rgbColor rgb="FFFFFBF0"/>
      <rgbColor rgb="FFFFF3CD"/>
      <rgbColor rgb="FFF7F7F5"/>
      <rgbColor rgb="FF8B1A1A"/>
      <rgbColor rgb="FF7B1818"/>
      <rgbColor rgb="FF1C5B13"/>
      <rgbColor rgb="FF444444"/>
      <rgbColor rgb="FFFFEBEE"/>
      <rgbColor rgb="FFE6F1FB"/>
      <rgbColor rgb="FFD5F0C0"/>
      <rgbColor rgb="FFFFFF99"/>
      <rgbColor rgb="FFE8F5E9"/>
      <rgbColor rgb="FFFFE5B4"/>
      <rgbColor rgb="FFFCEBEB"/>
      <rgbColor rgb="FFFFE0B2"/>
      <rgbColor rgb="FF455A64"/>
      <rgbColor rgb="FF555555"/>
      <rgbColor rgb="FFEAF3DE"/>
      <rgbColor rgb="FFFAEEDA"/>
      <rgbColor rgb="FF7B5800"/>
      <rgbColor rgb="FFBA7517"/>
      <rgbColor rgb="FF546E7A"/>
      <rgbColor rgb="FF666666"/>
      <rgbColor rgb="FF0C3547"/>
      <rgbColor rgb="FF308334"/>
      <rgbColor rgb="FF1A1A1A"/>
      <rgbColor rgb="FF4E342E"/>
      <rgbColor rgb="FFA93226"/>
      <rgbColor rgb="FFA0522D"/>
      <rgbColor rgb="FF4527A0"/>
      <rgbColor rgb="FF2D35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B2E"/>
    <pageSetUpPr fitToPage="false"/>
  </sheetPr>
  <dimension ref="A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8"/>
    <col collapsed="false" customWidth="true" hidden="false" outlineLevel="0" max="3" min="3" style="1" width="24"/>
  </cols>
  <sheetData>
    <row r="1" customFormat="false" ht="36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  <c r="B2" s="3"/>
      <c r="C2" s="3"/>
    </row>
    <row r="3" customFormat="false" ht="7.5" hidden="false" customHeight="true" outlineLevel="0" collapsed="false"/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5" t="s">
        <v>5</v>
      </c>
    </row>
    <row r="6" customFormat="false" ht="15" hidden="false" customHeight="true" outlineLevel="0" collapsed="false">
      <c r="A6" s="4" t="s">
        <v>6</v>
      </c>
      <c r="B6" s="5" t="s">
        <v>7</v>
      </c>
    </row>
    <row r="7" customFormat="false" ht="15" hidden="false" customHeight="true" outlineLevel="0" collapsed="false">
      <c r="A7" s="4" t="s">
        <v>8</v>
      </c>
      <c r="B7" s="5" t="s">
        <v>9</v>
      </c>
    </row>
    <row r="8" customFormat="false" ht="15" hidden="false" customHeight="true" outlineLevel="0" collapsed="false">
      <c r="A8" s="4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7.5" hidden="false" customHeight="true" outlineLevel="0" collapsed="false"/>
    <row r="11" customFormat="false" ht="14.25" hidden="false" customHeight="true" outlineLevel="0" collapsed="false">
      <c r="A11" s="7" t="s">
        <v>14</v>
      </c>
      <c r="B11" s="7"/>
      <c r="C11" s="7"/>
    </row>
    <row r="12" customFormat="false" ht="15" hidden="false" customHeight="true" outlineLevel="0" collapsed="false">
      <c r="A12" s="8" t="s">
        <v>15</v>
      </c>
      <c r="B12" s="9" t="n">
        <f aca="false">IFERROR(SUMPRODUCT('TABLEAU DE BORD'!$F$4:$F$15,'TABLEAU DE BORD'!$H$4:$H$15),0)</f>
        <v>190590</v>
      </c>
      <c r="C12" s="10" t="s">
        <v>16</v>
      </c>
    </row>
    <row r="13" customFormat="false" ht="15" hidden="false" customHeight="true" outlineLevel="0" collapsed="false">
      <c r="A13" s="11" t="s">
        <v>17</v>
      </c>
      <c r="B13" s="12" t="n">
        <f aca="false">COUNTIF('TABLEAU DE BORD'!$K$4:$K$15,"!! RUPTURE")</f>
        <v>1</v>
      </c>
      <c r="C13" s="13" t="s">
        <v>18</v>
      </c>
    </row>
    <row r="14" customFormat="false" ht="15" hidden="false" customHeight="true" outlineLevel="0" collapsed="false">
      <c r="A14" s="14" t="s">
        <v>19</v>
      </c>
      <c r="B14" s="15" t="n">
        <f aca="false">COUNTIF('TABLEAU DE BORD'!$K$4:$K$15,"&gt;&gt; COMMANDER")</f>
        <v>11</v>
      </c>
      <c r="C14" s="10" t="s">
        <v>20</v>
      </c>
    </row>
    <row r="15" customFormat="false" ht="15" hidden="false" customHeight="true" outlineLevel="0" collapsed="false">
      <c r="A15" s="16" t="s">
        <v>21</v>
      </c>
      <c r="B15" s="17" t="n">
        <f aca="false">COUNTIF('TABLEAU DE BORD'!$K$4:$K$15,"~ ALERTE")</f>
        <v>0</v>
      </c>
      <c r="C15" s="10" t="s">
        <v>22</v>
      </c>
    </row>
    <row r="17" customFormat="false" ht="21.75" hidden="false" customHeight="true" outlineLevel="0" collapsed="false">
      <c r="A17" s="18" t="s">
        <v>23</v>
      </c>
      <c r="B17" s="18"/>
      <c r="C17" s="18"/>
    </row>
    <row r="18" customFormat="false" ht="18" hidden="false" customHeight="true" outlineLevel="0" collapsed="false">
      <c r="A18" s="19" t="s">
        <v>24</v>
      </c>
      <c r="B18" s="20" t="s">
        <v>25</v>
      </c>
      <c r="C18" s="20"/>
    </row>
    <row r="19" customFormat="false" ht="18" hidden="false" customHeight="true" outlineLevel="0" collapsed="false">
      <c r="A19" s="19" t="s">
        <v>26</v>
      </c>
      <c r="B19" s="20" t="s">
        <v>27</v>
      </c>
      <c r="C19" s="20"/>
    </row>
    <row r="20" customFormat="false" ht="18" hidden="false" customHeight="true" outlineLevel="0" collapsed="false">
      <c r="A20" s="19" t="s">
        <v>28</v>
      </c>
      <c r="B20" s="20" t="s">
        <v>29</v>
      </c>
      <c r="C20" s="20"/>
    </row>
    <row r="21" customFormat="false" ht="18" hidden="false" customHeight="true" outlineLevel="0" collapsed="false">
      <c r="A21" s="19" t="s">
        <v>30</v>
      </c>
      <c r="B21" s="20" t="s">
        <v>31</v>
      </c>
      <c r="C21" s="20"/>
    </row>
    <row r="22" customFormat="false" ht="18" hidden="false" customHeight="true" outlineLevel="0" collapsed="false">
      <c r="A22" s="21" t="s">
        <v>32</v>
      </c>
      <c r="B22" s="22" t="s">
        <v>33</v>
      </c>
      <c r="C22" s="22"/>
    </row>
    <row r="23" customFormat="false" ht="18" hidden="false" customHeight="true" outlineLevel="0" collapsed="false">
      <c r="A23" s="21" t="s">
        <v>34</v>
      </c>
      <c r="B23" s="22" t="s">
        <v>35</v>
      </c>
      <c r="C23" s="22"/>
    </row>
    <row r="24" customFormat="false" ht="18" hidden="false" customHeight="true" outlineLevel="0" collapsed="false">
      <c r="A24" s="21" t="s">
        <v>36</v>
      </c>
      <c r="B24" s="22" t="s">
        <v>37</v>
      </c>
      <c r="C24" s="22"/>
    </row>
    <row r="26" customFormat="false" ht="15" hidden="false" customHeight="false" outlineLevel="0" collapsed="false">
      <c r="A26" s="23" t="s">
        <v>38</v>
      </c>
    </row>
    <row r="27" customFormat="false" ht="15" hidden="false" customHeight="false" outlineLevel="0" collapsed="false">
      <c r="A27" s="24" t="s">
        <v>39</v>
      </c>
      <c r="B27" s="25" t="s">
        <v>40</v>
      </c>
      <c r="C27" s="26" t="s">
        <v>41</v>
      </c>
    </row>
    <row r="28" customFormat="false" ht="12.65" hidden="false" customHeight="false" outlineLevel="0" collapsed="false">
      <c r="A28" s="24" t="s">
        <v>42</v>
      </c>
      <c r="B28" s="25" t="s">
        <v>43</v>
      </c>
      <c r="C28" s="26" t="s">
        <v>44</v>
      </c>
    </row>
    <row r="29" customFormat="false" ht="15" hidden="false" customHeight="false" outlineLevel="0" collapsed="false">
      <c r="A29" s="27" t="s">
        <v>45</v>
      </c>
    </row>
  </sheetData>
  <mergeCells count="11">
    <mergeCell ref="A1:C1"/>
    <mergeCell ref="A2:C2"/>
    <mergeCell ref="A11:C11"/>
    <mergeCell ref="A17:C17"/>
    <mergeCell ref="B18:C18"/>
    <mergeCell ref="B19:C19"/>
    <mergeCell ref="B20:C20"/>
    <mergeCell ref="B21:C21"/>
    <mergeCell ref="B22:C22"/>
    <mergeCell ref="B23:C23"/>
    <mergeCell ref="B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2"/>
    <col collapsed="false" customWidth="true" hidden="false" outlineLevel="0" max="3" min="3" style="1" width="26"/>
    <col collapsed="false" customWidth="true" hidden="false" outlineLevel="0" max="4" min="4" style="1" width="9"/>
    <col collapsed="false" customWidth="true" hidden="false" outlineLevel="0" max="5" min="5" style="1" width="8"/>
    <col collapsed="false" customWidth="true" hidden="false" outlineLevel="0" max="7" min="6" style="1" width="11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14"/>
    <col collapsed="false" customWidth="true" hidden="false" outlineLevel="0" max="12" min="11" style="0" width="26"/>
    <col collapsed="false" customWidth="true" hidden="false" outlineLevel="0" max="13" min="13" style="0" width="46"/>
  </cols>
  <sheetData>
    <row r="1" customFormat="false" ht="27.75" hidden="false" customHeight="true" outlineLevel="0" collapsed="false">
      <c r="A1" s="28" t="s">
        <v>46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customFormat="false" ht="30" hidden="false" customHeight="true" outlineLevel="0" collapsed="false">
      <c r="A2" s="29" t="s">
        <v>47</v>
      </c>
      <c r="B2" s="29" t="s">
        <v>48</v>
      </c>
      <c r="C2" s="30" t="s">
        <v>49</v>
      </c>
      <c r="D2" s="29" t="s">
        <v>50</v>
      </c>
      <c r="E2" s="29" t="s">
        <v>51</v>
      </c>
      <c r="F2" s="29" t="s">
        <v>52</v>
      </c>
      <c r="G2" s="29" t="s">
        <v>53</v>
      </c>
      <c r="H2" s="29" t="s">
        <v>54</v>
      </c>
      <c r="I2" s="29" t="s">
        <v>55</v>
      </c>
      <c r="J2" s="29" t="s">
        <v>56</v>
      </c>
      <c r="K2" s="31" t="s">
        <v>57</v>
      </c>
      <c r="L2" s="31" t="s">
        <v>58</v>
      </c>
      <c r="M2" s="31" t="s">
        <v>59</v>
      </c>
    </row>
    <row r="3" customFormat="false" ht="30" hidden="false" customHeight="true" outlineLevel="0" collapsed="false">
      <c r="A3" s="32" t="s">
        <v>60</v>
      </c>
      <c r="B3" s="33" t="s">
        <v>61</v>
      </c>
      <c r="C3" s="34" t="s">
        <v>62</v>
      </c>
      <c r="D3" s="35" t="s">
        <v>63</v>
      </c>
      <c r="E3" s="36" t="s">
        <v>64</v>
      </c>
      <c r="F3" s="37" t="n">
        <v>400</v>
      </c>
      <c r="G3" s="37" t="n">
        <v>1500</v>
      </c>
      <c r="H3" s="38" t="n">
        <v>400</v>
      </c>
      <c r="I3" s="33" t="s">
        <v>65</v>
      </c>
      <c r="J3" s="33" t="s">
        <v>66</v>
      </c>
      <c r="K3" s="39" t="s">
        <v>67</v>
      </c>
      <c r="L3" s="40" t="s">
        <v>68</v>
      </c>
      <c r="M3" s="41" t="s">
        <v>69</v>
      </c>
    </row>
    <row r="4" customFormat="false" ht="30" hidden="false" customHeight="true" outlineLevel="0" collapsed="false">
      <c r="A4" s="42" t="s">
        <v>70</v>
      </c>
      <c r="B4" s="43" t="s">
        <v>71</v>
      </c>
      <c r="C4" s="44" t="s">
        <v>72</v>
      </c>
      <c r="D4" s="45" t="s">
        <v>50</v>
      </c>
      <c r="E4" s="46" t="s">
        <v>73</v>
      </c>
      <c r="F4" s="47" t="n">
        <v>3</v>
      </c>
      <c r="G4" s="47" t="n">
        <v>15</v>
      </c>
      <c r="H4" s="48" t="n">
        <v>3000</v>
      </c>
      <c r="I4" s="43" t="s">
        <v>74</v>
      </c>
      <c r="J4" s="43" t="s">
        <v>75</v>
      </c>
      <c r="K4" s="49" t="s">
        <v>76</v>
      </c>
      <c r="L4" s="50" t="s">
        <v>77</v>
      </c>
      <c r="M4" s="41" t="s">
        <v>78</v>
      </c>
    </row>
    <row r="5" customFormat="false" ht="30" hidden="false" customHeight="true" outlineLevel="0" collapsed="false">
      <c r="A5" s="42" t="s">
        <v>79</v>
      </c>
      <c r="B5" s="43" t="s">
        <v>80</v>
      </c>
      <c r="C5" s="44" t="s">
        <v>81</v>
      </c>
      <c r="D5" s="45" t="s">
        <v>63</v>
      </c>
      <c r="E5" s="46" t="s">
        <v>73</v>
      </c>
      <c r="F5" s="47" t="n">
        <v>30</v>
      </c>
      <c r="G5" s="47" t="n">
        <v>150</v>
      </c>
      <c r="H5" s="48" t="n">
        <v>600</v>
      </c>
      <c r="I5" s="43" t="s">
        <v>65</v>
      </c>
      <c r="J5" s="43" t="s">
        <v>82</v>
      </c>
      <c r="K5" s="39" t="s">
        <v>67</v>
      </c>
      <c r="L5" s="40" t="s">
        <v>68</v>
      </c>
      <c r="M5" s="41" t="s">
        <v>83</v>
      </c>
    </row>
    <row r="6" customFormat="false" ht="30" hidden="false" customHeight="true" outlineLevel="0" collapsed="false">
      <c r="A6" s="51" t="s">
        <v>84</v>
      </c>
      <c r="B6" s="52" t="s">
        <v>85</v>
      </c>
      <c r="C6" s="53" t="s">
        <v>86</v>
      </c>
      <c r="D6" s="54" t="s">
        <v>50</v>
      </c>
      <c r="E6" s="55" t="s">
        <v>87</v>
      </c>
      <c r="F6" s="56" t="n">
        <v>20</v>
      </c>
      <c r="G6" s="56" t="n">
        <v>200</v>
      </c>
      <c r="H6" s="57" t="n">
        <v>150</v>
      </c>
      <c r="I6" s="52" t="s">
        <v>88</v>
      </c>
      <c r="J6" s="52" t="s">
        <v>89</v>
      </c>
      <c r="K6" s="49" t="s">
        <v>90</v>
      </c>
      <c r="L6" s="50" t="s">
        <v>91</v>
      </c>
      <c r="M6" s="41" t="s">
        <v>92</v>
      </c>
    </row>
    <row r="7" customFormat="false" ht="30" hidden="false" customHeight="true" outlineLevel="0" collapsed="false">
      <c r="A7" s="51" t="s">
        <v>93</v>
      </c>
      <c r="B7" s="52" t="s">
        <v>94</v>
      </c>
      <c r="C7" s="53" t="s">
        <v>95</v>
      </c>
      <c r="D7" s="54" t="s">
        <v>50</v>
      </c>
      <c r="E7" s="55" t="s">
        <v>87</v>
      </c>
      <c r="F7" s="56" t="n">
        <v>2</v>
      </c>
      <c r="G7" s="56" t="n">
        <v>10</v>
      </c>
      <c r="H7" s="57" t="n">
        <v>800</v>
      </c>
      <c r="I7" s="52" t="s">
        <v>88</v>
      </c>
      <c r="J7" s="52" t="s">
        <v>89</v>
      </c>
      <c r="K7" s="39" t="s">
        <v>96</v>
      </c>
      <c r="L7" s="40" t="s">
        <v>97</v>
      </c>
      <c r="M7" s="41" t="s">
        <v>98</v>
      </c>
    </row>
    <row r="8" customFormat="false" ht="30" hidden="false" customHeight="true" outlineLevel="0" collapsed="false">
      <c r="A8" s="51" t="s">
        <v>99</v>
      </c>
      <c r="B8" s="52" t="s">
        <v>100</v>
      </c>
      <c r="C8" s="53" t="s">
        <v>101</v>
      </c>
      <c r="D8" s="54" t="s">
        <v>102</v>
      </c>
      <c r="E8" s="55" t="s">
        <v>87</v>
      </c>
      <c r="F8" s="56" t="n">
        <v>5</v>
      </c>
      <c r="G8" s="56" t="n">
        <v>30</v>
      </c>
      <c r="H8" s="57" t="n">
        <v>30</v>
      </c>
      <c r="I8" s="52" t="s">
        <v>65</v>
      </c>
      <c r="J8" s="52" t="s">
        <v>66</v>
      </c>
      <c r="K8" s="49" t="s">
        <v>103</v>
      </c>
      <c r="L8" s="50" t="s">
        <v>104</v>
      </c>
      <c r="M8" s="41" t="s">
        <v>105</v>
      </c>
    </row>
    <row r="9" customFormat="false" ht="30" hidden="false" customHeight="true" outlineLevel="0" collapsed="false">
      <c r="A9" s="51" t="s">
        <v>106</v>
      </c>
      <c r="B9" s="52" t="s">
        <v>107</v>
      </c>
      <c r="C9" s="53" t="s">
        <v>108</v>
      </c>
      <c r="D9" s="54" t="s">
        <v>50</v>
      </c>
      <c r="E9" s="55" t="s">
        <v>87</v>
      </c>
      <c r="F9" s="56" t="n">
        <v>2</v>
      </c>
      <c r="G9" s="56" t="n">
        <v>10</v>
      </c>
      <c r="H9" s="57" t="n">
        <v>300</v>
      </c>
      <c r="I9" s="52" t="s">
        <v>65</v>
      </c>
      <c r="J9" s="52" t="s">
        <v>109</v>
      </c>
      <c r="K9" s="39" t="s">
        <v>110</v>
      </c>
      <c r="L9" s="40" t="s">
        <v>111</v>
      </c>
      <c r="M9" s="41" t="s">
        <v>112</v>
      </c>
    </row>
    <row r="10" customFormat="false" ht="30" hidden="false" customHeight="true" outlineLevel="0" collapsed="false">
      <c r="A10" s="51" t="s">
        <v>113</v>
      </c>
      <c r="B10" s="52" t="s">
        <v>114</v>
      </c>
      <c r="C10" s="53" t="s">
        <v>115</v>
      </c>
      <c r="D10" s="54" t="s">
        <v>50</v>
      </c>
      <c r="E10" s="55" t="s">
        <v>87</v>
      </c>
      <c r="F10" s="56" t="n">
        <v>2</v>
      </c>
      <c r="G10" s="56" t="n">
        <v>10</v>
      </c>
      <c r="H10" s="57" t="n">
        <v>200</v>
      </c>
      <c r="I10" s="52" t="s">
        <v>88</v>
      </c>
      <c r="J10" s="52" t="s">
        <v>116</v>
      </c>
      <c r="K10" s="49" t="s">
        <v>96</v>
      </c>
      <c r="L10" s="50" t="s">
        <v>117</v>
      </c>
      <c r="M10" s="41" t="s">
        <v>118</v>
      </c>
    </row>
    <row r="11" customFormat="false" ht="30" hidden="false" customHeight="true" outlineLevel="0" collapsed="false">
      <c r="A11" s="51" t="s">
        <v>119</v>
      </c>
      <c r="B11" s="52" t="s">
        <v>120</v>
      </c>
      <c r="C11" s="53" t="s">
        <v>121</v>
      </c>
      <c r="D11" s="54" t="s">
        <v>50</v>
      </c>
      <c r="E11" s="55" t="s">
        <v>87</v>
      </c>
      <c r="F11" s="56" t="n">
        <v>10</v>
      </c>
      <c r="G11" s="56" t="n">
        <v>100</v>
      </c>
      <c r="H11" s="57" t="n">
        <v>50</v>
      </c>
      <c r="I11" s="52" t="s">
        <v>65</v>
      </c>
      <c r="J11" s="52" t="s">
        <v>66</v>
      </c>
      <c r="K11" s="39" t="s">
        <v>90</v>
      </c>
      <c r="L11" s="40" t="s">
        <v>91</v>
      </c>
      <c r="M11" s="41" t="s">
        <v>122</v>
      </c>
    </row>
    <row r="12" customFormat="false" ht="30" hidden="false" customHeight="true" outlineLevel="0" collapsed="false">
      <c r="A12" s="51" t="s">
        <v>123</v>
      </c>
      <c r="B12" s="52" t="s">
        <v>124</v>
      </c>
      <c r="C12" s="53" t="s">
        <v>125</v>
      </c>
      <c r="D12" s="54" t="s">
        <v>50</v>
      </c>
      <c r="E12" s="55" t="s">
        <v>87</v>
      </c>
      <c r="F12" s="56" t="n">
        <v>5</v>
      </c>
      <c r="G12" s="56" t="n">
        <v>50</v>
      </c>
      <c r="H12" s="57" t="n">
        <v>80</v>
      </c>
      <c r="I12" s="52" t="s">
        <v>65</v>
      </c>
      <c r="J12" s="52" t="s">
        <v>66</v>
      </c>
      <c r="K12" s="49" t="s">
        <v>90</v>
      </c>
      <c r="L12" s="50" t="s">
        <v>91</v>
      </c>
      <c r="M12" s="41" t="s">
        <v>126</v>
      </c>
    </row>
    <row r="13" customFormat="false" ht="30" hidden="false" customHeight="true" outlineLevel="0" collapsed="false">
      <c r="A13" s="51" t="s">
        <v>127</v>
      </c>
      <c r="B13" s="52" t="s">
        <v>128</v>
      </c>
      <c r="C13" s="53" t="s">
        <v>129</v>
      </c>
      <c r="D13" s="54" t="s">
        <v>130</v>
      </c>
      <c r="E13" s="55" t="s">
        <v>87</v>
      </c>
      <c r="F13" s="56" t="n">
        <v>1</v>
      </c>
      <c r="G13" s="56" t="n">
        <v>5</v>
      </c>
      <c r="H13" s="57" t="n">
        <v>400</v>
      </c>
      <c r="I13" s="52" t="s">
        <v>74</v>
      </c>
      <c r="J13" s="52" t="s">
        <v>131</v>
      </c>
      <c r="K13" s="39" t="s">
        <v>76</v>
      </c>
      <c r="L13" s="40" t="s">
        <v>132</v>
      </c>
      <c r="M13" s="41" t="s">
        <v>133</v>
      </c>
    </row>
    <row r="14" customFormat="false" ht="30" hidden="false" customHeight="true" outlineLevel="0" collapsed="false">
      <c r="A14" s="51" t="s">
        <v>134</v>
      </c>
      <c r="B14" s="52" t="s">
        <v>135</v>
      </c>
      <c r="C14" s="53" t="s">
        <v>136</v>
      </c>
      <c r="D14" s="54" t="s">
        <v>50</v>
      </c>
      <c r="E14" s="55" t="s">
        <v>87</v>
      </c>
      <c r="F14" s="56" t="n">
        <v>5</v>
      </c>
      <c r="G14" s="56" t="n">
        <v>30</v>
      </c>
      <c r="H14" s="57" t="n">
        <v>50</v>
      </c>
      <c r="I14" s="52" t="s">
        <v>65</v>
      </c>
      <c r="J14" s="52" t="s">
        <v>66</v>
      </c>
      <c r="K14" s="49" t="s">
        <v>103</v>
      </c>
      <c r="L14" s="50" t="s">
        <v>104</v>
      </c>
      <c r="M14" s="41" t="s">
        <v>137</v>
      </c>
    </row>
    <row r="16" customFormat="false" ht="27.75" hidden="false" customHeight="true" outlineLevel="0" collapsed="false">
      <c r="A16" s="58" t="s">
        <v>138</v>
      </c>
      <c r="B16" s="58"/>
      <c r="C16" s="58"/>
      <c r="D16" s="58"/>
      <c r="E16" s="58"/>
      <c r="F16" s="58"/>
      <c r="G16" s="58"/>
      <c r="H16" s="58"/>
      <c r="I16" s="58"/>
      <c r="J16" s="58"/>
    </row>
  </sheetData>
  <mergeCells count="2">
    <mergeCell ref="A1:M1"/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8E3C"/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8"/>
    <col collapsed="false" customWidth="true" hidden="false" outlineLevel="0" max="3" min="3" style="1" width="40"/>
    <col collapsed="false" customWidth="true" hidden="false" outlineLevel="0" max="4" min="4" style="1" width="11"/>
    <col collapsed="false" customWidth="true" hidden="false" outlineLevel="0" max="5" min="5" style="1" width="16"/>
    <col collapsed="false" customWidth="true" hidden="false" outlineLevel="0" max="6" min="6" style="1" width="8"/>
    <col collapsed="false" customWidth="true" hidden="false" outlineLevel="0" max="8" min="7" style="1" width="9"/>
    <col collapsed="false" customWidth="true" hidden="false" outlineLevel="0" max="9" min="9" style="1" width="32"/>
  </cols>
  <sheetData>
    <row r="1" customFormat="false" ht="27.75" hidden="false" customHeight="true" outlineLevel="0" collapsed="false">
      <c r="A1" s="59" t="s">
        <v>139</v>
      </c>
      <c r="B1" s="59"/>
      <c r="C1" s="59"/>
      <c r="D1" s="59"/>
      <c r="E1" s="59"/>
      <c r="F1" s="59"/>
      <c r="G1" s="59"/>
      <c r="H1" s="59"/>
      <c r="I1" s="59"/>
    </row>
    <row r="2" customFormat="false" ht="19.5" hidden="false" customHeight="true" outlineLevel="0" collapsed="false">
      <c r="A2" s="60" t="s">
        <v>140</v>
      </c>
      <c r="B2" s="60" t="s">
        <v>141</v>
      </c>
      <c r="C2" s="60" t="s">
        <v>142</v>
      </c>
      <c r="D2" s="60" t="s">
        <v>143</v>
      </c>
      <c r="E2" s="60" t="s">
        <v>144</v>
      </c>
      <c r="F2" s="60" t="s">
        <v>145</v>
      </c>
      <c r="G2" s="60" t="s">
        <v>146</v>
      </c>
      <c r="H2" s="60" t="s">
        <v>147</v>
      </c>
      <c r="I2" s="60" t="s">
        <v>148</v>
      </c>
    </row>
    <row r="3" customFormat="false" ht="15" hidden="false" customHeight="true" outlineLevel="0" collapsed="false">
      <c r="A3" s="61" t="s">
        <v>149</v>
      </c>
      <c r="B3" s="62" t="s">
        <v>65</v>
      </c>
      <c r="C3" s="62" t="s">
        <v>150</v>
      </c>
      <c r="D3" s="62" t="s">
        <v>151</v>
      </c>
      <c r="E3" s="62" t="s">
        <v>152</v>
      </c>
      <c r="F3" s="61" t="s">
        <v>64</v>
      </c>
      <c r="G3" s="61" t="n">
        <v>8</v>
      </c>
      <c r="H3" s="61" t="n">
        <v>95</v>
      </c>
      <c r="I3" s="62" t="s">
        <v>153</v>
      </c>
    </row>
    <row r="4" customFormat="false" ht="15" hidden="false" customHeight="true" outlineLevel="0" collapsed="false">
      <c r="A4" s="63" t="s">
        <v>154</v>
      </c>
      <c r="B4" s="64" t="s">
        <v>74</v>
      </c>
      <c r="C4" s="64" t="s">
        <v>155</v>
      </c>
      <c r="D4" s="64" t="s">
        <v>156</v>
      </c>
      <c r="E4" s="64" t="s">
        <v>157</v>
      </c>
      <c r="F4" s="63" t="s">
        <v>64</v>
      </c>
      <c r="G4" s="63" t="n">
        <v>5</v>
      </c>
      <c r="H4" s="63" t="n">
        <v>90</v>
      </c>
      <c r="I4" s="64" t="s">
        <v>158</v>
      </c>
    </row>
    <row r="5" customFormat="false" ht="15" hidden="false" customHeight="true" outlineLevel="0" collapsed="false">
      <c r="A5" s="61" t="s">
        <v>159</v>
      </c>
      <c r="B5" s="62" t="s">
        <v>88</v>
      </c>
      <c r="C5" s="62" t="s">
        <v>160</v>
      </c>
      <c r="D5" s="62" t="s">
        <v>161</v>
      </c>
      <c r="E5" s="62" t="s">
        <v>162</v>
      </c>
      <c r="F5" s="61" t="s">
        <v>73</v>
      </c>
      <c r="G5" s="61" t="n">
        <v>7</v>
      </c>
      <c r="H5" s="61" t="n">
        <v>80</v>
      </c>
      <c r="I5" s="62" t="s">
        <v>163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5A64"/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44"/>
  </cols>
  <sheetData>
    <row r="1" customFormat="false" ht="27.75" hidden="false" customHeight="true" outlineLevel="0" collapsed="false">
      <c r="A1" s="65" t="s">
        <v>164</v>
      </c>
      <c r="B1" s="65"/>
      <c r="C1" s="65"/>
      <c r="D1" s="65"/>
      <c r="E1" s="65"/>
    </row>
    <row r="2" customFormat="false" ht="27.75" hidden="false" customHeight="true" outlineLevel="0" collapsed="false">
      <c r="A2" s="66" t="s">
        <v>165</v>
      </c>
      <c r="B2" s="66"/>
      <c r="C2" s="66"/>
      <c r="D2" s="66"/>
      <c r="E2" s="66"/>
    </row>
    <row r="3" customFormat="false" ht="24" hidden="false" customHeight="true" outlineLevel="0" collapsed="false">
      <c r="A3" s="67" t="s">
        <v>166</v>
      </c>
      <c r="B3" s="67"/>
      <c r="C3" s="67"/>
      <c r="D3" s="67"/>
      <c r="E3" s="67"/>
    </row>
    <row r="4" customFormat="false" ht="19.5" hidden="false" customHeight="true" outlineLevel="0" collapsed="false">
      <c r="A4" s="68" t="s">
        <v>167</v>
      </c>
      <c r="B4" s="68"/>
      <c r="C4" s="68"/>
      <c r="D4" s="68"/>
      <c r="E4" s="68"/>
    </row>
    <row r="5" customFormat="false" ht="25.5" hidden="false" customHeight="true" outlineLevel="0" collapsed="false">
      <c r="A5" s="69" t="s">
        <v>168</v>
      </c>
      <c r="B5" s="70" t="s">
        <v>169</v>
      </c>
      <c r="C5" s="71" t="s">
        <v>170</v>
      </c>
      <c r="D5" s="72" t="s">
        <v>171</v>
      </c>
      <c r="E5" s="73" t="s">
        <v>172</v>
      </c>
    </row>
    <row r="6" customFormat="false" ht="25.5" hidden="false" customHeight="true" outlineLevel="0" collapsed="false">
      <c r="A6" s="74" t="s">
        <v>173</v>
      </c>
      <c r="B6" s="75" t="s">
        <v>174</v>
      </c>
      <c r="C6" s="76" t="s">
        <v>175</v>
      </c>
      <c r="D6" s="72" t="s">
        <v>171</v>
      </c>
      <c r="E6" s="77" t="s">
        <v>176</v>
      </c>
    </row>
    <row r="7" customFormat="false" ht="25.5" hidden="false" customHeight="true" outlineLevel="0" collapsed="false">
      <c r="A7" s="69" t="s">
        <v>177</v>
      </c>
      <c r="B7" s="70" t="s">
        <v>178</v>
      </c>
      <c r="C7" s="71" t="s">
        <v>179</v>
      </c>
      <c r="D7" s="72" t="s">
        <v>171</v>
      </c>
      <c r="E7" s="73" t="s">
        <v>180</v>
      </c>
    </row>
    <row r="8" customFormat="false" ht="25.5" hidden="false" customHeight="true" outlineLevel="0" collapsed="false">
      <c r="A8" s="74" t="s">
        <v>181</v>
      </c>
      <c r="B8" s="75" t="s">
        <v>182</v>
      </c>
      <c r="C8" s="76" t="s">
        <v>183</v>
      </c>
      <c r="D8" s="72" t="s">
        <v>171</v>
      </c>
      <c r="E8" s="77" t="s">
        <v>184</v>
      </c>
    </row>
    <row r="9" customFormat="false" ht="25.5" hidden="false" customHeight="true" outlineLevel="0" collapsed="false">
      <c r="A9" s="69" t="s">
        <v>185</v>
      </c>
      <c r="B9" s="70" t="s">
        <v>186</v>
      </c>
      <c r="C9" s="71" t="s">
        <v>187</v>
      </c>
      <c r="D9" s="72" t="s">
        <v>171</v>
      </c>
      <c r="E9" s="73" t="s">
        <v>188</v>
      </c>
    </row>
    <row r="11" customFormat="false" ht="24" hidden="false" customHeight="true" outlineLevel="0" collapsed="false">
      <c r="A11" s="67" t="s">
        <v>189</v>
      </c>
      <c r="B11" s="67"/>
      <c r="C11" s="67"/>
      <c r="D11" s="67"/>
      <c r="E11" s="67"/>
    </row>
    <row r="12" customFormat="false" ht="25.5" hidden="false" customHeight="true" outlineLevel="0" collapsed="false">
      <c r="A12" s="74" t="s">
        <v>190</v>
      </c>
      <c r="B12" s="75" t="s">
        <v>191</v>
      </c>
      <c r="C12" s="76" t="s">
        <v>60</v>
      </c>
      <c r="D12" s="72" t="s">
        <v>171</v>
      </c>
      <c r="E12" s="77" t="s">
        <v>192</v>
      </c>
    </row>
    <row r="13" customFormat="false" ht="25.5" hidden="false" customHeight="true" outlineLevel="0" collapsed="false">
      <c r="A13" s="69" t="s">
        <v>193</v>
      </c>
      <c r="B13" s="70" t="s">
        <v>194</v>
      </c>
      <c r="C13" s="71" t="s">
        <v>194</v>
      </c>
      <c r="D13" s="72" t="s">
        <v>171</v>
      </c>
      <c r="E13" s="73" t="s">
        <v>195</v>
      </c>
    </row>
    <row r="15" customFormat="false" ht="24" hidden="false" customHeight="true" outlineLevel="0" collapsed="false">
      <c r="A15" s="67" t="s">
        <v>196</v>
      </c>
      <c r="B15" s="67"/>
      <c r="C15" s="67"/>
      <c r="D15" s="67"/>
      <c r="E15" s="67"/>
    </row>
    <row r="16" customFormat="false" ht="21.75" hidden="false" customHeight="true" outlineLevel="0" collapsed="false">
      <c r="A16" s="78" t="s">
        <v>197</v>
      </c>
      <c r="B16" s="79" t="s">
        <v>198</v>
      </c>
      <c r="C16" s="80" t="s">
        <v>199</v>
      </c>
      <c r="D16" s="81" t="s">
        <v>200</v>
      </c>
      <c r="E16" s="73" t="s">
        <v>201</v>
      </c>
    </row>
    <row r="17" customFormat="false" ht="21.75" hidden="false" customHeight="true" outlineLevel="0" collapsed="false">
      <c r="A17" s="82" t="s">
        <v>202</v>
      </c>
      <c r="B17" s="83" t="s">
        <v>203</v>
      </c>
      <c r="C17" s="84" t="s">
        <v>204</v>
      </c>
      <c r="D17" s="85" t="s">
        <v>205</v>
      </c>
      <c r="E17" s="77" t="s">
        <v>206</v>
      </c>
    </row>
    <row r="18" customFormat="false" ht="21.75" hidden="false" customHeight="true" outlineLevel="0" collapsed="false">
      <c r="A18" s="78" t="s">
        <v>207</v>
      </c>
      <c r="B18" s="79" t="s">
        <v>208</v>
      </c>
      <c r="C18" s="80" t="s">
        <v>209</v>
      </c>
      <c r="D18" s="81" t="s">
        <v>210</v>
      </c>
      <c r="E18" s="73" t="s">
        <v>211</v>
      </c>
    </row>
    <row r="19" customFormat="false" ht="21.75" hidden="false" customHeight="true" outlineLevel="0" collapsed="false">
      <c r="A19" s="82" t="s">
        <v>212</v>
      </c>
      <c r="B19" s="83" t="s">
        <v>213</v>
      </c>
      <c r="C19" s="84" t="s">
        <v>214</v>
      </c>
      <c r="D19" s="85" t="s">
        <v>215</v>
      </c>
      <c r="E19" s="77" t="s">
        <v>216</v>
      </c>
    </row>
    <row r="20" customFormat="false" ht="21.75" hidden="false" customHeight="true" outlineLevel="0" collapsed="false">
      <c r="A20" s="78" t="s">
        <v>217</v>
      </c>
      <c r="B20" s="79" t="s">
        <v>218</v>
      </c>
      <c r="C20" s="80" t="s">
        <v>219</v>
      </c>
      <c r="D20" s="81" t="s">
        <v>220</v>
      </c>
      <c r="E20" s="73" t="s">
        <v>221</v>
      </c>
    </row>
    <row r="21" customFormat="false" ht="21.75" hidden="false" customHeight="true" outlineLevel="0" collapsed="false">
      <c r="A21" s="82" t="s">
        <v>222</v>
      </c>
      <c r="B21" s="83" t="s">
        <v>223</v>
      </c>
      <c r="C21" s="84" t="s">
        <v>224</v>
      </c>
      <c r="D21" s="85" t="s">
        <v>225</v>
      </c>
      <c r="E21" s="77" t="s">
        <v>226</v>
      </c>
    </row>
    <row r="23" customFormat="false" ht="24" hidden="false" customHeight="true" outlineLevel="0" collapsed="false">
      <c r="A23" s="67" t="s">
        <v>227</v>
      </c>
      <c r="B23" s="67"/>
      <c r="C23" s="67"/>
      <c r="D23" s="67"/>
      <c r="E23" s="67"/>
    </row>
    <row r="24" customFormat="false" ht="27.75" hidden="false" customHeight="true" outlineLevel="0" collapsed="false">
      <c r="A24" s="69" t="s">
        <v>228</v>
      </c>
      <c r="B24" s="86" t="s">
        <v>229</v>
      </c>
      <c r="C24" s="86"/>
      <c r="D24" s="87" t="s">
        <v>230</v>
      </c>
      <c r="E24" s="87"/>
    </row>
    <row r="25" customFormat="false" ht="27.75" hidden="false" customHeight="true" outlineLevel="0" collapsed="false">
      <c r="A25" s="74" t="s">
        <v>228</v>
      </c>
      <c r="B25" s="88" t="s">
        <v>231</v>
      </c>
      <c r="C25" s="88"/>
      <c r="D25" s="89" t="s">
        <v>232</v>
      </c>
      <c r="E25" s="89"/>
    </row>
    <row r="26" customFormat="false" ht="27.75" hidden="false" customHeight="true" outlineLevel="0" collapsed="false">
      <c r="A26" s="69" t="s">
        <v>228</v>
      </c>
      <c r="B26" s="86" t="s">
        <v>233</v>
      </c>
      <c r="C26" s="86"/>
      <c r="D26" s="87" t="s">
        <v>234</v>
      </c>
      <c r="E26" s="87"/>
    </row>
    <row r="27" customFormat="false" ht="27.75" hidden="false" customHeight="true" outlineLevel="0" collapsed="false">
      <c r="A27" s="74" t="s">
        <v>228</v>
      </c>
      <c r="B27" s="88" t="s">
        <v>235</v>
      </c>
      <c r="C27" s="88"/>
      <c r="D27" s="89" t="s">
        <v>236</v>
      </c>
      <c r="E27" s="89"/>
    </row>
    <row r="30" customFormat="false" ht="13.5" hidden="false" customHeight="true" outlineLevel="0" collapsed="false">
      <c r="A30" s="90" t="s">
        <v>237</v>
      </c>
      <c r="B30" s="90"/>
      <c r="C30" s="90"/>
      <c r="D30" s="90"/>
      <c r="E30" s="90"/>
      <c r="F30" s="90"/>
      <c r="G30" s="90"/>
      <c r="H30" s="90"/>
    </row>
    <row r="32" customFormat="false" ht="15" hidden="false" customHeight="false" outlineLevel="0" collapsed="false">
      <c r="A32" s="91" t="s">
        <v>238</v>
      </c>
    </row>
  </sheetData>
  <mergeCells count="16">
    <mergeCell ref="A1:E1"/>
    <mergeCell ref="A2:E2"/>
    <mergeCell ref="A3:E3"/>
    <mergeCell ref="A4:E4"/>
    <mergeCell ref="A11:E11"/>
    <mergeCell ref="A15:E15"/>
    <mergeCell ref="A23:E23"/>
    <mergeCell ref="B24:C24"/>
    <mergeCell ref="D24:E24"/>
    <mergeCell ref="B25:C25"/>
    <mergeCell ref="D25:E25"/>
    <mergeCell ref="B26:C26"/>
    <mergeCell ref="D26:E26"/>
    <mergeCell ref="B27:C27"/>
    <mergeCell ref="D27:E27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C447C"/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28"/>
    <col collapsed="false" customWidth="true" hidden="false" outlineLevel="0" max="4" min="4" style="1" width="9"/>
    <col collapsed="false" customWidth="true" hidden="false" outlineLevel="0" max="5" min="5" style="1" width="10"/>
    <col collapsed="false" customWidth="true" hidden="false" outlineLevel="0" max="7" min="6" style="1" width="14"/>
    <col collapsed="false" customWidth="true" hidden="false" outlineLevel="0" max="9" min="8" style="1" width="11"/>
    <col collapsed="false" customWidth="true" hidden="false" outlineLevel="0" max="10" min="10" style="1" width="12"/>
    <col collapsed="false" customWidth="true" hidden="false" outlineLevel="0" max="12" min="11" style="1" width="14"/>
    <col collapsed="false" customWidth="true" hidden="false" outlineLevel="0" max="13" min="13" style="1" width="28"/>
  </cols>
  <sheetData>
    <row r="1" customFormat="false" ht="27.75" hidden="false" customHeight="true" outlineLevel="0" collapsed="false">
      <c r="A1" s="92" t="s">
        <v>239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customFormat="false" ht="48" hidden="false" customHeight="true" outlineLevel="0" collapsed="false">
      <c r="A2" s="93" t="s">
        <v>240</v>
      </c>
      <c r="B2" s="94" t="s">
        <v>47</v>
      </c>
      <c r="C2" s="95" t="s">
        <v>241</v>
      </c>
      <c r="D2" s="96" t="s">
        <v>242</v>
      </c>
      <c r="E2" s="97" t="s">
        <v>243</v>
      </c>
      <c r="F2" s="93" t="s">
        <v>244</v>
      </c>
      <c r="G2" s="93" t="s">
        <v>245</v>
      </c>
      <c r="H2" s="98" t="s">
        <v>246</v>
      </c>
      <c r="I2" s="99" t="s">
        <v>247</v>
      </c>
      <c r="J2" s="100" t="s">
        <v>248</v>
      </c>
      <c r="K2" s="101" t="s">
        <v>249</v>
      </c>
      <c r="L2" s="94" t="s">
        <v>250</v>
      </c>
      <c r="M2" s="102" t="s">
        <v>251</v>
      </c>
    </row>
    <row r="3" customFormat="false" ht="15" hidden="false" customHeight="true" outlineLevel="0" collapsed="false">
      <c r="A3" s="103" t="n">
        <v>46022</v>
      </c>
      <c r="B3" s="51" t="s">
        <v>60</v>
      </c>
      <c r="C3" s="104" t="str">
        <f aca="false">IFERROR(VLOOKUP(B3,ARTICLES!$A$3:$G$500,2,0),"—")</f>
        <v>Rame papier A4 80g/m²</v>
      </c>
      <c r="D3" s="105" t="s">
        <v>252</v>
      </c>
      <c r="E3" s="106" t="n">
        <v>405</v>
      </c>
      <c r="F3" s="106" t="n">
        <f aca="false">IFERROR(VLOOKUP(B3,ARTICLES!$A$3:$G$500,7,0),0)</f>
        <v>1500</v>
      </c>
      <c r="G3" s="106" t="n">
        <f aca="false">E3*F3</f>
        <v>607500</v>
      </c>
      <c r="H3" s="107" t="s">
        <v>253</v>
      </c>
      <c r="I3" s="108" t="n">
        <f aca="false">IFERROR(VLOOKUP(B3,ARTICLES!$A$3:$G$500,7,0),0)</f>
        <v>1500</v>
      </c>
      <c r="J3" s="109" t="n">
        <f aca="false">SUMPRODUCT(($B$3:$B3=B3)*($D$3:$D3="IN")*$E$3:$E3)-SUMPRODUCT(($B$3:$B3=B3)*($D$3:$D3="OUT")*$E$3:$E3)</f>
        <v>405</v>
      </c>
      <c r="K3" s="109" t="n">
        <f aca="false">SUMPRODUCT(($B$3:$B3=B3)*($D$3:$D3="IN")*$E$3:$E3*$F$3:$F3)</f>
        <v>607500</v>
      </c>
      <c r="L3" s="110" t="n">
        <f aca="false">IFERROR(K3/MAX(1,SUMPRODUCT(($B$3:$B3=B3)*($D$3:$D3="IN")*$E$3:$E3)),IFERROR(VLOOKUP(B3,ARTICLES!$A$3:$G$500,7,0),0))</f>
        <v>1500</v>
      </c>
      <c r="M3" s="111" t="s">
        <v>254</v>
      </c>
    </row>
    <row r="4" customFormat="false" ht="15" hidden="false" customHeight="true" outlineLevel="0" collapsed="false">
      <c r="A4" s="112" t="n">
        <v>46030</v>
      </c>
      <c r="B4" s="42" t="s">
        <v>60</v>
      </c>
      <c r="C4" s="113" t="str">
        <f aca="false">IFERROR(VLOOKUP(B4,ARTICLES!$A$3:$G$500,2,0),"—")</f>
        <v>Rame papier A4 80g/m²</v>
      </c>
      <c r="D4" s="114" t="s">
        <v>255</v>
      </c>
      <c r="E4" s="115" t="n">
        <v>75</v>
      </c>
      <c r="F4" s="115" t="n">
        <f aca="false">IFERROR(VLOOKUP(B4,ARTICLES!$A$3:$G$500,7,0),0)</f>
        <v>1500</v>
      </c>
      <c r="G4" s="115" t="n">
        <f aca="false">E4*F4</f>
        <v>112500</v>
      </c>
      <c r="H4" s="107" t="s">
        <v>256</v>
      </c>
      <c r="I4" s="108" t="n">
        <f aca="false">IFERROR(VLOOKUP(B4,ARTICLES!$A$3:$G$500,7,0),0)</f>
        <v>1500</v>
      </c>
      <c r="J4" s="109" t="n">
        <f aca="false">SUMPRODUCT(($B$3:$B4=B4)*($D$3:$D4="IN")*$E$3:$E4)-SUMPRODUCT(($B$3:$B4=B4)*($D$3:$D4="OUT")*$E$3:$E4)</f>
        <v>330</v>
      </c>
      <c r="K4" s="109" t="n">
        <f aca="false">SUMPRODUCT(($B$3:$B4=B4)*($D$3:$D4="IN")*$E$3:$E4*$F$3:$F4)</f>
        <v>607500</v>
      </c>
      <c r="L4" s="110" t="n">
        <f aca="false">IFERROR(K4/MAX(1,SUMPRODUCT(($B$3:$B4=B4)*($D$3:$D4="IN")*$E$3:$E4)),IFERROR(VLOOKUP(B4,ARTICLES!$A$3:$G$500,7,0),0))</f>
        <v>1500</v>
      </c>
      <c r="M4" s="116" t="s">
        <v>257</v>
      </c>
    </row>
    <row r="5" customFormat="false" ht="15" hidden="false" customHeight="true" outlineLevel="0" collapsed="false">
      <c r="A5" s="112" t="n">
        <v>46037</v>
      </c>
      <c r="B5" s="42" t="s">
        <v>60</v>
      </c>
      <c r="C5" s="113" t="str">
        <f aca="false">IFERROR(VLOOKUP(B5,ARTICLES!$A$3:$G$500,2,0),"—")</f>
        <v>Rame papier A4 80g/m²</v>
      </c>
      <c r="D5" s="114" t="s">
        <v>255</v>
      </c>
      <c r="E5" s="115" t="n">
        <v>55</v>
      </c>
      <c r="F5" s="115" t="n">
        <f aca="false">IFERROR(VLOOKUP(B5,ARTICLES!$A$3:$G$500,7,0),0)</f>
        <v>1500</v>
      </c>
      <c r="G5" s="115" t="n">
        <f aca="false">E5*F5</f>
        <v>82500</v>
      </c>
      <c r="H5" s="107" t="s">
        <v>258</v>
      </c>
      <c r="I5" s="108" t="n">
        <f aca="false">IFERROR(VLOOKUP(B5,ARTICLES!$A$3:$G$500,7,0),0)</f>
        <v>1500</v>
      </c>
      <c r="J5" s="109" t="n">
        <f aca="false">SUMPRODUCT(($B$3:$B5=B5)*($D$3:$D5="IN")*$E$3:$E5)-SUMPRODUCT(($B$3:$B5=B5)*($D$3:$D5="OUT")*$E$3:$E5)</f>
        <v>275</v>
      </c>
      <c r="K5" s="109" t="n">
        <f aca="false">SUMPRODUCT(($B$3:$B5=B5)*($D$3:$D5="IN")*$E$3:$E5*$F$3:$F5)</f>
        <v>607500</v>
      </c>
      <c r="L5" s="110" t="n">
        <f aca="false">IFERROR(K5/MAX(1,SUMPRODUCT(($B$3:$B5=B5)*($D$3:$D5="IN")*$E$3:$E5)),IFERROR(VLOOKUP(B5,ARTICLES!$A$3:$G$500,7,0),0))</f>
        <v>1500</v>
      </c>
      <c r="M5" s="116" t="s">
        <v>259</v>
      </c>
    </row>
    <row r="6" customFormat="false" ht="15" hidden="false" customHeight="true" outlineLevel="0" collapsed="false">
      <c r="A6" s="112" t="n">
        <v>46050</v>
      </c>
      <c r="B6" s="42" t="s">
        <v>60</v>
      </c>
      <c r="C6" s="113" t="str">
        <f aca="false">IFERROR(VLOOKUP(B6,ARTICLES!$A$3:$G$500,2,0),"—")</f>
        <v>Rame papier A4 80g/m²</v>
      </c>
      <c r="D6" s="114" t="s">
        <v>255</v>
      </c>
      <c r="E6" s="115" t="n">
        <v>40</v>
      </c>
      <c r="F6" s="115" t="n">
        <f aca="false">IFERROR(VLOOKUP(B6,ARTICLES!$A$3:$G$500,7,0),0)</f>
        <v>1500</v>
      </c>
      <c r="G6" s="115" t="n">
        <f aca="false">E6*F6</f>
        <v>60000</v>
      </c>
      <c r="H6" s="107" t="s">
        <v>260</v>
      </c>
      <c r="I6" s="108" t="n">
        <f aca="false">IFERROR(VLOOKUP(B6,ARTICLES!$A$3:$G$500,7,0),0)</f>
        <v>1500</v>
      </c>
      <c r="J6" s="109" t="n">
        <f aca="false">SUMPRODUCT(($B$3:$B6=B6)*($D$3:$D6="IN")*$E$3:$E6)-SUMPRODUCT(($B$3:$B6=B6)*($D$3:$D6="OUT")*$E$3:$E6)</f>
        <v>235</v>
      </c>
      <c r="K6" s="109" t="n">
        <f aca="false">SUMPRODUCT(($B$3:$B6=B6)*($D$3:$D6="IN")*$E$3:$E6*$F$3:$F6)</f>
        <v>607500</v>
      </c>
      <c r="L6" s="110" t="n">
        <f aca="false">IFERROR(K6/MAX(1,SUMPRODUCT(($B$3:$B6=B6)*($D$3:$D6="IN")*$E$3:$E6)),IFERROR(VLOOKUP(B6,ARTICLES!$A$3:$G$500,7,0),0))</f>
        <v>1500</v>
      </c>
      <c r="M6" s="116" t="s">
        <v>261</v>
      </c>
    </row>
    <row r="7" customFormat="false" ht="15" hidden="false" customHeight="true" outlineLevel="0" collapsed="false">
      <c r="A7" s="103" t="n">
        <v>46054</v>
      </c>
      <c r="B7" s="51" t="s">
        <v>70</v>
      </c>
      <c r="C7" s="104" t="str">
        <f aca="false">IFERROR(VLOOKUP(B7,ARTICLES!$A$3:$G$500,2,0),"—")</f>
        <v>Toner imprimante G030 (noir)</v>
      </c>
      <c r="D7" s="105" t="s">
        <v>252</v>
      </c>
      <c r="E7" s="106" t="n">
        <v>5</v>
      </c>
      <c r="F7" s="106" t="n">
        <f aca="false">IFERROR(VLOOKUP(B7,ARTICLES!$A$3:$G$500,7,0),0)</f>
        <v>15</v>
      </c>
      <c r="G7" s="106" t="n">
        <f aca="false">E7*F7</f>
        <v>75</v>
      </c>
      <c r="H7" s="107" t="s">
        <v>262</v>
      </c>
      <c r="I7" s="108" t="n">
        <f aca="false">IFERROR(VLOOKUP(B7,ARTICLES!$A$3:$G$500,7,0),0)</f>
        <v>15</v>
      </c>
      <c r="J7" s="109" t="n">
        <f aca="false">SUMPRODUCT(($B$3:$B7=B7)*($D$3:$D7="IN")*$E$3:$E7)-SUMPRODUCT(($B$3:$B7=B7)*($D$3:$D7="OUT")*$E$3:$E7)</f>
        <v>5</v>
      </c>
      <c r="K7" s="109" t="n">
        <f aca="false">SUMPRODUCT(($B$3:$B7=B7)*($D$3:$D7="IN")*$E$3:$E7*$F$3:$F7)</f>
        <v>75</v>
      </c>
      <c r="L7" s="110" t="n">
        <f aca="false">IFERROR(K7/MAX(1,SUMPRODUCT(($B$3:$B7=B7)*($D$3:$D7="IN")*$E$3:$E7)),IFERROR(VLOOKUP(B7,ARTICLES!$A$3:$G$500,7,0),0))</f>
        <v>15</v>
      </c>
      <c r="M7" s="111" t="s">
        <v>263</v>
      </c>
    </row>
    <row r="8" customFormat="false" ht="15" hidden="false" customHeight="true" outlineLevel="0" collapsed="false">
      <c r="A8" s="103" t="n">
        <v>46054</v>
      </c>
      <c r="B8" s="51" t="s">
        <v>79</v>
      </c>
      <c r="C8" s="104" t="str">
        <f aca="false">IFERROR(VLOOKUP(B8,ARTICLES!$A$3:$G$500,2,0),"—")</f>
        <v>Rame papier A3 80g/m²</v>
      </c>
      <c r="D8" s="105" t="s">
        <v>252</v>
      </c>
      <c r="E8" s="106" t="n">
        <v>100</v>
      </c>
      <c r="F8" s="106" t="n">
        <f aca="false">IFERROR(VLOOKUP(B8,ARTICLES!$A$3:$G$500,7,0),0)</f>
        <v>150</v>
      </c>
      <c r="G8" s="106" t="n">
        <f aca="false">E8*F8</f>
        <v>15000</v>
      </c>
      <c r="H8" s="107" t="s">
        <v>262</v>
      </c>
      <c r="I8" s="108" t="n">
        <f aca="false">IFERROR(VLOOKUP(B8,ARTICLES!$A$3:$G$500,7,0),0)</f>
        <v>150</v>
      </c>
      <c r="J8" s="109" t="n">
        <f aca="false">SUMPRODUCT(($B$3:$B8=B8)*($D$3:$D8="IN")*$E$3:$E8)-SUMPRODUCT(($B$3:$B8=B8)*($D$3:$D8="OUT")*$E$3:$E8)</f>
        <v>100</v>
      </c>
      <c r="K8" s="109" t="n">
        <f aca="false">SUMPRODUCT(($B$3:$B8=B8)*($D$3:$D8="IN")*$E$3:$E8*$F$3:$F8)</f>
        <v>15000</v>
      </c>
      <c r="L8" s="110" t="n">
        <f aca="false">IFERROR(K8/MAX(1,SUMPRODUCT(($B$3:$B8=B8)*($D$3:$D8="IN")*$E$3:$E8)),IFERROR(VLOOKUP(B8,ARTICLES!$A$3:$G$500,7,0),0))</f>
        <v>150</v>
      </c>
      <c r="M8" s="111" t="s">
        <v>264</v>
      </c>
    </row>
    <row r="9" customFormat="false" ht="15" hidden="false" customHeight="true" outlineLevel="0" collapsed="false">
      <c r="A9" s="103" t="n">
        <v>46054</v>
      </c>
      <c r="B9" s="51" t="s">
        <v>84</v>
      </c>
      <c r="C9" s="104" t="str">
        <f aca="false">IFERROR(VLOOKUP(B9,ARTICLES!$A$3:$G$500,2,0),"—")</f>
        <v>Boîte archives carton</v>
      </c>
      <c r="D9" s="105" t="s">
        <v>252</v>
      </c>
      <c r="E9" s="106" t="n">
        <v>240</v>
      </c>
      <c r="F9" s="106" t="n">
        <f aca="false">IFERROR(VLOOKUP(B9,ARTICLES!$A$3:$G$500,7,0),0)</f>
        <v>200</v>
      </c>
      <c r="G9" s="106" t="n">
        <f aca="false">E9*F9</f>
        <v>48000</v>
      </c>
      <c r="H9" s="107" t="s">
        <v>265</v>
      </c>
      <c r="I9" s="108" t="n">
        <f aca="false">IFERROR(VLOOKUP(B9,ARTICLES!$A$3:$G$500,7,0),0)</f>
        <v>200</v>
      </c>
      <c r="J9" s="109" t="n">
        <f aca="false">SUMPRODUCT(($B$3:$B9=B9)*($D$3:$D9="IN")*$E$3:$E9)-SUMPRODUCT(($B$3:$B9=B9)*($D$3:$D9="OUT")*$E$3:$E9)</f>
        <v>240</v>
      </c>
      <c r="K9" s="109" t="n">
        <f aca="false">SUMPRODUCT(($B$3:$B9=B9)*($D$3:$D9="IN")*$E$3:$E9*$F$3:$F9)</f>
        <v>48000</v>
      </c>
      <c r="L9" s="110" t="n">
        <f aca="false">IFERROR(K9/MAX(1,SUMPRODUCT(($B$3:$B9=B9)*($D$3:$D9="IN")*$E$3:$E9)),IFERROR(VLOOKUP(B9,ARTICLES!$A$3:$G$500,7,0),0))</f>
        <v>200</v>
      </c>
      <c r="M9" s="111" t="s">
        <v>266</v>
      </c>
    </row>
    <row r="10" customFormat="false" ht="15" hidden="false" customHeight="true" outlineLevel="0" collapsed="false">
      <c r="A10" s="103" t="n">
        <v>46054</v>
      </c>
      <c r="B10" s="51" t="s">
        <v>93</v>
      </c>
      <c r="C10" s="104" t="str">
        <f aca="false">IFERROR(VLOOKUP(B10,ARTICLES!$A$3:$G$500,2,0),"—")</f>
        <v>Agrafeuse de bureau</v>
      </c>
      <c r="D10" s="105" t="s">
        <v>252</v>
      </c>
      <c r="E10" s="106" t="n">
        <v>4</v>
      </c>
      <c r="F10" s="106" t="n">
        <f aca="false">IFERROR(VLOOKUP(B10,ARTICLES!$A$3:$G$500,7,0),0)</f>
        <v>10</v>
      </c>
      <c r="G10" s="106" t="n">
        <f aca="false">E10*F10</f>
        <v>40</v>
      </c>
      <c r="H10" s="107" t="s">
        <v>265</v>
      </c>
      <c r="I10" s="108" t="n">
        <f aca="false">IFERROR(VLOOKUP(B10,ARTICLES!$A$3:$G$500,7,0),0)</f>
        <v>10</v>
      </c>
      <c r="J10" s="109" t="n">
        <f aca="false">SUMPRODUCT(($B$3:$B10=B10)*($D$3:$D10="IN")*$E$3:$E10)-SUMPRODUCT(($B$3:$B10=B10)*($D$3:$D10="OUT")*$E$3:$E10)</f>
        <v>4</v>
      </c>
      <c r="K10" s="109" t="n">
        <f aca="false">SUMPRODUCT(($B$3:$B10=B10)*($D$3:$D10="IN")*$E$3:$E10*$F$3:$F10)</f>
        <v>40</v>
      </c>
      <c r="L10" s="110" t="n">
        <f aca="false">IFERROR(K10/MAX(1,SUMPRODUCT(($B$3:$B10=B10)*($D$3:$D10="IN")*$E$3:$E10)),IFERROR(VLOOKUP(B10,ARTICLES!$A$3:$G$500,7,0),0))</f>
        <v>10</v>
      </c>
      <c r="M10" s="111" t="s">
        <v>266</v>
      </c>
    </row>
    <row r="11" customFormat="false" ht="15" hidden="false" customHeight="true" outlineLevel="0" collapsed="false">
      <c r="A11" s="103" t="n">
        <v>46054</v>
      </c>
      <c r="B11" s="51" t="s">
        <v>99</v>
      </c>
      <c r="C11" s="104" t="str">
        <f aca="false">IFERROR(VLOOKUP(B11,ARTICLES!$A$3:$G$500,2,0),"—")</f>
        <v>Stylos bille boîte/50</v>
      </c>
      <c r="D11" s="105" t="s">
        <v>252</v>
      </c>
      <c r="E11" s="106" t="n">
        <v>50</v>
      </c>
      <c r="F11" s="106" t="n">
        <f aca="false">IFERROR(VLOOKUP(B11,ARTICLES!$A$3:$G$500,7,0),0)</f>
        <v>30</v>
      </c>
      <c r="G11" s="106" t="n">
        <f aca="false">E11*F11</f>
        <v>1500</v>
      </c>
      <c r="H11" s="107" t="s">
        <v>265</v>
      </c>
      <c r="I11" s="108" t="n">
        <f aca="false">IFERROR(VLOOKUP(B11,ARTICLES!$A$3:$G$500,7,0),0)</f>
        <v>30</v>
      </c>
      <c r="J11" s="109" t="n">
        <f aca="false">SUMPRODUCT(($B$3:$B11=B11)*($D$3:$D11="IN")*$E$3:$E11)-SUMPRODUCT(($B$3:$B11=B11)*($D$3:$D11="OUT")*$E$3:$E11)</f>
        <v>50</v>
      </c>
      <c r="K11" s="109" t="n">
        <f aca="false">SUMPRODUCT(($B$3:$B11=B11)*($D$3:$D11="IN")*$E$3:$E11*$F$3:$F11)</f>
        <v>1500</v>
      </c>
      <c r="L11" s="110" t="n">
        <f aca="false">IFERROR(K11/MAX(1,SUMPRODUCT(($B$3:$B11=B11)*($D$3:$D11="IN")*$E$3:$E11)),IFERROR(VLOOKUP(B11,ARTICLES!$A$3:$G$500,7,0),0))</f>
        <v>30</v>
      </c>
      <c r="M11" s="111" t="s">
        <v>266</v>
      </c>
    </row>
    <row r="12" customFormat="false" ht="15" hidden="false" customHeight="true" outlineLevel="0" collapsed="false">
      <c r="A12" s="103" t="n">
        <v>46054</v>
      </c>
      <c r="B12" s="51" t="s">
        <v>106</v>
      </c>
      <c r="C12" s="104" t="str">
        <f aca="false">IFERROR(VLOOKUP(B12,ARTICLES!$A$3:$G$500,2,0),"—")</f>
        <v>Registre grand format 5m</v>
      </c>
      <c r="D12" s="105" t="s">
        <v>252</v>
      </c>
      <c r="E12" s="106" t="n">
        <v>3</v>
      </c>
      <c r="F12" s="106" t="n">
        <f aca="false">IFERROR(VLOOKUP(B12,ARTICLES!$A$3:$G$500,7,0),0)</f>
        <v>10</v>
      </c>
      <c r="G12" s="106" t="n">
        <f aca="false">E12*F12</f>
        <v>30</v>
      </c>
      <c r="H12" s="107" t="s">
        <v>265</v>
      </c>
      <c r="I12" s="108" t="n">
        <f aca="false">IFERROR(VLOOKUP(B12,ARTICLES!$A$3:$G$500,7,0),0)</f>
        <v>10</v>
      </c>
      <c r="J12" s="109" t="n">
        <f aca="false">SUMPRODUCT(($B$3:$B12=B12)*($D$3:$D12="IN")*$E$3:$E12)-SUMPRODUCT(($B$3:$B12=B12)*($D$3:$D12="OUT")*$E$3:$E12)</f>
        <v>3</v>
      </c>
      <c r="K12" s="109" t="n">
        <f aca="false">SUMPRODUCT(($B$3:$B12=B12)*($D$3:$D12="IN")*$E$3:$E12*$F$3:$F12)</f>
        <v>30</v>
      </c>
      <c r="L12" s="110" t="n">
        <f aca="false">IFERROR(K12/MAX(1,SUMPRODUCT(($B$3:$B12=B12)*($D$3:$D12="IN")*$E$3:$E12)),IFERROR(VLOOKUP(B12,ARTICLES!$A$3:$G$500,7,0),0))</f>
        <v>10</v>
      </c>
      <c r="M12" s="111" t="s">
        <v>266</v>
      </c>
    </row>
    <row r="13" customFormat="false" ht="15" hidden="false" customHeight="true" outlineLevel="0" collapsed="false">
      <c r="A13" s="103" t="n">
        <v>46054</v>
      </c>
      <c r="B13" s="51" t="s">
        <v>113</v>
      </c>
      <c r="C13" s="104" t="str">
        <f aca="false">IFERROR(VLOOKUP(B13,ARTICLES!$A$3:$G$500,2,0),"—")</f>
        <v>Encre tampon</v>
      </c>
      <c r="D13" s="105" t="s">
        <v>252</v>
      </c>
      <c r="E13" s="106" t="n">
        <v>5</v>
      </c>
      <c r="F13" s="106" t="n">
        <f aca="false">IFERROR(VLOOKUP(B13,ARTICLES!$A$3:$G$500,7,0),0)</f>
        <v>10</v>
      </c>
      <c r="G13" s="106" t="n">
        <f aca="false">E13*F13</f>
        <v>50</v>
      </c>
      <c r="H13" s="107" t="s">
        <v>265</v>
      </c>
      <c r="I13" s="108" t="n">
        <f aca="false">IFERROR(VLOOKUP(B13,ARTICLES!$A$3:$G$500,7,0),0)</f>
        <v>10</v>
      </c>
      <c r="J13" s="109" t="n">
        <f aca="false">SUMPRODUCT(($B$3:$B13=B13)*($D$3:$D13="IN")*$E$3:$E13)-SUMPRODUCT(($B$3:$B13=B13)*($D$3:$D13="OUT")*$E$3:$E13)</f>
        <v>5</v>
      </c>
      <c r="K13" s="109" t="n">
        <f aca="false">SUMPRODUCT(($B$3:$B13=B13)*($D$3:$D13="IN")*$E$3:$E13*$F$3:$F13)</f>
        <v>50</v>
      </c>
      <c r="L13" s="110" t="n">
        <f aca="false">IFERROR(K13/MAX(1,SUMPRODUCT(($B$3:$B13=B13)*($D$3:$D13="IN")*$E$3:$E13)),IFERROR(VLOOKUP(B13,ARTICLES!$A$3:$G$500,7,0),0))</f>
        <v>10</v>
      </c>
      <c r="M13" s="111" t="s">
        <v>266</v>
      </c>
    </row>
    <row r="14" customFormat="false" ht="15" hidden="false" customHeight="true" outlineLevel="0" collapsed="false">
      <c r="A14" s="103" t="n">
        <v>46054</v>
      </c>
      <c r="B14" s="51" t="s">
        <v>119</v>
      </c>
      <c r="C14" s="104" t="str">
        <f aca="false">IFERROR(VLOOKUP(B14,ARTICLES!$A$3:$G$500,2,0),"—")</f>
        <v>Sous-chemise carton</v>
      </c>
      <c r="D14" s="105" t="s">
        <v>252</v>
      </c>
      <c r="E14" s="106" t="n">
        <v>48</v>
      </c>
      <c r="F14" s="106" t="n">
        <f aca="false">IFERROR(VLOOKUP(B14,ARTICLES!$A$3:$G$500,7,0),0)</f>
        <v>100</v>
      </c>
      <c r="G14" s="106" t="n">
        <f aca="false">E14*F14</f>
        <v>4800</v>
      </c>
      <c r="H14" s="107" t="s">
        <v>265</v>
      </c>
      <c r="I14" s="108" t="n">
        <f aca="false">IFERROR(VLOOKUP(B14,ARTICLES!$A$3:$G$500,7,0),0)</f>
        <v>100</v>
      </c>
      <c r="J14" s="109" t="n">
        <f aca="false">SUMPRODUCT(($B$3:$B14=B14)*($D$3:$D14="IN")*$E$3:$E14)-SUMPRODUCT(($B$3:$B14=B14)*($D$3:$D14="OUT")*$E$3:$E14)</f>
        <v>48</v>
      </c>
      <c r="K14" s="109" t="n">
        <f aca="false">SUMPRODUCT(($B$3:$B14=B14)*($D$3:$D14="IN")*$E$3:$E14*$F$3:$F14)</f>
        <v>4800</v>
      </c>
      <c r="L14" s="110" t="n">
        <f aca="false">IFERROR(K14/MAX(1,SUMPRODUCT(($B$3:$B14=B14)*($D$3:$D14="IN")*$E$3:$E14)),IFERROR(VLOOKUP(B14,ARTICLES!$A$3:$G$500,7,0),0))</f>
        <v>100</v>
      </c>
      <c r="M14" s="111" t="s">
        <v>266</v>
      </c>
    </row>
    <row r="15" customFormat="false" ht="15" hidden="false" customHeight="true" outlineLevel="0" collapsed="false">
      <c r="A15" s="103" t="n">
        <v>46054</v>
      </c>
      <c r="B15" s="51" t="s">
        <v>123</v>
      </c>
      <c r="C15" s="104" t="str">
        <f aca="false">IFERROR(VLOOKUP(B15,ARTICLES!$A$3:$G$500,2,0),"—")</f>
        <v>Chemise cartonnée</v>
      </c>
      <c r="D15" s="105" t="s">
        <v>252</v>
      </c>
      <c r="E15" s="106" t="n">
        <v>24</v>
      </c>
      <c r="F15" s="106" t="n">
        <f aca="false">IFERROR(VLOOKUP(B15,ARTICLES!$A$3:$G$500,7,0),0)</f>
        <v>50</v>
      </c>
      <c r="G15" s="106" t="n">
        <f aca="false">E15*F15</f>
        <v>1200</v>
      </c>
      <c r="H15" s="107" t="s">
        <v>265</v>
      </c>
      <c r="I15" s="108" t="n">
        <f aca="false">IFERROR(VLOOKUP(B15,ARTICLES!$A$3:$G$500,7,0),0)</f>
        <v>50</v>
      </c>
      <c r="J15" s="109" t="n">
        <f aca="false">SUMPRODUCT(($B$3:$B15=B15)*($D$3:$D15="IN")*$E$3:$E15)-SUMPRODUCT(($B$3:$B15=B15)*($D$3:$D15="OUT")*$E$3:$E15)</f>
        <v>24</v>
      </c>
      <c r="K15" s="109" t="n">
        <f aca="false">SUMPRODUCT(($B$3:$B15=B15)*($D$3:$D15="IN")*$E$3:$E15*$F$3:$F15)</f>
        <v>1200</v>
      </c>
      <c r="L15" s="110" t="n">
        <f aca="false">IFERROR(K15/MAX(1,SUMPRODUCT(($B$3:$B15=B15)*($D$3:$D15="IN")*$E$3:$E15)),IFERROR(VLOOKUP(B15,ARTICLES!$A$3:$G$500,7,0),0))</f>
        <v>50</v>
      </c>
      <c r="M15" s="111" t="s">
        <v>266</v>
      </c>
    </row>
    <row r="16" customFormat="false" ht="15" hidden="false" customHeight="true" outlineLevel="0" collapsed="false">
      <c r="A16" s="103" t="n">
        <v>46054</v>
      </c>
      <c r="B16" s="51" t="s">
        <v>127</v>
      </c>
      <c r="C16" s="104" t="str">
        <f aca="false">IFERROR(VLOOKUP(B16,ARTICLES!$A$3:$G$500,2,0),"—")</f>
        <v>Rouleau papier fax</v>
      </c>
      <c r="D16" s="105" t="s">
        <v>252</v>
      </c>
      <c r="E16" s="106" t="n">
        <v>2</v>
      </c>
      <c r="F16" s="106" t="n">
        <f aca="false">IFERROR(VLOOKUP(B16,ARTICLES!$A$3:$G$500,7,0),0)</f>
        <v>5</v>
      </c>
      <c r="G16" s="106" t="n">
        <f aca="false">E16*F16</f>
        <v>10</v>
      </c>
      <c r="H16" s="107" t="s">
        <v>265</v>
      </c>
      <c r="I16" s="108" t="n">
        <f aca="false">IFERROR(VLOOKUP(B16,ARTICLES!$A$3:$G$500,7,0),0)</f>
        <v>5</v>
      </c>
      <c r="J16" s="109" t="n">
        <f aca="false">SUMPRODUCT(($B$3:$B16=B16)*($D$3:$D16="IN")*$E$3:$E16)-SUMPRODUCT(($B$3:$B16=B16)*($D$3:$D16="OUT")*$E$3:$E16)</f>
        <v>2</v>
      </c>
      <c r="K16" s="109" t="n">
        <f aca="false">SUMPRODUCT(($B$3:$B16=B16)*($D$3:$D16="IN")*$E$3:$E16*$F$3:$F16)</f>
        <v>10</v>
      </c>
      <c r="L16" s="110" t="n">
        <f aca="false">IFERROR(K16/MAX(1,SUMPRODUCT(($B$3:$B16=B16)*($D$3:$D16="IN")*$E$3:$E16)),IFERROR(VLOOKUP(B16,ARTICLES!$A$3:$G$500,7,0),0))</f>
        <v>5</v>
      </c>
      <c r="M16" s="111" t="s">
        <v>266</v>
      </c>
    </row>
    <row r="17" customFormat="false" ht="15" hidden="false" customHeight="true" outlineLevel="0" collapsed="false">
      <c r="A17" s="103" t="n">
        <v>46054</v>
      </c>
      <c r="B17" s="51" t="s">
        <v>134</v>
      </c>
      <c r="C17" s="104" t="str">
        <f aca="false">IFERROR(VLOOKUP(B17,ARTICLES!$A$3:$G$500,2,0),"—")</f>
        <v>Marqueur permanent noir</v>
      </c>
      <c r="D17" s="105" t="s">
        <v>252</v>
      </c>
      <c r="E17" s="106" t="n">
        <v>16</v>
      </c>
      <c r="F17" s="106" t="n">
        <f aca="false">IFERROR(VLOOKUP(B17,ARTICLES!$A$3:$G$500,7,0),0)</f>
        <v>30</v>
      </c>
      <c r="G17" s="106" t="n">
        <f aca="false">E17*F17</f>
        <v>480</v>
      </c>
      <c r="H17" s="107" t="s">
        <v>265</v>
      </c>
      <c r="I17" s="108" t="n">
        <f aca="false">IFERROR(VLOOKUP(B17,ARTICLES!$A$3:$G$500,7,0),0)</f>
        <v>30</v>
      </c>
      <c r="J17" s="109" t="n">
        <f aca="false">SUMPRODUCT(($B$3:$B17=B17)*($D$3:$D17="IN")*$E$3:$E17)-SUMPRODUCT(($B$3:$B17=B17)*($D$3:$D17="OUT")*$E$3:$E17)</f>
        <v>16</v>
      </c>
      <c r="K17" s="109" t="n">
        <f aca="false">SUMPRODUCT(($B$3:$B17=B17)*($D$3:$D17="IN")*$E$3:$E17*$F$3:$F17)</f>
        <v>480</v>
      </c>
      <c r="L17" s="110" t="n">
        <f aca="false">IFERROR(K17/MAX(1,SUMPRODUCT(($B$3:$B17=B17)*($D$3:$D17="IN")*$E$3:$E17)),IFERROR(VLOOKUP(B17,ARTICLES!$A$3:$G$500,7,0),0))</f>
        <v>30</v>
      </c>
      <c r="M17" s="111" t="s">
        <v>266</v>
      </c>
    </row>
    <row r="18" customFormat="false" ht="15" hidden="false" customHeight="true" outlineLevel="0" collapsed="false">
      <c r="A18" s="112" t="n">
        <v>46058</v>
      </c>
      <c r="B18" s="42" t="s">
        <v>70</v>
      </c>
      <c r="C18" s="113" t="str">
        <f aca="false">IFERROR(VLOOKUP(B18,ARTICLES!$A$3:$G$500,2,0),"—")</f>
        <v>Toner imprimante G030 (noir)</v>
      </c>
      <c r="D18" s="114" t="s">
        <v>255</v>
      </c>
      <c r="E18" s="115" t="n">
        <v>2</v>
      </c>
      <c r="F18" s="115" t="n">
        <f aca="false">IFERROR(VLOOKUP(B18,ARTICLES!$A$3:$G$500,7,0),0)</f>
        <v>15</v>
      </c>
      <c r="G18" s="115" t="n">
        <f aca="false">E18*F18</f>
        <v>30</v>
      </c>
      <c r="H18" s="107" t="s">
        <v>267</v>
      </c>
      <c r="I18" s="108" t="n">
        <f aca="false">IFERROR(VLOOKUP(B18,ARTICLES!$A$3:$G$500,7,0),0)</f>
        <v>15</v>
      </c>
      <c r="J18" s="109" t="n">
        <f aca="false">SUMPRODUCT(($B$3:$B18=B18)*($D$3:$D18="IN")*$E$3:$E18)-SUMPRODUCT(($B$3:$B18=B18)*($D$3:$D18="OUT")*$E$3:$E18)</f>
        <v>3</v>
      </c>
      <c r="K18" s="109" t="n">
        <f aca="false">SUMPRODUCT(($B$3:$B18=B18)*($D$3:$D18="IN")*$E$3:$E18*$F$3:$F18)</f>
        <v>75</v>
      </c>
      <c r="L18" s="110" t="n">
        <f aca="false">IFERROR(K18/MAX(1,SUMPRODUCT(($B$3:$B18=B18)*($D$3:$D18="IN")*$E$3:$E18)),IFERROR(VLOOKUP(B18,ARTICLES!$A$3:$G$500,7,0),0))</f>
        <v>15</v>
      </c>
      <c r="M18" s="116" t="s">
        <v>268</v>
      </c>
    </row>
    <row r="19" customFormat="false" ht="15" hidden="false" customHeight="true" outlineLevel="0" collapsed="false">
      <c r="A19" s="112" t="n">
        <v>46063</v>
      </c>
      <c r="B19" s="42" t="s">
        <v>60</v>
      </c>
      <c r="C19" s="113" t="str">
        <f aca="false">IFERROR(VLOOKUP(B19,ARTICLES!$A$3:$G$500,2,0),"—")</f>
        <v>Rame papier A4 80g/m²</v>
      </c>
      <c r="D19" s="114" t="s">
        <v>255</v>
      </c>
      <c r="E19" s="115" t="n">
        <v>35</v>
      </c>
      <c r="F19" s="115" t="n">
        <f aca="false">IFERROR(VLOOKUP(B19,ARTICLES!$A$3:$G$500,7,0),0)</f>
        <v>1500</v>
      </c>
      <c r="G19" s="115" t="n">
        <f aca="false">E19*F19</f>
        <v>52500</v>
      </c>
      <c r="H19" s="107" t="s">
        <v>269</v>
      </c>
      <c r="I19" s="108" t="n">
        <f aca="false">IFERROR(VLOOKUP(B19,ARTICLES!$A$3:$G$500,7,0),0)</f>
        <v>1500</v>
      </c>
      <c r="J19" s="109" t="n">
        <f aca="false">SUMPRODUCT(($B$3:$B19=B19)*($D$3:$D19="IN")*$E$3:$E19)-SUMPRODUCT(($B$3:$B19=B19)*($D$3:$D19="OUT")*$E$3:$E19)</f>
        <v>200</v>
      </c>
      <c r="K19" s="109" t="n">
        <f aca="false">SUMPRODUCT(($B$3:$B19=B19)*($D$3:$D19="IN")*$E$3:$E19*$F$3:$F19)</f>
        <v>607500</v>
      </c>
      <c r="L19" s="110" t="n">
        <f aca="false">IFERROR(K19/MAX(1,SUMPRODUCT(($B$3:$B19=B19)*($D$3:$D19="IN")*$E$3:$E19)),IFERROR(VLOOKUP(B19,ARTICLES!$A$3:$G$500,7,0),0))</f>
        <v>1500</v>
      </c>
      <c r="M19" s="116" t="s">
        <v>270</v>
      </c>
    </row>
    <row r="20" customFormat="false" ht="15" hidden="false" customHeight="true" outlineLevel="0" collapsed="false">
      <c r="A20" s="112" t="n">
        <v>46068</v>
      </c>
      <c r="B20" s="42" t="s">
        <v>79</v>
      </c>
      <c r="C20" s="113" t="str">
        <f aca="false">IFERROR(VLOOKUP(B20,ARTICLES!$A$3:$G$500,2,0),"—")</f>
        <v>Rame papier A3 80g/m²</v>
      </c>
      <c r="D20" s="114" t="s">
        <v>255</v>
      </c>
      <c r="E20" s="115" t="n">
        <v>60</v>
      </c>
      <c r="F20" s="115" t="n">
        <f aca="false">IFERROR(VLOOKUP(B20,ARTICLES!$A$3:$G$500,7,0),0)</f>
        <v>150</v>
      </c>
      <c r="G20" s="115" t="n">
        <f aca="false">E20*F20</f>
        <v>9000</v>
      </c>
      <c r="H20" s="107" t="s">
        <v>271</v>
      </c>
      <c r="I20" s="108" t="n">
        <f aca="false">IFERROR(VLOOKUP(B20,ARTICLES!$A$3:$G$500,7,0),0)</f>
        <v>150</v>
      </c>
      <c r="J20" s="109" t="n">
        <f aca="false">SUMPRODUCT(($B$3:$B20=B20)*($D$3:$D20="IN")*$E$3:$E20)-SUMPRODUCT(($B$3:$B20=B20)*($D$3:$D20="OUT")*$E$3:$E20)</f>
        <v>40</v>
      </c>
      <c r="K20" s="109" t="n">
        <f aca="false">SUMPRODUCT(($B$3:$B20=B20)*($D$3:$D20="IN")*$E$3:$E20*$F$3:$F20)</f>
        <v>15000</v>
      </c>
      <c r="L20" s="110" t="n">
        <f aca="false">IFERROR(K20/MAX(1,SUMPRODUCT(($B$3:$B20=B20)*($D$3:$D20="IN")*$E$3:$E20)),IFERROR(VLOOKUP(B20,ARTICLES!$A$3:$G$500,7,0),0))</f>
        <v>150</v>
      </c>
      <c r="M20" s="116" t="s">
        <v>272</v>
      </c>
    </row>
    <row r="21" customFormat="false" ht="15" hidden="false" customHeight="true" outlineLevel="0" collapsed="false">
      <c r="A21" s="112" t="n">
        <v>46068</v>
      </c>
      <c r="B21" s="42" t="s">
        <v>99</v>
      </c>
      <c r="C21" s="113" t="str">
        <f aca="false">IFERROR(VLOOKUP(B21,ARTICLES!$A$3:$G$500,2,0),"—")</f>
        <v>Stylos bille boîte/50</v>
      </c>
      <c r="D21" s="114" t="s">
        <v>255</v>
      </c>
      <c r="E21" s="115" t="n">
        <v>20</v>
      </c>
      <c r="F21" s="115" t="n">
        <f aca="false">IFERROR(VLOOKUP(B21,ARTICLES!$A$3:$G$500,7,0),0)</f>
        <v>30</v>
      </c>
      <c r="G21" s="115" t="n">
        <f aca="false">E21*F21</f>
        <v>600</v>
      </c>
      <c r="H21" s="107" t="s">
        <v>273</v>
      </c>
      <c r="I21" s="108" t="n">
        <f aca="false">IFERROR(VLOOKUP(B21,ARTICLES!$A$3:$G$500,7,0),0)</f>
        <v>30</v>
      </c>
      <c r="J21" s="109" t="n">
        <f aca="false">SUMPRODUCT(($B$3:$B21=B21)*($D$3:$D21="IN")*$E$3:$E21)-SUMPRODUCT(($B$3:$B21=B21)*($D$3:$D21="OUT")*$E$3:$E21)</f>
        <v>30</v>
      </c>
      <c r="K21" s="109" t="n">
        <f aca="false">SUMPRODUCT(($B$3:$B21=B21)*($D$3:$D21="IN")*$E$3:$E21*$F$3:$F21)</f>
        <v>1500</v>
      </c>
      <c r="L21" s="110" t="n">
        <f aca="false">IFERROR(K21/MAX(1,SUMPRODUCT(($B$3:$B21=B21)*($D$3:$D21="IN")*$E$3:$E21)),IFERROR(VLOOKUP(B21,ARTICLES!$A$3:$G$500,7,0),0))</f>
        <v>30</v>
      </c>
      <c r="M21" s="116" t="s">
        <v>274</v>
      </c>
    </row>
    <row r="22" customFormat="false" ht="15" hidden="false" customHeight="true" outlineLevel="0" collapsed="false">
      <c r="A22" s="112" t="n">
        <v>46073</v>
      </c>
      <c r="B22" s="42" t="s">
        <v>70</v>
      </c>
      <c r="C22" s="113" t="str">
        <f aca="false">IFERROR(VLOOKUP(B22,ARTICLES!$A$3:$G$500,2,0),"—")</f>
        <v>Toner imprimante G030 (noir)</v>
      </c>
      <c r="D22" s="114" t="s">
        <v>255</v>
      </c>
      <c r="E22" s="115" t="n">
        <v>3</v>
      </c>
      <c r="F22" s="115" t="n">
        <f aca="false">IFERROR(VLOOKUP(B22,ARTICLES!$A$3:$G$500,7,0),0)</f>
        <v>15</v>
      </c>
      <c r="G22" s="115" t="n">
        <f aca="false">E22*F22</f>
        <v>45</v>
      </c>
      <c r="H22" s="107" t="s">
        <v>275</v>
      </c>
      <c r="I22" s="108" t="n">
        <f aca="false">IFERROR(VLOOKUP(B22,ARTICLES!$A$3:$G$500,7,0),0)</f>
        <v>15</v>
      </c>
      <c r="J22" s="109" t="n">
        <f aca="false">SUMPRODUCT(($B$3:$B22=B22)*($D$3:$D22="IN")*$E$3:$E22)-SUMPRODUCT(($B$3:$B22=B22)*($D$3:$D22="OUT")*$E$3:$E22)</f>
        <v>0</v>
      </c>
      <c r="K22" s="109" t="n">
        <f aca="false">SUMPRODUCT(($B$3:$B22=B22)*($D$3:$D22="IN")*$E$3:$E22*$F$3:$F22)</f>
        <v>75</v>
      </c>
      <c r="L22" s="110" t="n">
        <f aca="false">IFERROR(K22/MAX(1,SUMPRODUCT(($B$3:$B22=B22)*($D$3:$D22="IN")*$E$3:$E22)),IFERROR(VLOOKUP(B22,ARTICLES!$A$3:$G$500,7,0),0))</f>
        <v>15</v>
      </c>
      <c r="M22" s="117" t="s">
        <v>276</v>
      </c>
    </row>
    <row r="23" customFormat="false" ht="15" hidden="false" customHeight="true" outlineLevel="0" collapsed="false">
      <c r="A23" s="112" t="n">
        <v>46073</v>
      </c>
      <c r="B23" s="42" t="s">
        <v>84</v>
      </c>
      <c r="C23" s="113" t="str">
        <f aca="false">IFERROR(VLOOKUP(B23,ARTICLES!$A$3:$G$500,2,0),"—")</f>
        <v>Boîte archives carton</v>
      </c>
      <c r="D23" s="114" t="s">
        <v>255</v>
      </c>
      <c r="E23" s="115" t="n">
        <v>50</v>
      </c>
      <c r="F23" s="115" t="n">
        <f aca="false">IFERROR(VLOOKUP(B23,ARTICLES!$A$3:$G$500,7,0),0)</f>
        <v>200</v>
      </c>
      <c r="G23" s="115" t="n">
        <f aca="false">E23*F23</f>
        <v>10000</v>
      </c>
      <c r="H23" s="107" t="s">
        <v>277</v>
      </c>
      <c r="I23" s="108" t="n">
        <f aca="false">IFERROR(VLOOKUP(B23,ARTICLES!$A$3:$G$500,7,0),0)</f>
        <v>200</v>
      </c>
      <c r="J23" s="109" t="n">
        <f aca="false">SUMPRODUCT(($B$3:$B23=B23)*($D$3:$D23="IN")*$E$3:$E23)-SUMPRODUCT(($B$3:$B23=B23)*($D$3:$D23="OUT")*$E$3:$E23)</f>
        <v>190</v>
      </c>
      <c r="K23" s="109" t="n">
        <f aca="false">SUMPRODUCT(($B$3:$B23=B23)*($D$3:$D23="IN")*$E$3:$E23*$F$3:$F23)</f>
        <v>48000</v>
      </c>
      <c r="L23" s="110" t="n">
        <f aca="false">IFERROR(K23/MAX(1,SUMPRODUCT(($B$3:$B23=B23)*($D$3:$D23="IN")*$E$3:$E23)),IFERROR(VLOOKUP(B23,ARTICLES!$A$3:$G$500,7,0),0))</f>
        <v>200</v>
      </c>
      <c r="M23" s="116" t="s">
        <v>278</v>
      </c>
    </row>
    <row r="24" customFormat="false" ht="15" hidden="false" customHeight="true" outlineLevel="0" collapsed="false">
      <c r="A24" s="112" t="n">
        <v>46073</v>
      </c>
      <c r="B24" s="42" t="s">
        <v>123</v>
      </c>
      <c r="C24" s="113" t="str">
        <f aca="false">IFERROR(VLOOKUP(B24,ARTICLES!$A$3:$G$500,2,0),"—")</f>
        <v>Chemise cartonnée</v>
      </c>
      <c r="D24" s="114" t="s">
        <v>255</v>
      </c>
      <c r="E24" s="115" t="n">
        <v>10</v>
      </c>
      <c r="F24" s="115" t="n">
        <f aca="false">IFERROR(VLOOKUP(B24,ARTICLES!$A$3:$G$500,7,0),0)</f>
        <v>50</v>
      </c>
      <c r="G24" s="115" t="n">
        <f aca="false">E24*F24</f>
        <v>500</v>
      </c>
      <c r="H24" s="107" t="s">
        <v>279</v>
      </c>
      <c r="I24" s="108" t="n">
        <f aca="false">IFERROR(VLOOKUP(B24,ARTICLES!$A$3:$G$500,7,0),0)</f>
        <v>50</v>
      </c>
      <c r="J24" s="109" t="n">
        <f aca="false">SUMPRODUCT(($B$3:$B24=B24)*($D$3:$D24="IN")*$E$3:$E24)-SUMPRODUCT(($B$3:$B24=B24)*($D$3:$D24="OUT")*$E$3:$E24)</f>
        <v>14</v>
      </c>
      <c r="K24" s="109" t="n">
        <f aca="false">SUMPRODUCT(($B$3:$B24=B24)*($D$3:$D24="IN")*$E$3:$E24*$F$3:$F24)</f>
        <v>1200</v>
      </c>
      <c r="L24" s="110" t="n">
        <f aca="false">IFERROR(K24/MAX(1,SUMPRODUCT(($B$3:$B24=B24)*($D$3:$D24="IN")*$E$3:$E24)),IFERROR(VLOOKUP(B24,ARTICLES!$A$3:$G$500,7,0),0))</f>
        <v>50</v>
      </c>
      <c r="M24" s="116" t="s">
        <v>274</v>
      </c>
    </row>
    <row r="25" customFormat="false" ht="15" hidden="false" customHeight="true" outlineLevel="0" collapsed="false">
      <c r="A25" s="112" t="n">
        <v>46081</v>
      </c>
      <c r="B25" s="42" t="s">
        <v>60</v>
      </c>
      <c r="C25" s="113" t="str">
        <f aca="false">IFERROR(VLOOKUP(B25,ARTICLES!$A$3:$G$500,2,0),"—")</f>
        <v>Rame papier A4 80g/m²</v>
      </c>
      <c r="D25" s="114" t="s">
        <v>255</v>
      </c>
      <c r="E25" s="115" t="n">
        <v>20</v>
      </c>
      <c r="F25" s="115" t="n">
        <f aca="false">IFERROR(VLOOKUP(B25,ARTICLES!$A$3:$G$500,7,0),0)</f>
        <v>1500</v>
      </c>
      <c r="G25" s="115" t="n">
        <f aca="false">E25*F25</f>
        <v>30000</v>
      </c>
      <c r="H25" s="107" t="s">
        <v>280</v>
      </c>
      <c r="I25" s="108" t="n">
        <f aca="false">IFERROR(VLOOKUP(B25,ARTICLES!$A$3:$G$500,7,0),0)</f>
        <v>1500</v>
      </c>
      <c r="J25" s="109" t="n">
        <f aca="false">SUMPRODUCT(($B$3:$B25=B25)*($D$3:$D25="IN")*$E$3:$E25)-SUMPRODUCT(($B$3:$B25=B25)*($D$3:$D25="OUT")*$E$3:$E25)</f>
        <v>180</v>
      </c>
      <c r="K25" s="109" t="n">
        <f aca="false">SUMPRODUCT(($B$3:$B25=B25)*($D$3:$D25="IN")*$E$3:$E25*$F$3:$F25)</f>
        <v>607500</v>
      </c>
      <c r="L25" s="110" t="n">
        <f aca="false">IFERROR(K25/MAX(1,SUMPRODUCT(($B$3:$B25=B25)*($D$3:$D25="IN")*$E$3:$E25)),IFERROR(VLOOKUP(B25,ARTICLES!$A$3:$G$500,7,0),0))</f>
        <v>1500</v>
      </c>
      <c r="M25" s="116" t="s">
        <v>281</v>
      </c>
    </row>
    <row r="26" customFormat="false" ht="15" hidden="false" customHeight="true" outlineLevel="0" collapsed="false">
      <c r="A26" s="112" t="n">
        <v>46082</v>
      </c>
      <c r="B26" s="42" t="s">
        <v>93</v>
      </c>
      <c r="C26" s="113" t="str">
        <f aca="false">IFERROR(VLOOKUP(B26,ARTICLES!$A$3:$G$500,2,0),"—")</f>
        <v>Agrafeuse de bureau</v>
      </c>
      <c r="D26" s="114" t="s">
        <v>255</v>
      </c>
      <c r="E26" s="115" t="n">
        <v>2</v>
      </c>
      <c r="F26" s="115" t="n">
        <f aca="false">IFERROR(VLOOKUP(B26,ARTICLES!$A$3:$G$500,7,0),0)</f>
        <v>10</v>
      </c>
      <c r="G26" s="115" t="n">
        <f aca="false">E26*F26</f>
        <v>20</v>
      </c>
      <c r="H26" s="107" t="s">
        <v>282</v>
      </c>
      <c r="I26" s="108" t="n">
        <f aca="false">IFERROR(VLOOKUP(B26,ARTICLES!$A$3:$G$500,7,0),0)</f>
        <v>10</v>
      </c>
      <c r="J26" s="109" t="n">
        <f aca="false">SUMPRODUCT(($B$3:$B26=B26)*($D$3:$D26="IN")*$E$3:$E26)-SUMPRODUCT(($B$3:$B26=B26)*($D$3:$D26="OUT")*$E$3:$E26)</f>
        <v>2</v>
      </c>
      <c r="K26" s="109" t="n">
        <f aca="false">SUMPRODUCT(($B$3:$B26=B26)*($D$3:$D26="IN")*$E$3:$E26*$F$3:$F26)</f>
        <v>40</v>
      </c>
      <c r="L26" s="110" t="n">
        <f aca="false">IFERROR(K26/MAX(1,SUMPRODUCT(($B$3:$B26=B26)*($D$3:$D26="IN")*$E$3:$E26)),IFERROR(VLOOKUP(B26,ARTICLES!$A$3:$G$500,7,0),0))</f>
        <v>10</v>
      </c>
      <c r="M26" s="116" t="s">
        <v>283</v>
      </c>
    </row>
    <row r="27" customFormat="false" ht="15" hidden="false" customHeight="true" outlineLevel="0" collapsed="false">
      <c r="A27" s="112" t="n">
        <v>46086</v>
      </c>
      <c r="B27" s="42" t="s">
        <v>79</v>
      </c>
      <c r="C27" s="113" t="str">
        <f aca="false">IFERROR(VLOOKUP(B27,ARTICLES!$A$3:$G$500,2,0),"—")</f>
        <v>Rame papier A3 80g/m²</v>
      </c>
      <c r="D27" s="114" t="s">
        <v>255</v>
      </c>
      <c r="E27" s="115" t="n">
        <v>38</v>
      </c>
      <c r="F27" s="115" t="n">
        <f aca="false">IFERROR(VLOOKUP(B27,ARTICLES!$A$3:$G$500,7,0),0)</f>
        <v>150</v>
      </c>
      <c r="G27" s="115" t="n">
        <f aca="false">E27*F27</f>
        <v>5700</v>
      </c>
      <c r="H27" s="107" t="s">
        <v>284</v>
      </c>
      <c r="I27" s="108" t="n">
        <f aca="false">IFERROR(VLOOKUP(B27,ARTICLES!$A$3:$G$500,7,0),0)</f>
        <v>150</v>
      </c>
      <c r="J27" s="109" t="n">
        <f aca="false">SUMPRODUCT(($B$3:$B27=B27)*($D$3:$D27="IN")*$E$3:$E27)-SUMPRODUCT(($B$3:$B27=B27)*($D$3:$D27="OUT")*$E$3:$E27)</f>
        <v>2</v>
      </c>
      <c r="K27" s="109" t="n">
        <f aca="false">SUMPRODUCT(($B$3:$B27=B27)*($D$3:$D27="IN")*$E$3:$E27*$F$3:$F27)</f>
        <v>15000</v>
      </c>
      <c r="L27" s="110" t="n">
        <f aca="false">IFERROR(K27/MAX(1,SUMPRODUCT(($B$3:$B27=B27)*($D$3:$D27="IN")*$E$3:$E27)),IFERROR(VLOOKUP(B27,ARTICLES!$A$3:$G$500,7,0),0))</f>
        <v>150</v>
      </c>
      <c r="M27" s="117" t="s">
        <v>285</v>
      </c>
    </row>
    <row r="28" customFormat="false" ht="15" hidden="false" customHeight="true" outlineLevel="0" collapsed="false">
      <c r="A28" s="112" t="n">
        <v>46086</v>
      </c>
      <c r="B28" s="42" t="s">
        <v>60</v>
      </c>
      <c r="C28" s="113" t="str">
        <f aca="false">IFERROR(VLOOKUP(B28,ARTICLES!$A$3:$G$500,2,0),"—")</f>
        <v>Rame papier A4 80g/m²</v>
      </c>
      <c r="D28" s="114" t="s">
        <v>255</v>
      </c>
      <c r="E28" s="115" t="n">
        <v>70</v>
      </c>
      <c r="F28" s="115" t="n">
        <f aca="false">IFERROR(VLOOKUP(B28,ARTICLES!$A$3:$G$500,7,0),0)</f>
        <v>1500</v>
      </c>
      <c r="G28" s="115" t="n">
        <f aca="false">E28*F28</f>
        <v>105000</v>
      </c>
      <c r="H28" s="107" t="s">
        <v>286</v>
      </c>
      <c r="I28" s="108" t="n">
        <f aca="false">IFERROR(VLOOKUP(B28,ARTICLES!$A$3:$G$500,7,0),0)</f>
        <v>1500</v>
      </c>
      <c r="J28" s="109" t="n">
        <f aca="false">SUMPRODUCT(($B$3:$B28=B28)*($D$3:$D28="IN")*$E$3:$E28)-SUMPRODUCT(($B$3:$B28=B28)*($D$3:$D28="OUT")*$E$3:$E28)</f>
        <v>110</v>
      </c>
      <c r="K28" s="109" t="n">
        <f aca="false">SUMPRODUCT(($B$3:$B28=B28)*($D$3:$D28="IN")*$E$3:$E28*$F$3:$F28)</f>
        <v>607500</v>
      </c>
      <c r="L28" s="110" t="n">
        <f aca="false">IFERROR(K28/MAX(1,SUMPRODUCT(($B$3:$B28=B28)*($D$3:$D28="IN")*$E$3:$E28)),IFERROR(VLOOKUP(B28,ARTICLES!$A$3:$G$500,7,0),0))</f>
        <v>1500</v>
      </c>
      <c r="M28" s="116" t="s">
        <v>287</v>
      </c>
    </row>
    <row r="29" customFormat="false" ht="15" hidden="false" customHeight="true" outlineLevel="0" collapsed="false">
      <c r="A29" s="112" t="n">
        <v>46089</v>
      </c>
      <c r="B29" s="42" t="s">
        <v>119</v>
      </c>
      <c r="C29" s="113" t="str">
        <f aca="false">IFERROR(VLOOKUP(B29,ARTICLES!$A$3:$G$500,2,0),"—")</f>
        <v>Sous-chemise carton</v>
      </c>
      <c r="D29" s="114" t="s">
        <v>255</v>
      </c>
      <c r="E29" s="115" t="n">
        <v>25</v>
      </c>
      <c r="F29" s="115" t="n">
        <f aca="false">IFERROR(VLOOKUP(B29,ARTICLES!$A$3:$G$500,7,0),0)</f>
        <v>100</v>
      </c>
      <c r="G29" s="115" t="n">
        <f aca="false">E29*F29</f>
        <v>2500</v>
      </c>
      <c r="H29" s="107" t="s">
        <v>288</v>
      </c>
      <c r="I29" s="108" t="n">
        <f aca="false">IFERROR(VLOOKUP(B29,ARTICLES!$A$3:$G$500,7,0),0)</f>
        <v>100</v>
      </c>
      <c r="J29" s="109" t="n">
        <f aca="false">SUMPRODUCT(($B$3:$B29=B29)*($D$3:$D29="IN")*$E$3:$E29)-SUMPRODUCT(($B$3:$B29=B29)*($D$3:$D29="OUT")*$E$3:$E29)</f>
        <v>23</v>
      </c>
      <c r="K29" s="109" t="n">
        <f aca="false">SUMPRODUCT(($B$3:$B29=B29)*($D$3:$D29="IN")*$E$3:$E29*$F$3:$F29)</f>
        <v>4800</v>
      </c>
      <c r="L29" s="110" t="n">
        <f aca="false">IFERROR(K29/MAX(1,SUMPRODUCT(($B$3:$B29=B29)*($D$3:$D29="IN")*$E$3:$E29)),IFERROR(VLOOKUP(B29,ARTICLES!$A$3:$G$500,7,0),0))</f>
        <v>100</v>
      </c>
      <c r="M29" s="116" t="s">
        <v>289</v>
      </c>
    </row>
    <row r="30" customFormat="false" ht="15" hidden="false" customHeight="true" outlineLevel="0" collapsed="false">
      <c r="A30" s="112" t="n">
        <v>46090</v>
      </c>
      <c r="B30" s="42" t="s">
        <v>60</v>
      </c>
      <c r="C30" s="113" t="str">
        <f aca="false">IFERROR(VLOOKUP(B30,ARTICLES!$A$3:$G$500,2,0),"—")</f>
        <v>Rame papier A4 80g/m²</v>
      </c>
      <c r="D30" s="114" t="s">
        <v>255</v>
      </c>
      <c r="E30" s="115" t="n">
        <v>10</v>
      </c>
      <c r="F30" s="115" t="n">
        <f aca="false">IFERROR(VLOOKUP(B30,ARTICLES!$A$3:$G$500,7,0),0)</f>
        <v>1500</v>
      </c>
      <c r="G30" s="115" t="n">
        <f aca="false">E30*F30</f>
        <v>15000</v>
      </c>
      <c r="H30" s="107" t="s">
        <v>290</v>
      </c>
      <c r="I30" s="108" t="n">
        <f aca="false">IFERROR(VLOOKUP(B30,ARTICLES!$A$3:$G$500,7,0),0)</f>
        <v>1500</v>
      </c>
      <c r="J30" s="109" t="n">
        <f aca="false">SUMPRODUCT(($B$3:$B30=B30)*($D$3:$D30="IN")*$E$3:$E30)-SUMPRODUCT(($B$3:$B30=B30)*($D$3:$D30="OUT")*$E$3:$E30)</f>
        <v>100</v>
      </c>
      <c r="K30" s="109" t="n">
        <f aca="false">SUMPRODUCT(($B$3:$B30=B30)*($D$3:$D30="IN")*$E$3:$E30*$F$3:$F30)</f>
        <v>607500</v>
      </c>
      <c r="L30" s="110" t="n">
        <f aca="false">IFERROR(K30/MAX(1,SUMPRODUCT(($B$3:$B30=B30)*($D$3:$D30="IN")*$E$3:$E30)),IFERROR(VLOOKUP(B30,ARTICLES!$A$3:$G$500,7,0),0))</f>
        <v>1500</v>
      </c>
      <c r="M30" s="116" t="s">
        <v>291</v>
      </c>
    </row>
    <row r="31" customFormat="false" ht="15" hidden="false" customHeight="true" outlineLevel="0" collapsed="false">
      <c r="A31" s="112" t="n">
        <v>46090</v>
      </c>
      <c r="B31" s="42" t="s">
        <v>119</v>
      </c>
      <c r="C31" s="113" t="str">
        <f aca="false">IFERROR(VLOOKUP(B31,ARTICLES!$A$3:$G$500,2,0),"—")</f>
        <v>Sous-chemise carton</v>
      </c>
      <c r="D31" s="114" t="s">
        <v>255</v>
      </c>
      <c r="E31" s="115" t="n">
        <v>22</v>
      </c>
      <c r="F31" s="115" t="n">
        <f aca="false">IFERROR(VLOOKUP(B31,ARTICLES!$A$3:$G$500,7,0),0)</f>
        <v>100</v>
      </c>
      <c r="G31" s="115" t="n">
        <f aca="false">E31*F31</f>
        <v>2200</v>
      </c>
      <c r="H31" s="107" t="s">
        <v>292</v>
      </c>
      <c r="I31" s="108" t="n">
        <f aca="false">IFERROR(VLOOKUP(B31,ARTICLES!$A$3:$G$500,7,0),0)</f>
        <v>100</v>
      </c>
      <c r="J31" s="109" t="n">
        <f aca="false">SUMPRODUCT(($B$3:$B31=B31)*($D$3:$D31="IN")*$E$3:$E31)-SUMPRODUCT(($B$3:$B31=B31)*($D$3:$D31="OUT")*$E$3:$E31)</f>
        <v>1</v>
      </c>
      <c r="K31" s="109" t="n">
        <f aca="false">SUMPRODUCT(($B$3:$B31=B31)*($D$3:$D31="IN")*$E$3:$E31*$F$3:$F31)</f>
        <v>4800</v>
      </c>
      <c r="L31" s="110" t="n">
        <f aca="false">IFERROR(K31/MAX(1,SUMPRODUCT(($B$3:$B31=B31)*($D$3:$D31="IN")*$E$3:$E31)),IFERROR(VLOOKUP(B31,ARTICLES!$A$3:$G$500,7,0),0))</f>
        <v>100</v>
      </c>
      <c r="M31" s="117" t="s">
        <v>293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5FA5"/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7"/>
    <col collapsed="false" customWidth="true" hidden="false" outlineLevel="0" max="5" min="4" style="1" width="11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1"/>
    <col collapsed="false" customWidth="true" hidden="false" outlineLevel="0" max="9" min="9" style="1" width="16"/>
    <col collapsed="false" customWidth="true" hidden="false" outlineLevel="0" max="10" min="10" style="1" width="11"/>
    <col collapsed="false" customWidth="true" hidden="false" outlineLevel="0" max="11" min="11" style="1" width="14"/>
    <col collapsed="false" customWidth="true" hidden="false" outlineLevel="0" max="12" min="12" style="1" width="3"/>
    <col collapsed="false" customWidth="true" hidden="false" outlineLevel="0" max="13" min="13" style="1" width="26"/>
    <col collapsed="false" customWidth="true" hidden="false" outlineLevel="0" max="14" min="14" style="1" width="9"/>
  </cols>
  <sheetData>
    <row r="1" customFormat="false" ht="27.75" hidden="false" customHeight="true" outlineLevel="0" collapsed="false">
      <c r="A1" s="59" t="s">
        <v>294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customFormat="false" ht="15" hidden="false" customHeight="true" outlineLevel="0" collapsed="false">
      <c r="A2" s="118" t="s">
        <v>295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</row>
    <row r="3" customFormat="false" ht="27.75" hidden="false" customHeight="true" outlineLevel="0" collapsed="false">
      <c r="A3" s="119" t="s">
        <v>140</v>
      </c>
      <c r="B3" s="119" t="s">
        <v>296</v>
      </c>
      <c r="C3" s="119" t="s">
        <v>297</v>
      </c>
      <c r="D3" s="120" t="s">
        <v>298</v>
      </c>
      <c r="E3" s="121" t="s">
        <v>299</v>
      </c>
      <c r="F3" s="122" t="s">
        <v>300</v>
      </c>
      <c r="G3" s="123" t="s">
        <v>52</v>
      </c>
      <c r="H3" s="123" t="s">
        <v>301</v>
      </c>
      <c r="I3" s="123" t="s">
        <v>302</v>
      </c>
      <c r="J3" s="124" t="s">
        <v>303</v>
      </c>
      <c r="K3" s="125" t="s">
        <v>304</v>
      </c>
      <c r="L3" s="60"/>
      <c r="M3" s="126" t="s">
        <v>305</v>
      </c>
      <c r="N3" s="126" t="s">
        <v>306</v>
      </c>
    </row>
    <row r="4" customFormat="false" ht="15" hidden="false" customHeight="true" outlineLevel="0" collapsed="false">
      <c r="A4" s="127" t="s">
        <v>60</v>
      </c>
      <c r="B4" s="128" t="str">
        <f aca="false">IFERROR(VLOOKUP(A4,ARTICLES!$A$3:$G$500,2,0),"")</f>
        <v>Rame papier A4 80g/m²</v>
      </c>
      <c r="C4" s="129" t="str">
        <f aca="false">IFERROR(VLOOKUP(A4,ARTICLES!$A$3:$D$500,4,0),"")</f>
        <v>Rame</v>
      </c>
      <c r="D4" s="130" t="n">
        <f aca="false">SUMIFS(MOUVEMENTS!$E$3:$E$500,MOUVEMENTS!$B$3:$B$500,A4,MOUVEMENTS!$D$3:$D$500,"IN")</f>
        <v>405</v>
      </c>
      <c r="E4" s="131" t="n">
        <f aca="false">SUMIFS(MOUVEMENTS!$E$3:$E$500,MOUVEMENTS!$B$3:$B$500,A4,MOUVEMENTS!$D$3:$D$500,"OUT")</f>
        <v>305</v>
      </c>
      <c r="F4" s="132" t="n">
        <f aca="false">D4-E4</f>
        <v>100</v>
      </c>
      <c r="G4" s="133" t="str">
        <f aca="false">IFERROR(VLOOKUP(A4,ARTICLES!$A$3:$E$500,5,0),0)</f>
        <v>A</v>
      </c>
      <c r="H4" s="110" t="n">
        <f aca="false">IFERROR(LOOKUP(2,1/(MOUVEMENTS!$B$3:$B$500=A4),MOUVEMENTS!$L$3:$L$500),IFERROR(VLOOKUP(A4,ARTICLES!$A$3:$G$500,7,0),0))</f>
        <v>1500</v>
      </c>
      <c r="I4" s="134" t="n">
        <f aca="false">F4*H4</f>
        <v>150000</v>
      </c>
      <c r="J4" s="135" t="str">
        <f aca="false">IFERROR(G4+(SUMIFS(MOUVEMENTS!$E$3:$E$500,MOUVEMENTS!$B$3:$B$500,A4,MOUVEMENTS!$D$3:$D$500,"OUT")/MAX(1,$N$4))*$N$6,G4)</f>
        <v>A</v>
      </c>
      <c r="K4" s="136" t="str">
        <f aca="false">IF(F4=0,"!! RUPTURE",IF(F4&lt;=J4,"&gt;&gt; COMMANDER",IF(F4&lt;=J4*1.25,"~ ALERTE","OK")))</f>
        <v>&gt;&gt; COMMANDER</v>
      </c>
      <c r="L4" s="137"/>
      <c r="M4" s="138" t="s">
        <v>307</v>
      </c>
      <c r="N4" s="139" t="n">
        <v>38</v>
      </c>
    </row>
    <row r="5" customFormat="false" ht="15" hidden="false" customHeight="true" outlineLevel="0" collapsed="false">
      <c r="A5" s="127" t="s">
        <v>70</v>
      </c>
      <c r="B5" s="128" t="str">
        <f aca="false">IFERROR(VLOOKUP(A5,ARTICLES!$A$3:$G$500,2,0),"")</f>
        <v>Toner imprimante G030 (noir)</v>
      </c>
      <c r="C5" s="129" t="str">
        <f aca="false">IFERROR(VLOOKUP(A5,ARTICLES!$A$3:$D$500,4,0),"")</f>
        <v>Unité</v>
      </c>
      <c r="D5" s="130" t="n">
        <f aca="false">SUMIFS(MOUVEMENTS!$E$3:$E$500,MOUVEMENTS!$B$3:$B$500,A5,MOUVEMENTS!$D$3:$D$500,"IN")</f>
        <v>5</v>
      </c>
      <c r="E5" s="131" t="n">
        <f aca="false">SUMIFS(MOUVEMENTS!$E$3:$E$500,MOUVEMENTS!$B$3:$B$500,A5,MOUVEMENTS!$D$3:$D$500,"OUT")</f>
        <v>5</v>
      </c>
      <c r="F5" s="132" t="n">
        <f aca="false">D5-E5</f>
        <v>0</v>
      </c>
      <c r="G5" s="133" t="str">
        <f aca="false">IFERROR(VLOOKUP(A5,ARTICLES!$A$3:$E$500,5,0),0)</f>
        <v>B</v>
      </c>
      <c r="H5" s="110" t="n">
        <f aca="false">IFERROR(LOOKUP(2,1/(MOUVEMENTS!$B$3:$B$500=A5),MOUVEMENTS!$L$3:$L$500),IFERROR(VLOOKUP(A5,ARTICLES!$A$3:$G$500,7,0),0))</f>
        <v>15</v>
      </c>
      <c r="I5" s="134" t="n">
        <f aca="false">F5*H5</f>
        <v>0</v>
      </c>
      <c r="J5" s="135" t="str">
        <f aca="false">IFERROR(G5+(SUMIFS(MOUVEMENTS!$E$3:$E$500,MOUVEMENTS!$B$3:$B$500,A5,MOUVEMENTS!$D$3:$D$500,"OUT")/MAX(1,$N$4))*$N$6,G5)</f>
        <v>B</v>
      </c>
      <c r="K5" s="136" t="str">
        <f aca="false">IF(F5=0,"!! RUPTURE",IF(F5&lt;=J5,"&gt;&gt; COMMANDER",IF(F5&lt;=J5*1.25,"~ ALERTE","OK")))</f>
        <v>!! RUPTURE</v>
      </c>
      <c r="L5" s="137"/>
      <c r="M5" s="138" t="s">
        <v>308</v>
      </c>
      <c r="N5" s="139" t="n">
        <f aca="false">$N$4</f>
        <v>38</v>
      </c>
    </row>
    <row r="6" customFormat="false" ht="15" hidden="false" customHeight="true" outlineLevel="0" collapsed="false">
      <c r="A6" s="127" t="s">
        <v>79</v>
      </c>
      <c r="B6" s="128" t="str">
        <f aca="false">IFERROR(VLOOKUP(A6,ARTICLES!$A$3:$G$500,2,0),"")</f>
        <v>Rame papier A3 80g/m²</v>
      </c>
      <c r="C6" s="129" t="str">
        <f aca="false">IFERROR(VLOOKUP(A6,ARTICLES!$A$3:$D$500,4,0),"")</f>
        <v>Rame</v>
      </c>
      <c r="D6" s="130" t="n">
        <f aca="false">SUMIFS(MOUVEMENTS!$E$3:$E$500,MOUVEMENTS!$B$3:$B$500,A6,MOUVEMENTS!$D$3:$D$500,"IN")</f>
        <v>100</v>
      </c>
      <c r="E6" s="131" t="n">
        <f aca="false">SUMIFS(MOUVEMENTS!$E$3:$E$500,MOUVEMENTS!$B$3:$B$500,A6,MOUVEMENTS!$D$3:$D$500,"OUT")</f>
        <v>98</v>
      </c>
      <c r="F6" s="132" t="n">
        <f aca="false">D6-E6</f>
        <v>2</v>
      </c>
      <c r="G6" s="133" t="str">
        <f aca="false">IFERROR(VLOOKUP(A6,ARTICLES!$A$3:$E$500,5,0),0)</f>
        <v>B</v>
      </c>
      <c r="H6" s="110" t="n">
        <f aca="false">IFERROR(LOOKUP(2,1/(MOUVEMENTS!$B$3:$B$500=A6),MOUVEMENTS!$L$3:$L$500),IFERROR(VLOOKUP(A6,ARTICLES!$A$3:$G$500,7,0),0))</f>
        <v>150</v>
      </c>
      <c r="I6" s="134" t="n">
        <f aca="false">F6*H6</f>
        <v>300</v>
      </c>
      <c r="J6" s="135" t="str">
        <f aca="false">IFERROR(G6+(SUMIFS(MOUVEMENTS!$E$3:$E$500,MOUVEMENTS!$B$3:$B$500,A6,MOUVEMENTS!$D$3:$D$500,"OUT")/MAX(1,$N$4))*$N$6,G6)</f>
        <v>B</v>
      </c>
      <c r="K6" s="136" t="str">
        <f aca="false">IF(F6=0,"!! RUPTURE",IF(F6&lt;=J6,"&gt;&gt; COMMANDER",IF(F6&lt;=J6*1.25,"~ ALERTE","OK")))</f>
        <v>&gt;&gt; COMMANDER</v>
      </c>
      <c r="L6" s="137"/>
      <c r="M6" s="138" t="s">
        <v>309</v>
      </c>
      <c r="N6" s="139" t="n">
        <v>2</v>
      </c>
    </row>
    <row r="7" customFormat="false" ht="15" hidden="false" customHeight="true" outlineLevel="0" collapsed="false">
      <c r="A7" s="127" t="s">
        <v>84</v>
      </c>
      <c r="B7" s="128" t="str">
        <f aca="false">IFERROR(VLOOKUP(A7,ARTICLES!$A$3:$G$500,2,0),"")</f>
        <v>Boîte archives carton</v>
      </c>
      <c r="C7" s="129" t="str">
        <f aca="false">IFERROR(VLOOKUP(A7,ARTICLES!$A$3:$D$500,4,0),"")</f>
        <v>Unité</v>
      </c>
      <c r="D7" s="130" t="n">
        <f aca="false">SUMIFS(MOUVEMENTS!$E$3:$E$500,MOUVEMENTS!$B$3:$B$500,A7,MOUVEMENTS!$D$3:$D$500,"IN")</f>
        <v>240</v>
      </c>
      <c r="E7" s="131" t="n">
        <f aca="false">SUMIFS(MOUVEMENTS!$E$3:$E$500,MOUVEMENTS!$B$3:$B$500,A7,MOUVEMENTS!$D$3:$D$500,"OUT")</f>
        <v>50</v>
      </c>
      <c r="F7" s="132" t="n">
        <f aca="false">D7-E7</f>
        <v>190</v>
      </c>
      <c r="G7" s="133" t="str">
        <f aca="false">IFERROR(VLOOKUP(A7,ARTICLES!$A$3:$E$500,5,0),0)</f>
        <v>C</v>
      </c>
      <c r="H7" s="110" t="n">
        <f aca="false">IFERROR(LOOKUP(2,1/(MOUVEMENTS!$B$3:$B$500=A7),MOUVEMENTS!$L$3:$L$500),IFERROR(VLOOKUP(A7,ARTICLES!$A$3:$G$500,7,0),0))</f>
        <v>200</v>
      </c>
      <c r="I7" s="134" t="n">
        <f aca="false">F7*H7</f>
        <v>38000</v>
      </c>
      <c r="J7" s="135" t="str">
        <f aca="false">IFERROR(G7+(SUMIFS(MOUVEMENTS!$E$3:$E$500,MOUVEMENTS!$B$3:$B$500,A7,MOUVEMENTS!$D$3:$D$500,"OUT")/MAX(1,$N$4))*$N$6,G7)</f>
        <v>C</v>
      </c>
      <c r="K7" s="136" t="str">
        <f aca="false">IF(F7=0,"!! RUPTURE",IF(F7&lt;=J7,"&gt;&gt; COMMANDER",IF(F7&lt;=J7*1.25,"~ ALERTE","OK")))</f>
        <v>&gt;&gt; COMMANDER</v>
      </c>
      <c r="L7" s="137"/>
      <c r="M7" s="137"/>
      <c r="N7" s="137"/>
    </row>
    <row r="8" customFormat="false" ht="15" hidden="false" customHeight="true" outlineLevel="0" collapsed="false">
      <c r="A8" s="127" t="s">
        <v>93</v>
      </c>
      <c r="B8" s="128" t="str">
        <f aca="false">IFERROR(VLOOKUP(A8,ARTICLES!$A$3:$G$500,2,0),"")</f>
        <v>Agrafeuse de bureau</v>
      </c>
      <c r="C8" s="129" t="str">
        <f aca="false">IFERROR(VLOOKUP(A8,ARTICLES!$A$3:$D$500,4,0),"")</f>
        <v>Unité</v>
      </c>
      <c r="D8" s="130" t="n">
        <f aca="false">SUMIFS(MOUVEMENTS!$E$3:$E$500,MOUVEMENTS!$B$3:$B$500,A8,MOUVEMENTS!$D$3:$D$500,"IN")</f>
        <v>4</v>
      </c>
      <c r="E8" s="131" t="n">
        <f aca="false">SUMIFS(MOUVEMENTS!$E$3:$E$500,MOUVEMENTS!$B$3:$B$500,A8,MOUVEMENTS!$D$3:$D$500,"OUT")</f>
        <v>2</v>
      </c>
      <c r="F8" s="132" t="n">
        <f aca="false">D8-E8</f>
        <v>2</v>
      </c>
      <c r="G8" s="133" t="str">
        <f aca="false">IFERROR(VLOOKUP(A8,ARTICLES!$A$3:$E$500,5,0),0)</f>
        <v>C</v>
      </c>
      <c r="H8" s="110" t="n">
        <f aca="false">IFERROR(LOOKUP(2,1/(MOUVEMENTS!$B$3:$B$500=A8),MOUVEMENTS!$L$3:$L$500),IFERROR(VLOOKUP(A8,ARTICLES!$A$3:$G$500,7,0),0))</f>
        <v>10</v>
      </c>
      <c r="I8" s="134" t="n">
        <f aca="false">F8*H8</f>
        <v>20</v>
      </c>
      <c r="J8" s="135" t="str">
        <f aca="false">IFERROR(G8+(SUMIFS(MOUVEMENTS!$E$3:$E$500,MOUVEMENTS!$B$3:$B$500,A8,MOUVEMENTS!$D$3:$D$500,"OUT")/MAX(1,$N$4))*$N$6,G8)</f>
        <v>C</v>
      </c>
      <c r="K8" s="136" t="str">
        <f aca="false">IF(F8=0,"!! RUPTURE",IF(F8&lt;=J8,"&gt;&gt; COMMANDER",IF(F8&lt;=J8*1.25,"~ ALERTE","OK")))</f>
        <v>&gt;&gt; COMMANDER</v>
      </c>
      <c r="L8" s="137"/>
      <c r="M8" s="137"/>
      <c r="N8" s="137"/>
    </row>
    <row r="9" customFormat="false" ht="15" hidden="false" customHeight="true" outlineLevel="0" collapsed="false">
      <c r="A9" s="127" t="s">
        <v>99</v>
      </c>
      <c r="B9" s="128" t="str">
        <f aca="false">IFERROR(VLOOKUP(A9,ARTICLES!$A$3:$G$500,2,0),"")</f>
        <v>Stylos bille boîte/50</v>
      </c>
      <c r="C9" s="129" t="str">
        <f aca="false">IFERROR(VLOOKUP(A9,ARTICLES!$A$3:$D$500,4,0),"")</f>
        <v>Boîte</v>
      </c>
      <c r="D9" s="130" t="n">
        <f aca="false">SUMIFS(MOUVEMENTS!$E$3:$E$500,MOUVEMENTS!$B$3:$B$500,A9,MOUVEMENTS!$D$3:$D$500,"IN")</f>
        <v>50</v>
      </c>
      <c r="E9" s="131" t="n">
        <f aca="false">SUMIFS(MOUVEMENTS!$E$3:$E$500,MOUVEMENTS!$B$3:$B$500,A9,MOUVEMENTS!$D$3:$D$500,"OUT")</f>
        <v>20</v>
      </c>
      <c r="F9" s="132" t="n">
        <f aca="false">D9-E9</f>
        <v>30</v>
      </c>
      <c r="G9" s="133" t="str">
        <f aca="false">IFERROR(VLOOKUP(A9,ARTICLES!$A$3:$E$500,5,0),0)</f>
        <v>C</v>
      </c>
      <c r="H9" s="110" t="n">
        <f aca="false">IFERROR(LOOKUP(2,1/(MOUVEMENTS!$B$3:$B$500=A9),MOUVEMENTS!$L$3:$L$500),IFERROR(VLOOKUP(A9,ARTICLES!$A$3:$G$500,7,0),0))</f>
        <v>30</v>
      </c>
      <c r="I9" s="134" t="n">
        <f aca="false">F9*H9</f>
        <v>900</v>
      </c>
      <c r="J9" s="135" t="str">
        <f aca="false">IFERROR(G9+(SUMIFS(MOUVEMENTS!$E$3:$E$500,MOUVEMENTS!$B$3:$B$500,A9,MOUVEMENTS!$D$3:$D$500,"OUT")/MAX(1,$N$4))*$N$6,G9)</f>
        <v>C</v>
      </c>
      <c r="K9" s="136" t="str">
        <f aca="false">IF(F9=0,"!! RUPTURE",IF(F9&lt;=J9,"&gt;&gt; COMMANDER",IF(F9&lt;=J9*1.25,"~ ALERTE","OK")))</f>
        <v>&gt;&gt; COMMANDER</v>
      </c>
      <c r="L9" s="137"/>
      <c r="M9" s="137"/>
      <c r="N9" s="137"/>
    </row>
    <row r="10" customFormat="false" ht="15" hidden="false" customHeight="true" outlineLevel="0" collapsed="false">
      <c r="A10" s="127" t="s">
        <v>106</v>
      </c>
      <c r="B10" s="128" t="str">
        <f aca="false">IFERROR(VLOOKUP(A10,ARTICLES!$A$3:$G$500,2,0),"")</f>
        <v>Registre grand format 5m</v>
      </c>
      <c r="C10" s="129" t="str">
        <f aca="false">IFERROR(VLOOKUP(A10,ARTICLES!$A$3:$D$500,4,0),"")</f>
        <v>Unité</v>
      </c>
      <c r="D10" s="130" t="n">
        <f aca="false">SUMIFS(MOUVEMENTS!$E$3:$E$500,MOUVEMENTS!$B$3:$B$500,A10,MOUVEMENTS!$D$3:$D$500,"IN")</f>
        <v>3</v>
      </c>
      <c r="E10" s="131" t="n">
        <f aca="false">SUMIFS(MOUVEMENTS!$E$3:$E$500,MOUVEMENTS!$B$3:$B$500,A10,MOUVEMENTS!$D$3:$D$500,"OUT")</f>
        <v>0</v>
      </c>
      <c r="F10" s="132" t="n">
        <f aca="false">D10-E10</f>
        <v>3</v>
      </c>
      <c r="G10" s="133" t="str">
        <f aca="false">IFERROR(VLOOKUP(A10,ARTICLES!$A$3:$E$500,5,0),0)</f>
        <v>C</v>
      </c>
      <c r="H10" s="110" t="n">
        <f aca="false">IFERROR(LOOKUP(2,1/(MOUVEMENTS!$B$3:$B$500=A10),MOUVEMENTS!$L$3:$L$500),IFERROR(VLOOKUP(A10,ARTICLES!$A$3:$G$500,7,0),0))</f>
        <v>10</v>
      </c>
      <c r="I10" s="134" t="n">
        <f aca="false">F10*H10</f>
        <v>30</v>
      </c>
      <c r="J10" s="135" t="str">
        <f aca="false">IFERROR(G10+(SUMIFS(MOUVEMENTS!$E$3:$E$500,MOUVEMENTS!$B$3:$B$500,A10,MOUVEMENTS!$D$3:$D$500,"OUT")/MAX(1,$N$4))*$N$6,G10)</f>
        <v>C</v>
      </c>
      <c r="K10" s="136" t="str">
        <f aca="false">IF(F10=0,"!! RUPTURE",IF(F10&lt;=J10,"&gt;&gt; COMMANDER",IF(F10&lt;=J10*1.25,"~ ALERTE","OK")))</f>
        <v>&gt;&gt; COMMANDER</v>
      </c>
      <c r="L10" s="137"/>
      <c r="M10" s="137"/>
      <c r="N10" s="137"/>
    </row>
    <row r="11" customFormat="false" ht="15" hidden="false" customHeight="true" outlineLevel="0" collapsed="false">
      <c r="A11" s="127" t="s">
        <v>113</v>
      </c>
      <c r="B11" s="128" t="str">
        <f aca="false">IFERROR(VLOOKUP(A11,ARTICLES!$A$3:$G$500,2,0),"")</f>
        <v>Encre tampon</v>
      </c>
      <c r="C11" s="129" t="str">
        <f aca="false">IFERROR(VLOOKUP(A11,ARTICLES!$A$3:$D$500,4,0),"")</f>
        <v>Unité</v>
      </c>
      <c r="D11" s="130" t="n">
        <f aca="false">SUMIFS(MOUVEMENTS!$E$3:$E$500,MOUVEMENTS!$B$3:$B$500,A11,MOUVEMENTS!$D$3:$D$500,"IN")</f>
        <v>5</v>
      </c>
      <c r="E11" s="131" t="n">
        <f aca="false">SUMIFS(MOUVEMENTS!$E$3:$E$500,MOUVEMENTS!$B$3:$B$500,A11,MOUVEMENTS!$D$3:$D$500,"OUT")</f>
        <v>0</v>
      </c>
      <c r="F11" s="132" t="n">
        <f aca="false">D11-E11</f>
        <v>5</v>
      </c>
      <c r="G11" s="133" t="str">
        <f aca="false">IFERROR(VLOOKUP(A11,ARTICLES!$A$3:$E$500,5,0),0)</f>
        <v>C</v>
      </c>
      <c r="H11" s="110" t="n">
        <f aca="false">IFERROR(LOOKUP(2,1/(MOUVEMENTS!$B$3:$B$500=A11),MOUVEMENTS!$L$3:$L$500),IFERROR(VLOOKUP(A11,ARTICLES!$A$3:$G$500,7,0),0))</f>
        <v>10</v>
      </c>
      <c r="I11" s="134" t="n">
        <f aca="false">F11*H11</f>
        <v>50</v>
      </c>
      <c r="J11" s="135" t="str">
        <f aca="false">IFERROR(G11+(SUMIFS(MOUVEMENTS!$E$3:$E$500,MOUVEMENTS!$B$3:$B$500,A11,MOUVEMENTS!$D$3:$D$500,"OUT")/MAX(1,$N$4))*$N$6,G11)</f>
        <v>C</v>
      </c>
      <c r="K11" s="136" t="str">
        <f aca="false">IF(F11=0,"!! RUPTURE",IF(F11&lt;=J11,"&gt;&gt; COMMANDER",IF(F11&lt;=J11*1.25,"~ ALERTE","OK")))</f>
        <v>&gt;&gt; COMMANDER</v>
      </c>
      <c r="L11" s="137"/>
      <c r="M11" s="137"/>
      <c r="N11" s="137"/>
    </row>
    <row r="12" customFormat="false" ht="15" hidden="false" customHeight="true" outlineLevel="0" collapsed="false">
      <c r="A12" s="127" t="s">
        <v>119</v>
      </c>
      <c r="B12" s="128" t="str">
        <f aca="false">IFERROR(VLOOKUP(A12,ARTICLES!$A$3:$G$500,2,0),"")</f>
        <v>Sous-chemise carton</v>
      </c>
      <c r="C12" s="129" t="str">
        <f aca="false">IFERROR(VLOOKUP(A12,ARTICLES!$A$3:$D$500,4,0),"")</f>
        <v>Unité</v>
      </c>
      <c r="D12" s="130" t="n">
        <f aca="false">SUMIFS(MOUVEMENTS!$E$3:$E$500,MOUVEMENTS!$B$3:$B$500,A12,MOUVEMENTS!$D$3:$D$500,"IN")</f>
        <v>48</v>
      </c>
      <c r="E12" s="131" t="n">
        <f aca="false">SUMIFS(MOUVEMENTS!$E$3:$E$500,MOUVEMENTS!$B$3:$B$500,A12,MOUVEMENTS!$D$3:$D$500,"OUT")</f>
        <v>47</v>
      </c>
      <c r="F12" s="132" t="n">
        <f aca="false">D12-E12</f>
        <v>1</v>
      </c>
      <c r="G12" s="133" t="str">
        <f aca="false">IFERROR(VLOOKUP(A12,ARTICLES!$A$3:$E$500,5,0),0)</f>
        <v>C</v>
      </c>
      <c r="H12" s="110" t="n">
        <f aca="false">IFERROR(LOOKUP(2,1/(MOUVEMENTS!$B$3:$B$500=A12),MOUVEMENTS!$L$3:$L$500),IFERROR(VLOOKUP(A12,ARTICLES!$A$3:$G$500,7,0),0))</f>
        <v>100</v>
      </c>
      <c r="I12" s="134" t="n">
        <f aca="false">F12*H12</f>
        <v>100</v>
      </c>
      <c r="J12" s="135" t="str">
        <f aca="false">IFERROR(G12+(SUMIFS(MOUVEMENTS!$E$3:$E$500,MOUVEMENTS!$B$3:$B$500,A12,MOUVEMENTS!$D$3:$D$500,"OUT")/MAX(1,$N$4))*$N$6,G12)</f>
        <v>C</v>
      </c>
      <c r="K12" s="136" t="str">
        <f aca="false">IF(F12=0,"!! RUPTURE",IF(F12&lt;=J12,"&gt;&gt; COMMANDER",IF(F12&lt;=J12*1.25,"~ ALERTE","OK")))</f>
        <v>&gt;&gt; COMMANDER</v>
      </c>
      <c r="L12" s="137"/>
      <c r="M12" s="137"/>
      <c r="N12" s="137"/>
    </row>
    <row r="13" customFormat="false" ht="15" hidden="false" customHeight="true" outlineLevel="0" collapsed="false">
      <c r="A13" s="127" t="s">
        <v>123</v>
      </c>
      <c r="B13" s="128" t="str">
        <f aca="false">IFERROR(VLOOKUP(A13,ARTICLES!$A$3:$G$500,2,0),"")</f>
        <v>Chemise cartonnée</v>
      </c>
      <c r="C13" s="129" t="str">
        <f aca="false">IFERROR(VLOOKUP(A13,ARTICLES!$A$3:$D$500,4,0),"")</f>
        <v>Unité</v>
      </c>
      <c r="D13" s="130" t="n">
        <f aca="false">SUMIFS(MOUVEMENTS!$E$3:$E$500,MOUVEMENTS!$B$3:$B$500,A13,MOUVEMENTS!$D$3:$D$500,"IN")</f>
        <v>24</v>
      </c>
      <c r="E13" s="131" t="n">
        <f aca="false">SUMIFS(MOUVEMENTS!$E$3:$E$500,MOUVEMENTS!$B$3:$B$500,A13,MOUVEMENTS!$D$3:$D$500,"OUT")</f>
        <v>10</v>
      </c>
      <c r="F13" s="132" t="n">
        <f aca="false">D13-E13</f>
        <v>14</v>
      </c>
      <c r="G13" s="133" t="str">
        <f aca="false">IFERROR(VLOOKUP(A13,ARTICLES!$A$3:$E$500,5,0),0)</f>
        <v>C</v>
      </c>
      <c r="H13" s="110" t="n">
        <f aca="false">IFERROR(LOOKUP(2,1/(MOUVEMENTS!$B$3:$B$500=A13),MOUVEMENTS!$L$3:$L$500),IFERROR(VLOOKUP(A13,ARTICLES!$A$3:$G$500,7,0),0))</f>
        <v>50</v>
      </c>
      <c r="I13" s="134" t="n">
        <f aca="false">F13*H13</f>
        <v>700</v>
      </c>
      <c r="J13" s="135" t="str">
        <f aca="false">IFERROR(G13+(SUMIFS(MOUVEMENTS!$E$3:$E$500,MOUVEMENTS!$B$3:$B$500,A13,MOUVEMENTS!$D$3:$D$500,"OUT")/MAX(1,$N$4))*$N$6,G13)</f>
        <v>C</v>
      </c>
      <c r="K13" s="136" t="str">
        <f aca="false">IF(F13=0,"!! RUPTURE",IF(F13&lt;=J13,"&gt;&gt; COMMANDER",IF(F13&lt;=J13*1.25,"~ ALERTE","OK")))</f>
        <v>&gt;&gt; COMMANDER</v>
      </c>
      <c r="L13" s="137"/>
      <c r="M13" s="137"/>
      <c r="N13" s="137"/>
    </row>
    <row r="14" customFormat="false" ht="15" hidden="false" customHeight="true" outlineLevel="0" collapsed="false">
      <c r="A14" s="127" t="s">
        <v>127</v>
      </c>
      <c r="B14" s="128" t="str">
        <f aca="false">IFERROR(VLOOKUP(A14,ARTICLES!$A$3:$G$500,2,0),"")</f>
        <v>Rouleau papier fax</v>
      </c>
      <c r="C14" s="129" t="str">
        <f aca="false">IFERROR(VLOOKUP(A14,ARTICLES!$A$3:$D$500,4,0),"")</f>
        <v>Rouleau</v>
      </c>
      <c r="D14" s="130" t="n">
        <f aca="false">SUMIFS(MOUVEMENTS!$E$3:$E$500,MOUVEMENTS!$B$3:$B$500,A14,MOUVEMENTS!$D$3:$D$500,"IN")</f>
        <v>2</v>
      </c>
      <c r="E14" s="131" t="n">
        <f aca="false">SUMIFS(MOUVEMENTS!$E$3:$E$500,MOUVEMENTS!$B$3:$B$500,A14,MOUVEMENTS!$D$3:$D$500,"OUT")</f>
        <v>0</v>
      </c>
      <c r="F14" s="132" t="n">
        <f aca="false">D14-E14</f>
        <v>2</v>
      </c>
      <c r="G14" s="133" t="str">
        <f aca="false">IFERROR(VLOOKUP(A14,ARTICLES!$A$3:$E$500,5,0),0)</f>
        <v>C</v>
      </c>
      <c r="H14" s="110" t="n">
        <f aca="false">IFERROR(LOOKUP(2,1/(MOUVEMENTS!$B$3:$B$500=A14),MOUVEMENTS!$L$3:$L$500),IFERROR(VLOOKUP(A14,ARTICLES!$A$3:$G$500,7,0),0))</f>
        <v>5</v>
      </c>
      <c r="I14" s="134" t="n">
        <f aca="false">F14*H14</f>
        <v>10</v>
      </c>
      <c r="J14" s="135" t="str">
        <f aca="false">IFERROR(G14+(SUMIFS(MOUVEMENTS!$E$3:$E$500,MOUVEMENTS!$B$3:$B$500,A14,MOUVEMENTS!$D$3:$D$500,"OUT")/MAX(1,$N$4))*$N$6,G14)</f>
        <v>C</v>
      </c>
      <c r="K14" s="136" t="str">
        <f aca="false">IF(F14=0,"!! RUPTURE",IF(F14&lt;=J14,"&gt;&gt; COMMANDER",IF(F14&lt;=J14*1.25,"~ ALERTE","OK")))</f>
        <v>&gt;&gt; COMMANDER</v>
      </c>
      <c r="L14" s="137"/>
      <c r="M14" s="137"/>
      <c r="N14" s="137"/>
    </row>
    <row r="15" customFormat="false" ht="15" hidden="false" customHeight="true" outlineLevel="0" collapsed="false">
      <c r="A15" s="127" t="s">
        <v>134</v>
      </c>
      <c r="B15" s="128" t="str">
        <f aca="false">IFERROR(VLOOKUP(A15,ARTICLES!$A$3:$G$500,2,0),"")</f>
        <v>Marqueur permanent noir</v>
      </c>
      <c r="C15" s="129" t="str">
        <f aca="false">IFERROR(VLOOKUP(A15,ARTICLES!$A$3:$D$500,4,0),"")</f>
        <v>Unité</v>
      </c>
      <c r="D15" s="130" t="n">
        <f aca="false">SUMIFS(MOUVEMENTS!$E$3:$E$500,MOUVEMENTS!$B$3:$B$500,A15,MOUVEMENTS!$D$3:$D$500,"IN")</f>
        <v>16</v>
      </c>
      <c r="E15" s="131" t="n">
        <f aca="false">SUMIFS(MOUVEMENTS!$E$3:$E$500,MOUVEMENTS!$B$3:$B$500,A15,MOUVEMENTS!$D$3:$D$500,"OUT")</f>
        <v>0</v>
      </c>
      <c r="F15" s="132" t="n">
        <f aca="false">D15-E15</f>
        <v>16</v>
      </c>
      <c r="G15" s="133" t="str">
        <f aca="false">IFERROR(VLOOKUP(A15,ARTICLES!$A$3:$E$500,5,0),0)</f>
        <v>C</v>
      </c>
      <c r="H15" s="110" t="n">
        <f aca="false">IFERROR(LOOKUP(2,1/(MOUVEMENTS!$B$3:$B$500=A15),MOUVEMENTS!$L$3:$L$500),IFERROR(VLOOKUP(A15,ARTICLES!$A$3:$G$500,7,0),0))</f>
        <v>30</v>
      </c>
      <c r="I15" s="134" t="n">
        <f aca="false">F15*H15</f>
        <v>480</v>
      </c>
      <c r="J15" s="135" t="str">
        <f aca="false">IFERROR(G15+(SUMIFS(MOUVEMENTS!$E$3:$E$500,MOUVEMENTS!$B$3:$B$500,A15,MOUVEMENTS!$D$3:$D$500,"OUT")/MAX(1,$N$4))*$N$6,G15)</f>
        <v>C</v>
      </c>
      <c r="K15" s="136" t="str">
        <f aca="false">IF(F15=0,"!! RUPTURE",IF(F15&lt;=J15,"&gt;&gt; COMMANDER",IF(F15&lt;=J15*1.25,"~ ALERTE","OK")))</f>
        <v>&gt;&gt; COMMANDER</v>
      </c>
      <c r="L15" s="137"/>
      <c r="M15" s="137"/>
      <c r="N15" s="137"/>
    </row>
    <row r="17" customFormat="false" ht="15" hidden="false" customHeight="true" outlineLevel="0" collapsed="false">
      <c r="A17" s="140" t="s">
        <v>310</v>
      </c>
      <c r="B17" s="140"/>
      <c r="D17" s="141"/>
      <c r="E17" s="141"/>
      <c r="F17" s="135" t="n">
        <f aca="false">SUM(F4:F16)</f>
        <v>365</v>
      </c>
      <c r="G17" s="141"/>
      <c r="H17" s="141"/>
      <c r="I17" s="142" t="n">
        <f aca="false">SUM(I4:I16)</f>
        <v>190590</v>
      </c>
      <c r="J17" s="141"/>
      <c r="K17" s="141"/>
      <c r="L17" s="141"/>
      <c r="M17" s="141"/>
      <c r="N17" s="141"/>
    </row>
    <row r="19" customFormat="false" ht="15" hidden="false" customHeight="true" outlineLevel="0" collapsed="false">
      <c r="A19" s="143" t="s">
        <v>311</v>
      </c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</row>
  </sheetData>
  <mergeCells count="4">
    <mergeCell ref="A1:N1"/>
    <mergeCell ref="A2:N2"/>
    <mergeCell ref="A17:B17"/>
    <mergeCell ref="A19:N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34"/>
  </cols>
  <sheetData>
    <row r="1" customFormat="false" ht="31.5" hidden="false" customHeight="true" outlineLevel="0" collapsed="false">
      <c r="A1" s="144" t="s">
        <v>312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</row>
    <row r="2" customFormat="false" ht="15" hidden="false" customHeight="false" outlineLevel="0" collapsed="false">
      <c r="A2" s="145" t="s">
        <v>313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</row>
    <row r="3" customFormat="false" ht="15.75" hidden="false" customHeight="true" outlineLevel="0" collapsed="false">
      <c r="A3" s="146" t="s">
        <v>314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</row>
    <row r="4" customFormat="false" ht="13.5" hidden="false" customHeight="true" outlineLevel="0" collapsed="false"/>
    <row r="5" customFormat="false" ht="24" hidden="false" customHeight="true" outlineLevel="0" collapsed="false">
      <c r="A5" s="147" t="s">
        <v>315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</row>
    <row r="6" customFormat="false" ht="15" hidden="false" customHeight="false" outlineLevel="0" collapsed="false">
      <c r="A6" s="148" t="s">
        <v>316</v>
      </c>
      <c r="B6" s="148"/>
      <c r="C6" s="148"/>
      <c r="D6" s="149" t="s">
        <v>317</v>
      </c>
      <c r="E6" s="149"/>
      <c r="F6" s="149"/>
      <c r="G6" s="150" t="s">
        <v>318</v>
      </c>
      <c r="H6" s="150"/>
      <c r="I6" s="150"/>
      <c r="J6" s="151" t="s">
        <v>319</v>
      </c>
      <c r="K6" s="151"/>
    </row>
    <row r="7" customFormat="false" ht="43.5" hidden="false" customHeight="true" outlineLevel="0" collapsed="false">
      <c r="A7" s="152" t="n">
        <f aca="false">COUNTIF('TABLEAU DE BORD'!$K$4:$K$15,"!! RUPTURE")</f>
        <v>1</v>
      </c>
      <c r="B7" s="152"/>
      <c r="C7" s="152"/>
      <c r="D7" s="153" t="n">
        <f aca="false">COUNTIF('TABLEAU DE BORD'!$K$4:$K$15,"&gt;&gt; COMMANDER")</f>
        <v>11</v>
      </c>
      <c r="E7" s="153"/>
      <c r="F7" s="153"/>
      <c r="G7" s="154" t="n">
        <f aca="false">COUNTIF('TABLEAU DE BORD'!$K$4:$K$15,"~ ALERTE")</f>
        <v>0</v>
      </c>
      <c r="H7" s="154"/>
      <c r="I7" s="154"/>
      <c r="J7" s="155" t="n">
        <f aca="false">COUNTIF('TABLEAU DE BORD'!$K$4:$K$15,"OK")</f>
        <v>0</v>
      </c>
      <c r="K7" s="155"/>
    </row>
    <row r="8" customFormat="false" ht="18" hidden="false" customHeight="true" outlineLevel="0" collapsed="false">
      <c r="A8" s="156" t="str">
        <f aca="false">COUNTIF('TABLEAU DE BORD'!$K$4:$K$15,"!! RUPTURE")&amp;" / 12 articles"</f>
        <v>1 / 12 articles</v>
      </c>
      <c r="B8" s="156"/>
      <c r="C8" s="156"/>
      <c r="D8" s="156" t="str">
        <f aca="false">COUNTIF('TABLEAU DE BORD'!$K$4:$K$15,"&gt;&gt; COMMANDER")&amp;" / 12 articles"</f>
        <v>11 / 12 articles</v>
      </c>
      <c r="E8" s="156"/>
      <c r="F8" s="156"/>
      <c r="G8" s="156" t="str">
        <f aca="false">COUNTIF('TABLEAU DE BORD'!$K$4:$K$15,"~ ALERTE")&amp;" / 12 articles"</f>
        <v>0 / 12 articles</v>
      </c>
      <c r="H8" s="156"/>
      <c r="I8" s="156"/>
      <c r="J8" s="156" t="str">
        <f aca="false">COUNTIF('TABLEAU DE BORD'!$K$4:$K$15,"OK")&amp;" / 12 articles"</f>
        <v>0 / 12 articles</v>
      </c>
      <c r="K8" s="156"/>
    </row>
    <row r="9" customFormat="false" ht="9.75" hidden="false" customHeight="true" outlineLevel="0" collapsed="false"/>
    <row r="10" customFormat="false" ht="24" hidden="false" customHeight="true" outlineLevel="0" collapsed="false">
      <c r="A10" s="147" t="s">
        <v>320</v>
      </c>
      <c r="B10" s="147"/>
      <c r="C10" s="147"/>
      <c r="D10" s="147"/>
      <c r="E10" s="147"/>
      <c r="F10" s="147"/>
      <c r="G10" s="147"/>
      <c r="H10" s="147"/>
      <c r="I10" s="147"/>
      <c r="J10" s="147"/>
      <c r="K10" s="147"/>
    </row>
    <row r="11" customFormat="false" ht="27.75" hidden="false" customHeight="true" outlineLevel="0" collapsed="false">
      <c r="A11" s="157" t="s">
        <v>140</v>
      </c>
      <c r="B11" s="157" t="s">
        <v>296</v>
      </c>
      <c r="C11" s="157" t="s">
        <v>297</v>
      </c>
      <c r="D11" s="157" t="s">
        <v>321</v>
      </c>
      <c r="E11" s="157" t="s">
        <v>52</v>
      </c>
      <c r="F11" s="157" t="s">
        <v>322</v>
      </c>
      <c r="G11" s="157" t="s">
        <v>304</v>
      </c>
      <c r="H11" s="157" t="s">
        <v>301</v>
      </c>
      <c r="I11" s="157" t="s">
        <v>245</v>
      </c>
      <c r="J11" s="157" t="s">
        <v>323</v>
      </c>
      <c r="K11" s="157" t="s">
        <v>324</v>
      </c>
    </row>
    <row r="12" customFormat="false" ht="21.75" hidden="false" customHeight="true" outlineLevel="0" collapsed="false">
      <c r="A12" s="127" t="str">
        <f aca="false">'TABLEAU DE BORD'!A4</f>
        <v>ART-001</v>
      </c>
      <c r="B12" s="64" t="str">
        <f aca="false">'TABLEAU DE BORD'!B4</f>
        <v>Rame papier A4 80g/m²</v>
      </c>
      <c r="C12" s="63" t="str">
        <f aca="false">'TABLEAU DE BORD'!C4</f>
        <v>Rame</v>
      </c>
      <c r="D12" s="158" t="n">
        <f aca="false">'TABLEAU DE BORD'!F4</f>
        <v>100</v>
      </c>
      <c r="E12" s="159" t="str">
        <f aca="false">'TABLEAU DE BORD'!G4</f>
        <v>A</v>
      </c>
      <c r="F12" s="159" t="str">
        <f aca="false">'TABLEAU DE BORD'!J4</f>
        <v>A</v>
      </c>
      <c r="G12" s="127" t="str">
        <f aca="false">'TABLEAU DE BORD'!K4</f>
        <v>&gt;&gt; COMMANDER</v>
      </c>
      <c r="H12" s="160" t="n">
        <f aca="false">'TABLEAU DE BORD'!H4</f>
        <v>1500</v>
      </c>
      <c r="I12" s="161" t="n">
        <f aca="false">'TABLEAU DE BORD'!I4</f>
        <v>150000</v>
      </c>
      <c r="J12" s="162" t="str">
        <f aca="false">IF('TABLEAU DE BORD'!K4="!! RUPTURE","1 — CRITIQUE",IF('TABLEAU DE BORD'!K4="&gt;&gt; COMMANDER","2 — URGENT",IF('TABLEAU DE BORD'!K4="~ ALERTE","3 — ATTENTION","4 — Normal")))</f>
        <v>2 — URGENT</v>
      </c>
      <c r="K12" s="163" t="str">
        <f aca="false">IF('TABLEAU DE BORD'!K4="!! RUPTURE","⛔ BLOQUER sorties — Lancer BC immédiatement",IF('TABLEAU DE BORD'!K4="&gt;&gt; COMMANDER","📋 Émettre BC maintenant (stock ≤ ROP)",IF('TABLEAU DE BORD'!K4="~ ALERTE","⚠ Surveiller — préparer commande sous 3 jours","✔ Aucune action requise")))</f>
        <v>📋 Émettre BC maintenant (stock ≤ ROP)</v>
      </c>
    </row>
    <row r="13" customFormat="false" ht="21.75" hidden="false" customHeight="true" outlineLevel="0" collapsed="false">
      <c r="A13" s="127" t="str">
        <f aca="false">'TABLEAU DE BORD'!A5</f>
        <v>ART-002</v>
      </c>
      <c r="B13" s="164" t="str">
        <f aca="false">'TABLEAU DE BORD'!B5</f>
        <v>Toner imprimante G030 (noir)</v>
      </c>
      <c r="C13" s="165" t="str">
        <f aca="false">'TABLEAU DE BORD'!C5</f>
        <v>Unité</v>
      </c>
      <c r="D13" s="158" t="n">
        <f aca="false">'TABLEAU DE BORD'!F5</f>
        <v>0</v>
      </c>
      <c r="E13" s="108" t="str">
        <f aca="false">'TABLEAU DE BORD'!G5</f>
        <v>B</v>
      </c>
      <c r="F13" s="108" t="str">
        <f aca="false">'TABLEAU DE BORD'!J5</f>
        <v>B</v>
      </c>
      <c r="G13" s="127" t="str">
        <f aca="false">'TABLEAU DE BORD'!K5</f>
        <v>!! RUPTURE</v>
      </c>
      <c r="H13" s="166" t="n">
        <f aca="false">'TABLEAU DE BORD'!H5</f>
        <v>15</v>
      </c>
      <c r="I13" s="167" t="n">
        <f aca="false">'TABLEAU DE BORD'!I5</f>
        <v>0</v>
      </c>
      <c r="J13" s="162" t="str">
        <f aca="false">IF('TABLEAU DE BORD'!K5="!! RUPTURE","1 — CRITIQUE",IF('TABLEAU DE BORD'!K5="&gt;&gt; COMMANDER","2 — URGENT",IF('TABLEAU DE BORD'!K5="~ ALERTE","3 — ATTENTION","4 — Normal")))</f>
        <v>1 — CRITIQUE</v>
      </c>
      <c r="K13" s="163" t="str">
        <f aca="false">IF('TABLEAU DE BORD'!K5="!! RUPTURE","⛔ BLOQUER sorties — Lancer BC immédiatement",IF('TABLEAU DE BORD'!K5="&gt;&gt; COMMANDER","📋 Émettre BC maintenant (stock ≤ ROP)",IF('TABLEAU DE BORD'!K5="~ ALERTE","⚠ Surveiller — préparer commande sous 3 jours","✔ Aucune action requise")))</f>
        <v>⛔ BLOQUER sorties — Lancer BC immédiatement</v>
      </c>
    </row>
    <row r="14" customFormat="false" ht="21.75" hidden="false" customHeight="true" outlineLevel="0" collapsed="false">
      <c r="A14" s="127" t="str">
        <f aca="false">'TABLEAU DE BORD'!A6</f>
        <v>ART-003</v>
      </c>
      <c r="B14" s="64" t="str">
        <f aca="false">'TABLEAU DE BORD'!B6</f>
        <v>Rame papier A3 80g/m²</v>
      </c>
      <c r="C14" s="63" t="str">
        <f aca="false">'TABLEAU DE BORD'!C6</f>
        <v>Rame</v>
      </c>
      <c r="D14" s="158" t="n">
        <f aca="false">'TABLEAU DE BORD'!F6</f>
        <v>2</v>
      </c>
      <c r="E14" s="159" t="str">
        <f aca="false">'TABLEAU DE BORD'!G6</f>
        <v>B</v>
      </c>
      <c r="F14" s="159" t="str">
        <f aca="false">'TABLEAU DE BORD'!J6</f>
        <v>B</v>
      </c>
      <c r="G14" s="127" t="str">
        <f aca="false">'TABLEAU DE BORD'!K6</f>
        <v>&gt;&gt; COMMANDER</v>
      </c>
      <c r="H14" s="160" t="n">
        <f aca="false">'TABLEAU DE BORD'!H6</f>
        <v>150</v>
      </c>
      <c r="I14" s="161" t="n">
        <f aca="false">'TABLEAU DE BORD'!I6</f>
        <v>300</v>
      </c>
      <c r="J14" s="162" t="str">
        <f aca="false">IF('TABLEAU DE BORD'!K6="!! RUPTURE","1 — CRITIQUE",IF('TABLEAU DE BORD'!K6="&gt;&gt; COMMANDER","2 — URGENT",IF('TABLEAU DE BORD'!K6="~ ALERTE","3 — ATTENTION","4 — Normal")))</f>
        <v>2 — URGENT</v>
      </c>
      <c r="K14" s="163" t="str">
        <f aca="false">IF('TABLEAU DE BORD'!K6="!! RUPTURE","⛔ BLOQUER sorties — Lancer BC immédiatement",IF('TABLEAU DE BORD'!K6="&gt;&gt; COMMANDER","📋 Émettre BC maintenant (stock ≤ ROP)",IF('TABLEAU DE BORD'!K6="~ ALERTE","⚠ Surveiller — préparer commande sous 3 jours","✔ Aucune action requise")))</f>
        <v>📋 Émettre BC maintenant (stock ≤ ROP)</v>
      </c>
    </row>
    <row r="15" customFormat="false" ht="21.75" hidden="false" customHeight="true" outlineLevel="0" collapsed="false">
      <c r="A15" s="127" t="str">
        <f aca="false">'TABLEAU DE BORD'!A7</f>
        <v>ART-004</v>
      </c>
      <c r="B15" s="164" t="str">
        <f aca="false">'TABLEAU DE BORD'!B7</f>
        <v>Boîte archives carton</v>
      </c>
      <c r="C15" s="165" t="str">
        <f aca="false">'TABLEAU DE BORD'!C7</f>
        <v>Unité</v>
      </c>
      <c r="D15" s="158" t="n">
        <f aca="false">'TABLEAU DE BORD'!F7</f>
        <v>190</v>
      </c>
      <c r="E15" s="108" t="str">
        <f aca="false">'TABLEAU DE BORD'!G7</f>
        <v>C</v>
      </c>
      <c r="F15" s="108" t="str">
        <f aca="false">'TABLEAU DE BORD'!J7</f>
        <v>C</v>
      </c>
      <c r="G15" s="127" t="str">
        <f aca="false">'TABLEAU DE BORD'!K7</f>
        <v>&gt;&gt; COMMANDER</v>
      </c>
      <c r="H15" s="166" t="n">
        <f aca="false">'TABLEAU DE BORD'!H7</f>
        <v>200</v>
      </c>
      <c r="I15" s="167" t="n">
        <f aca="false">'TABLEAU DE BORD'!I7</f>
        <v>38000</v>
      </c>
      <c r="J15" s="162" t="str">
        <f aca="false">IF('TABLEAU DE BORD'!K7="!! RUPTURE","1 — CRITIQUE",IF('TABLEAU DE BORD'!K7="&gt;&gt; COMMANDER","2 — URGENT",IF('TABLEAU DE BORD'!K7="~ ALERTE","3 — ATTENTION","4 — Normal")))</f>
        <v>2 — URGENT</v>
      </c>
      <c r="K15" s="163" t="str">
        <f aca="false">IF('TABLEAU DE BORD'!K7="!! RUPTURE","⛔ BLOQUER sorties — Lancer BC immédiatement",IF('TABLEAU DE BORD'!K7="&gt;&gt; COMMANDER","📋 Émettre BC maintenant (stock ≤ ROP)",IF('TABLEAU DE BORD'!K7="~ ALERTE","⚠ Surveiller — préparer commande sous 3 jours","✔ Aucune action requise")))</f>
        <v>📋 Émettre BC maintenant (stock ≤ ROP)</v>
      </c>
    </row>
    <row r="16" customFormat="false" ht="21.75" hidden="false" customHeight="true" outlineLevel="0" collapsed="false">
      <c r="A16" s="127" t="str">
        <f aca="false">'TABLEAU DE BORD'!A8</f>
        <v>ART-005</v>
      </c>
      <c r="B16" s="64" t="str">
        <f aca="false">'TABLEAU DE BORD'!B8</f>
        <v>Agrafeuse de bureau</v>
      </c>
      <c r="C16" s="63" t="str">
        <f aca="false">'TABLEAU DE BORD'!C8</f>
        <v>Unité</v>
      </c>
      <c r="D16" s="158" t="n">
        <f aca="false">'TABLEAU DE BORD'!F8</f>
        <v>2</v>
      </c>
      <c r="E16" s="159" t="str">
        <f aca="false">'TABLEAU DE BORD'!G8</f>
        <v>C</v>
      </c>
      <c r="F16" s="159" t="str">
        <f aca="false">'TABLEAU DE BORD'!J8</f>
        <v>C</v>
      </c>
      <c r="G16" s="127" t="str">
        <f aca="false">'TABLEAU DE BORD'!K8</f>
        <v>&gt;&gt; COMMANDER</v>
      </c>
      <c r="H16" s="160" t="n">
        <f aca="false">'TABLEAU DE BORD'!H8</f>
        <v>10</v>
      </c>
      <c r="I16" s="161" t="n">
        <f aca="false">'TABLEAU DE BORD'!I8</f>
        <v>20</v>
      </c>
      <c r="J16" s="162" t="str">
        <f aca="false">IF('TABLEAU DE BORD'!K8="!! RUPTURE","1 — CRITIQUE",IF('TABLEAU DE BORD'!K8="&gt;&gt; COMMANDER","2 — URGENT",IF('TABLEAU DE BORD'!K8="~ ALERTE","3 — ATTENTION","4 — Normal")))</f>
        <v>2 — URGENT</v>
      </c>
      <c r="K16" s="163" t="str">
        <f aca="false">IF('TABLEAU DE BORD'!K8="!! RUPTURE","⛔ BLOQUER sorties — Lancer BC immédiatement",IF('TABLEAU DE BORD'!K8="&gt;&gt; COMMANDER","📋 Émettre BC maintenant (stock ≤ ROP)",IF('TABLEAU DE BORD'!K8="~ ALERTE","⚠ Surveiller — préparer commande sous 3 jours","✔ Aucune action requise")))</f>
        <v>📋 Émettre BC maintenant (stock ≤ ROP)</v>
      </c>
    </row>
    <row r="17" customFormat="false" ht="21.75" hidden="false" customHeight="true" outlineLevel="0" collapsed="false">
      <c r="A17" s="127" t="str">
        <f aca="false">'TABLEAU DE BORD'!A9</f>
        <v>ART-006</v>
      </c>
      <c r="B17" s="164" t="str">
        <f aca="false">'TABLEAU DE BORD'!B9</f>
        <v>Stylos bille boîte/50</v>
      </c>
      <c r="C17" s="165" t="str">
        <f aca="false">'TABLEAU DE BORD'!C9</f>
        <v>Boîte</v>
      </c>
      <c r="D17" s="158" t="n">
        <f aca="false">'TABLEAU DE BORD'!F9</f>
        <v>30</v>
      </c>
      <c r="E17" s="108" t="str">
        <f aca="false">'TABLEAU DE BORD'!G9</f>
        <v>C</v>
      </c>
      <c r="F17" s="108" t="str">
        <f aca="false">'TABLEAU DE BORD'!J9</f>
        <v>C</v>
      </c>
      <c r="G17" s="127" t="str">
        <f aca="false">'TABLEAU DE BORD'!K9</f>
        <v>&gt;&gt; COMMANDER</v>
      </c>
      <c r="H17" s="166" t="n">
        <f aca="false">'TABLEAU DE BORD'!H9</f>
        <v>30</v>
      </c>
      <c r="I17" s="167" t="n">
        <f aca="false">'TABLEAU DE BORD'!I9</f>
        <v>900</v>
      </c>
      <c r="J17" s="162" t="str">
        <f aca="false">IF('TABLEAU DE BORD'!K9="!! RUPTURE","1 — CRITIQUE",IF('TABLEAU DE BORD'!K9="&gt;&gt; COMMANDER","2 — URGENT",IF('TABLEAU DE BORD'!K9="~ ALERTE","3 — ATTENTION","4 — Normal")))</f>
        <v>2 — URGENT</v>
      </c>
      <c r="K17" s="163" t="str">
        <f aca="false">IF('TABLEAU DE BORD'!K9="!! RUPTURE","⛔ BLOQUER sorties — Lancer BC immédiatement",IF('TABLEAU DE BORD'!K9="&gt;&gt; COMMANDER","📋 Émettre BC maintenant (stock ≤ ROP)",IF('TABLEAU DE BORD'!K9="~ ALERTE","⚠ Surveiller — préparer commande sous 3 jours","✔ Aucune action requise")))</f>
        <v>📋 Émettre BC maintenant (stock ≤ ROP)</v>
      </c>
    </row>
    <row r="18" customFormat="false" ht="21.75" hidden="false" customHeight="true" outlineLevel="0" collapsed="false">
      <c r="A18" s="127" t="str">
        <f aca="false">'TABLEAU DE BORD'!A10</f>
        <v>ART-007</v>
      </c>
      <c r="B18" s="64" t="str">
        <f aca="false">'TABLEAU DE BORD'!B10</f>
        <v>Registre grand format 5m</v>
      </c>
      <c r="C18" s="63" t="str">
        <f aca="false">'TABLEAU DE BORD'!C10</f>
        <v>Unité</v>
      </c>
      <c r="D18" s="158" t="n">
        <f aca="false">'TABLEAU DE BORD'!F10</f>
        <v>3</v>
      </c>
      <c r="E18" s="159" t="str">
        <f aca="false">'TABLEAU DE BORD'!G10</f>
        <v>C</v>
      </c>
      <c r="F18" s="159" t="str">
        <f aca="false">'TABLEAU DE BORD'!J10</f>
        <v>C</v>
      </c>
      <c r="G18" s="127" t="str">
        <f aca="false">'TABLEAU DE BORD'!K10</f>
        <v>&gt;&gt; COMMANDER</v>
      </c>
      <c r="H18" s="160" t="n">
        <f aca="false">'TABLEAU DE BORD'!H10</f>
        <v>10</v>
      </c>
      <c r="I18" s="161" t="n">
        <f aca="false">'TABLEAU DE BORD'!I10</f>
        <v>30</v>
      </c>
      <c r="J18" s="162" t="str">
        <f aca="false">IF('TABLEAU DE BORD'!K10="!! RUPTURE","1 — CRITIQUE",IF('TABLEAU DE BORD'!K10="&gt;&gt; COMMANDER","2 — URGENT",IF('TABLEAU DE BORD'!K10="~ ALERTE","3 — ATTENTION","4 — Normal")))</f>
        <v>2 — URGENT</v>
      </c>
      <c r="K18" s="163" t="str">
        <f aca="false">IF('TABLEAU DE BORD'!K10="!! RUPTURE","⛔ BLOQUER sorties — Lancer BC immédiatement",IF('TABLEAU DE BORD'!K10="&gt;&gt; COMMANDER","📋 Émettre BC maintenant (stock ≤ ROP)",IF('TABLEAU DE BORD'!K10="~ ALERTE","⚠ Surveiller — préparer commande sous 3 jours","✔ Aucune action requise")))</f>
        <v>📋 Émettre BC maintenant (stock ≤ ROP)</v>
      </c>
    </row>
    <row r="19" customFormat="false" ht="21.75" hidden="false" customHeight="true" outlineLevel="0" collapsed="false">
      <c r="A19" s="127" t="str">
        <f aca="false">'TABLEAU DE BORD'!A11</f>
        <v>ART-008</v>
      </c>
      <c r="B19" s="164" t="str">
        <f aca="false">'TABLEAU DE BORD'!B11</f>
        <v>Encre tampon</v>
      </c>
      <c r="C19" s="165" t="str">
        <f aca="false">'TABLEAU DE BORD'!C11</f>
        <v>Unité</v>
      </c>
      <c r="D19" s="158" t="n">
        <f aca="false">'TABLEAU DE BORD'!F11</f>
        <v>5</v>
      </c>
      <c r="E19" s="108" t="str">
        <f aca="false">'TABLEAU DE BORD'!G11</f>
        <v>C</v>
      </c>
      <c r="F19" s="108" t="str">
        <f aca="false">'TABLEAU DE BORD'!J11</f>
        <v>C</v>
      </c>
      <c r="G19" s="127" t="str">
        <f aca="false">'TABLEAU DE BORD'!K11</f>
        <v>&gt;&gt; COMMANDER</v>
      </c>
      <c r="H19" s="166" t="n">
        <f aca="false">'TABLEAU DE BORD'!H11</f>
        <v>10</v>
      </c>
      <c r="I19" s="167" t="n">
        <f aca="false">'TABLEAU DE BORD'!I11</f>
        <v>50</v>
      </c>
      <c r="J19" s="162" t="str">
        <f aca="false">IF('TABLEAU DE BORD'!K11="!! RUPTURE","1 — CRITIQUE",IF('TABLEAU DE BORD'!K11="&gt;&gt; COMMANDER","2 — URGENT",IF('TABLEAU DE BORD'!K11="~ ALERTE","3 — ATTENTION","4 — Normal")))</f>
        <v>2 — URGENT</v>
      </c>
      <c r="K19" s="163" t="str">
        <f aca="false">IF('TABLEAU DE BORD'!K11="!! RUPTURE","⛔ BLOQUER sorties — Lancer BC immédiatement",IF('TABLEAU DE BORD'!K11="&gt;&gt; COMMANDER","📋 Émettre BC maintenant (stock ≤ ROP)",IF('TABLEAU DE BORD'!K11="~ ALERTE","⚠ Surveiller — préparer commande sous 3 jours","✔ Aucune action requise")))</f>
        <v>📋 Émettre BC maintenant (stock ≤ ROP)</v>
      </c>
    </row>
    <row r="20" customFormat="false" ht="21.75" hidden="false" customHeight="true" outlineLevel="0" collapsed="false">
      <c r="A20" s="127" t="str">
        <f aca="false">'TABLEAU DE BORD'!A12</f>
        <v>ART-009</v>
      </c>
      <c r="B20" s="64" t="str">
        <f aca="false">'TABLEAU DE BORD'!B12</f>
        <v>Sous-chemise carton</v>
      </c>
      <c r="C20" s="63" t="str">
        <f aca="false">'TABLEAU DE BORD'!C12</f>
        <v>Unité</v>
      </c>
      <c r="D20" s="158" t="n">
        <f aca="false">'TABLEAU DE BORD'!F12</f>
        <v>1</v>
      </c>
      <c r="E20" s="159" t="str">
        <f aca="false">'TABLEAU DE BORD'!G12</f>
        <v>C</v>
      </c>
      <c r="F20" s="159" t="str">
        <f aca="false">'TABLEAU DE BORD'!J12</f>
        <v>C</v>
      </c>
      <c r="G20" s="127" t="str">
        <f aca="false">'TABLEAU DE BORD'!K12</f>
        <v>&gt;&gt; COMMANDER</v>
      </c>
      <c r="H20" s="160" t="n">
        <f aca="false">'TABLEAU DE BORD'!H12</f>
        <v>100</v>
      </c>
      <c r="I20" s="161" t="n">
        <f aca="false">'TABLEAU DE BORD'!I12</f>
        <v>100</v>
      </c>
      <c r="J20" s="162" t="str">
        <f aca="false">IF('TABLEAU DE BORD'!K12="!! RUPTURE","1 — CRITIQUE",IF('TABLEAU DE BORD'!K12="&gt;&gt; COMMANDER","2 — URGENT",IF('TABLEAU DE BORD'!K12="~ ALERTE","3 — ATTENTION","4 — Normal")))</f>
        <v>2 — URGENT</v>
      </c>
      <c r="K20" s="163" t="str">
        <f aca="false">IF('TABLEAU DE BORD'!K12="!! RUPTURE","⛔ BLOQUER sorties — Lancer BC immédiatement",IF('TABLEAU DE BORD'!K12="&gt;&gt; COMMANDER","📋 Émettre BC maintenant (stock ≤ ROP)",IF('TABLEAU DE BORD'!K12="~ ALERTE","⚠ Surveiller — préparer commande sous 3 jours","✔ Aucune action requise")))</f>
        <v>📋 Émettre BC maintenant (stock ≤ ROP)</v>
      </c>
    </row>
    <row r="21" customFormat="false" ht="21.75" hidden="false" customHeight="true" outlineLevel="0" collapsed="false">
      <c r="A21" s="127" t="str">
        <f aca="false">'TABLEAU DE BORD'!A13</f>
        <v>ART-010</v>
      </c>
      <c r="B21" s="164" t="str">
        <f aca="false">'TABLEAU DE BORD'!B13</f>
        <v>Chemise cartonnée</v>
      </c>
      <c r="C21" s="165" t="str">
        <f aca="false">'TABLEAU DE BORD'!C13</f>
        <v>Unité</v>
      </c>
      <c r="D21" s="158" t="n">
        <f aca="false">'TABLEAU DE BORD'!F13</f>
        <v>14</v>
      </c>
      <c r="E21" s="108" t="str">
        <f aca="false">'TABLEAU DE BORD'!G13</f>
        <v>C</v>
      </c>
      <c r="F21" s="108" t="str">
        <f aca="false">'TABLEAU DE BORD'!J13</f>
        <v>C</v>
      </c>
      <c r="G21" s="127" t="str">
        <f aca="false">'TABLEAU DE BORD'!K13</f>
        <v>&gt;&gt; COMMANDER</v>
      </c>
      <c r="H21" s="166" t="n">
        <f aca="false">'TABLEAU DE BORD'!H13</f>
        <v>50</v>
      </c>
      <c r="I21" s="167" t="n">
        <f aca="false">'TABLEAU DE BORD'!I13</f>
        <v>700</v>
      </c>
      <c r="J21" s="162" t="str">
        <f aca="false">IF('TABLEAU DE BORD'!K13="!! RUPTURE","1 — CRITIQUE",IF('TABLEAU DE BORD'!K13="&gt;&gt; COMMANDER","2 — URGENT",IF('TABLEAU DE BORD'!K13="~ ALERTE","3 — ATTENTION","4 — Normal")))</f>
        <v>2 — URGENT</v>
      </c>
      <c r="K21" s="163" t="str">
        <f aca="false">IF('TABLEAU DE BORD'!K13="!! RUPTURE","⛔ BLOQUER sorties — Lancer BC immédiatement",IF('TABLEAU DE BORD'!K13="&gt;&gt; COMMANDER","📋 Émettre BC maintenant (stock ≤ ROP)",IF('TABLEAU DE BORD'!K13="~ ALERTE","⚠ Surveiller — préparer commande sous 3 jours","✔ Aucune action requise")))</f>
        <v>📋 Émettre BC maintenant (stock ≤ ROP)</v>
      </c>
    </row>
    <row r="22" customFormat="false" ht="21.75" hidden="false" customHeight="true" outlineLevel="0" collapsed="false">
      <c r="A22" s="127" t="str">
        <f aca="false">'TABLEAU DE BORD'!A14</f>
        <v>ART-011</v>
      </c>
      <c r="B22" s="64" t="str">
        <f aca="false">'TABLEAU DE BORD'!B14</f>
        <v>Rouleau papier fax</v>
      </c>
      <c r="C22" s="63" t="str">
        <f aca="false">'TABLEAU DE BORD'!C14</f>
        <v>Rouleau</v>
      </c>
      <c r="D22" s="158" t="n">
        <f aca="false">'TABLEAU DE BORD'!F14</f>
        <v>2</v>
      </c>
      <c r="E22" s="159" t="str">
        <f aca="false">'TABLEAU DE BORD'!G14</f>
        <v>C</v>
      </c>
      <c r="F22" s="159" t="str">
        <f aca="false">'TABLEAU DE BORD'!J14</f>
        <v>C</v>
      </c>
      <c r="G22" s="127" t="str">
        <f aca="false">'TABLEAU DE BORD'!K14</f>
        <v>&gt;&gt; COMMANDER</v>
      </c>
      <c r="H22" s="160" t="n">
        <f aca="false">'TABLEAU DE BORD'!H14</f>
        <v>5</v>
      </c>
      <c r="I22" s="161" t="n">
        <f aca="false">'TABLEAU DE BORD'!I14</f>
        <v>10</v>
      </c>
      <c r="J22" s="162" t="str">
        <f aca="false">IF('TABLEAU DE BORD'!K14="!! RUPTURE","1 — CRITIQUE",IF('TABLEAU DE BORD'!K14="&gt;&gt; COMMANDER","2 — URGENT",IF('TABLEAU DE BORD'!K14="~ ALERTE","3 — ATTENTION","4 — Normal")))</f>
        <v>2 — URGENT</v>
      </c>
      <c r="K22" s="163" t="str">
        <f aca="false">IF('TABLEAU DE BORD'!K14="!! RUPTURE","⛔ BLOQUER sorties — Lancer BC immédiatement",IF('TABLEAU DE BORD'!K14="&gt;&gt; COMMANDER","📋 Émettre BC maintenant (stock ≤ ROP)",IF('TABLEAU DE BORD'!K14="~ ALERTE","⚠ Surveiller — préparer commande sous 3 jours","✔ Aucune action requise")))</f>
        <v>📋 Émettre BC maintenant (stock ≤ ROP)</v>
      </c>
    </row>
    <row r="23" customFormat="false" ht="21.75" hidden="false" customHeight="true" outlineLevel="0" collapsed="false">
      <c r="A23" s="127" t="str">
        <f aca="false">'TABLEAU DE BORD'!A15</f>
        <v>ART-012</v>
      </c>
      <c r="B23" s="164" t="str">
        <f aca="false">'TABLEAU DE BORD'!B15</f>
        <v>Marqueur permanent noir</v>
      </c>
      <c r="C23" s="165" t="str">
        <f aca="false">'TABLEAU DE BORD'!C15</f>
        <v>Unité</v>
      </c>
      <c r="D23" s="158" t="n">
        <f aca="false">'TABLEAU DE BORD'!F15</f>
        <v>16</v>
      </c>
      <c r="E23" s="108" t="str">
        <f aca="false">'TABLEAU DE BORD'!G15</f>
        <v>C</v>
      </c>
      <c r="F23" s="108" t="str">
        <f aca="false">'TABLEAU DE BORD'!J15</f>
        <v>C</v>
      </c>
      <c r="G23" s="127" t="str">
        <f aca="false">'TABLEAU DE BORD'!K15</f>
        <v>&gt;&gt; COMMANDER</v>
      </c>
      <c r="H23" s="166" t="n">
        <f aca="false">'TABLEAU DE BORD'!H15</f>
        <v>30</v>
      </c>
      <c r="I23" s="167" t="n">
        <f aca="false">'TABLEAU DE BORD'!I15</f>
        <v>480</v>
      </c>
      <c r="J23" s="162" t="str">
        <f aca="false">IF('TABLEAU DE BORD'!K15="!! RUPTURE","1 — CRITIQUE",IF('TABLEAU DE BORD'!K15="&gt;&gt; COMMANDER","2 — URGENT",IF('TABLEAU DE BORD'!K15="~ ALERTE","3 — ATTENTION","4 — Normal")))</f>
        <v>2 — URGENT</v>
      </c>
      <c r="K23" s="163" t="str">
        <f aca="false">IF('TABLEAU DE BORD'!K15="!! RUPTURE","⛔ BLOQUER sorties — Lancer BC immédiatement",IF('TABLEAU DE BORD'!K15="&gt;&gt; COMMANDER","📋 Émettre BC maintenant (stock ≤ ROP)",IF('TABLEAU DE BORD'!K15="~ ALERTE","⚠ Surveiller — préparer commande sous 3 jours","✔ Aucune action requise")))</f>
        <v>📋 Émettre BC maintenant (stock ≤ ROP)</v>
      </c>
    </row>
    <row r="25" customFormat="false" ht="15" hidden="false" customHeight="false" outlineLevel="0" collapsed="false">
      <c r="A25" s="168" t="s">
        <v>325</v>
      </c>
      <c r="B25" s="168"/>
      <c r="C25" s="168"/>
      <c r="D25" s="168"/>
      <c r="E25" s="168"/>
      <c r="F25" s="168"/>
      <c r="G25" s="168"/>
      <c r="H25" s="168"/>
      <c r="I25" s="168"/>
      <c r="J25" s="168"/>
      <c r="K25" s="168"/>
    </row>
  </sheetData>
  <mergeCells count="18">
    <mergeCell ref="A1:K1"/>
    <mergeCell ref="A2:K2"/>
    <mergeCell ref="A3:K3"/>
    <mergeCell ref="A5:K5"/>
    <mergeCell ref="A6:C6"/>
    <mergeCell ref="D6:F6"/>
    <mergeCell ref="G6:I6"/>
    <mergeCell ref="J6:K6"/>
    <mergeCell ref="A7:C7"/>
    <mergeCell ref="D7:F7"/>
    <mergeCell ref="G7:I7"/>
    <mergeCell ref="J7:K7"/>
    <mergeCell ref="A8:C8"/>
    <mergeCell ref="D8:F8"/>
    <mergeCell ref="G8:I8"/>
    <mergeCell ref="J8:K8"/>
    <mergeCell ref="A10:K10"/>
    <mergeCell ref="A25:K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148C"/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2"/>
    <col collapsed="false" customWidth="true" hidden="false" outlineLevel="0" max="4" min="3" style="1" width="20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7" min="7" style="1" width="14"/>
  </cols>
  <sheetData>
    <row r="1" customFormat="false" ht="27.75" hidden="false" customHeight="true" outlineLevel="0" collapsed="false">
      <c r="A1" s="169" t="s">
        <v>326</v>
      </c>
      <c r="B1" s="169"/>
      <c r="C1" s="169"/>
      <c r="D1" s="169"/>
      <c r="E1" s="169"/>
      <c r="F1" s="169"/>
      <c r="G1" s="169"/>
    </row>
    <row r="2" customFormat="false" ht="39.75" hidden="false" customHeight="true" outlineLevel="0" collapsed="false">
      <c r="A2" s="170" t="s">
        <v>140</v>
      </c>
      <c r="B2" s="170" t="s">
        <v>296</v>
      </c>
      <c r="C2" s="170" t="s">
        <v>327</v>
      </c>
      <c r="D2" s="170" t="s">
        <v>328</v>
      </c>
      <c r="E2" s="170" t="s">
        <v>329</v>
      </c>
      <c r="F2" s="170" t="s">
        <v>330</v>
      </c>
      <c r="G2" s="170" t="s">
        <v>304</v>
      </c>
    </row>
    <row r="3" customFormat="false" ht="15" hidden="false" customHeight="true" outlineLevel="0" collapsed="false">
      <c r="A3" s="171" t="s">
        <v>60</v>
      </c>
      <c r="B3" s="64" t="str">
        <f aca="false">IFERROR(VLOOKUP(A3,ARTICLES!$A$3:$B$500,2,0),"")</f>
        <v>Rame papier A4 80g/m²</v>
      </c>
      <c r="C3" s="159" t="n">
        <f aca="false">SUMIFS(MOUVEMENTS!$E$3:$E$500,MOUVEMENTS!$B$3:$B$500,A3,MOUVEMENTS!$D$3:$D$500,"IN")-SUMIFS(MOUVEMENTS!$E$3:$E$500,MOUVEMENTS!$B$3:$B$500,A3,MOUVEMENTS!$D$3:$D$500,"OUT")</f>
        <v>100</v>
      </c>
      <c r="D3" s="159"/>
      <c r="E3" s="159" t="n">
        <f aca="false">IFERROR(D3-C3,"—")</f>
        <v>-100</v>
      </c>
      <c r="F3" s="172" t="n">
        <f aca="false">IFERROR(E3/C3,"—")</f>
        <v>-1</v>
      </c>
      <c r="G3" s="171" t="str">
        <f aca="false">IF(D3="","⏳ À compter",IF(E3=0,"✔ Conforme",IF(ABS(E3)&gt;0,"⚠ Écart","—")))</f>
        <v>⏳ À compter</v>
      </c>
    </row>
    <row r="4" customFormat="false" ht="15" hidden="false" customHeight="true" outlineLevel="0" collapsed="false">
      <c r="A4" s="173" t="s">
        <v>70</v>
      </c>
      <c r="B4" s="164" t="str">
        <f aca="false">IFERROR(VLOOKUP(A4,ARTICLES!$A$3:$B$500,2,0),"")</f>
        <v>Toner imprimante G030 (noir)</v>
      </c>
      <c r="C4" s="108" t="n">
        <f aca="false">SUMIFS(MOUVEMENTS!$E$3:$E$500,MOUVEMENTS!$B$3:$B$500,A4,MOUVEMENTS!$D$3:$D$500,"IN")-SUMIFS(MOUVEMENTS!$E$3:$E$500,MOUVEMENTS!$B$3:$B$500,A4,MOUVEMENTS!$D$3:$D$500,"OUT")</f>
        <v>0</v>
      </c>
      <c r="D4" s="108"/>
      <c r="E4" s="108" t="n">
        <f aca="false">IFERROR(D4-C4,"—")</f>
        <v>0</v>
      </c>
      <c r="F4" s="174" t="str">
        <f aca="false">IFERROR(E4/C4,"—")</f>
        <v>—</v>
      </c>
      <c r="G4" s="173" t="str">
        <f aca="false">IF(D4="","⏳ À compter",IF(E4=0,"✔ Conforme",IF(ABS(E4)&gt;0,"⚠ Écart","—")))</f>
        <v>⏳ À compter</v>
      </c>
    </row>
    <row r="5" customFormat="false" ht="15" hidden="false" customHeight="true" outlineLevel="0" collapsed="false">
      <c r="A5" s="171" t="s">
        <v>79</v>
      </c>
      <c r="B5" s="64" t="str">
        <f aca="false">IFERROR(VLOOKUP(A5,ARTICLES!$A$3:$B$500,2,0),"")</f>
        <v>Rame papier A3 80g/m²</v>
      </c>
      <c r="C5" s="159" t="n">
        <f aca="false">SUMIFS(MOUVEMENTS!$E$3:$E$500,MOUVEMENTS!$B$3:$B$500,A5,MOUVEMENTS!$D$3:$D$500,"IN")-SUMIFS(MOUVEMENTS!$E$3:$E$500,MOUVEMENTS!$B$3:$B$500,A5,MOUVEMENTS!$D$3:$D$500,"OUT")</f>
        <v>2</v>
      </c>
      <c r="D5" s="159"/>
      <c r="E5" s="159" t="n">
        <f aca="false">IFERROR(D5-C5,"—")</f>
        <v>-2</v>
      </c>
      <c r="F5" s="172" t="n">
        <f aca="false">IFERROR(E5/C5,"—")</f>
        <v>-1</v>
      </c>
      <c r="G5" s="171" t="str">
        <f aca="false">IF(D5="","⏳ À compter",IF(E5=0,"✔ Conforme",IF(ABS(E5)&gt;0,"⚠ Écart","—")))</f>
        <v>⏳ À compter</v>
      </c>
    </row>
    <row r="6" customFormat="false" ht="15" hidden="false" customHeight="true" outlineLevel="0" collapsed="false">
      <c r="A6" s="173" t="s">
        <v>84</v>
      </c>
      <c r="B6" s="164" t="str">
        <f aca="false">IFERROR(VLOOKUP(A6,ARTICLES!$A$3:$B$500,2,0),"")</f>
        <v>Boîte archives carton</v>
      </c>
      <c r="C6" s="108" t="n">
        <f aca="false">SUMIFS(MOUVEMENTS!$E$3:$E$500,MOUVEMENTS!$B$3:$B$500,A6,MOUVEMENTS!$D$3:$D$500,"IN")-SUMIFS(MOUVEMENTS!$E$3:$E$500,MOUVEMENTS!$B$3:$B$500,A6,MOUVEMENTS!$D$3:$D$500,"OUT")</f>
        <v>190</v>
      </c>
      <c r="D6" s="108"/>
      <c r="E6" s="108" t="n">
        <f aca="false">IFERROR(D6-C6,"—")</f>
        <v>-190</v>
      </c>
      <c r="F6" s="174" t="n">
        <f aca="false">IFERROR(E6/C6,"—")</f>
        <v>-1</v>
      </c>
      <c r="G6" s="173" t="str">
        <f aca="false">IF(D6="","⏳ À compter",IF(E6=0,"✔ Conforme",IF(ABS(E6)&gt;0,"⚠ Écart","—")))</f>
        <v>⏳ À compter</v>
      </c>
    </row>
    <row r="7" customFormat="false" ht="15" hidden="false" customHeight="true" outlineLevel="0" collapsed="false">
      <c r="A7" s="171" t="s">
        <v>93</v>
      </c>
      <c r="B7" s="64" t="str">
        <f aca="false">IFERROR(VLOOKUP(A7,ARTICLES!$A$3:$B$500,2,0),"")</f>
        <v>Agrafeuse de bureau</v>
      </c>
      <c r="C7" s="159" t="n">
        <f aca="false">SUMIFS(MOUVEMENTS!$E$3:$E$500,MOUVEMENTS!$B$3:$B$500,A7,MOUVEMENTS!$D$3:$D$500,"IN")-SUMIFS(MOUVEMENTS!$E$3:$E$500,MOUVEMENTS!$B$3:$B$500,A7,MOUVEMENTS!$D$3:$D$500,"OUT")</f>
        <v>2</v>
      </c>
      <c r="D7" s="159"/>
      <c r="E7" s="159" t="n">
        <f aca="false">IFERROR(D7-C7,"—")</f>
        <v>-2</v>
      </c>
      <c r="F7" s="172" t="n">
        <f aca="false">IFERROR(E7/C7,"—")</f>
        <v>-1</v>
      </c>
      <c r="G7" s="171" t="str">
        <f aca="false">IF(D7="","⏳ À compter",IF(E7=0,"✔ Conforme",IF(ABS(E7)&gt;0,"⚠ Écart","—")))</f>
        <v>⏳ À compter</v>
      </c>
    </row>
    <row r="8" customFormat="false" ht="15" hidden="false" customHeight="true" outlineLevel="0" collapsed="false">
      <c r="A8" s="173" t="s">
        <v>99</v>
      </c>
      <c r="B8" s="164" t="str">
        <f aca="false">IFERROR(VLOOKUP(A8,ARTICLES!$A$3:$B$500,2,0),"")</f>
        <v>Stylos bille boîte/50</v>
      </c>
      <c r="C8" s="108" t="n">
        <f aca="false">SUMIFS(MOUVEMENTS!$E$3:$E$500,MOUVEMENTS!$B$3:$B$500,A8,MOUVEMENTS!$D$3:$D$500,"IN")-SUMIFS(MOUVEMENTS!$E$3:$E$500,MOUVEMENTS!$B$3:$B$500,A8,MOUVEMENTS!$D$3:$D$500,"OUT")</f>
        <v>30</v>
      </c>
      <c r="D8" s="108"/>
      <c r="E8" s="108" t="n">
        <f aca="false">IFERROR(D8-C8,"—")</f>
        <v>-30</v>
      </c>
      <c r="F8" s="174" t="n">
        <f aca="false">IFERROR(E8/C8,"—")</f>
        <v>-1</v>
      </c>
      <c r="G8" s="173" t="str">
        <f aca="false">IF(D8="","⏳ À compter",IF(E8=0,"✔ Conforme",IF(ABS(E8)&gt;0,"⚠ Écart","—")))</f>
        <v>⏳ À compter</v>
      </c>
    </row>
    <row r="9" customFormat="false" ht="15" hidden="false" customHeight="true" outlineLevel="0" collapsed="false">
      <c r="A9" s="171" t="s">
        <v>106</v>
      </c>
      <c r="B9" s="64" t="str">
        <f aca="false">IFERROR(VLOOKUP(A9,ARTICLES!$A$3:$B$500,2,0),"")</f>
        <v>Registre grand format 5m</v>
      </c>
      <c r="C9" s="159" t="n">
        <f aca="false">SUMIFS(MOUVEMENTS!$E$3:$E$500,MOUVEMENTS!$B$3:$B$500,A9,MOUVEMENTS!$D$3:$D$500,"IN")-SUMIFS(MOUVEMENTS!$E$3:$E$500,MOUVEMENTS!$B$3:$B$500,A9,MOUVEMENTS!$D$3:$D$500,"OUT")</f>
        <v>3</v>
      </c>
      <c r="D9" s="159"/>
      <c r="E9" s="159" t="n">
        <f aca="false">IFERROR(D9-C9,"—")</f>
        <v>-3</v>
      </c>
      <c r="F9" s="172" t="n">
        <f aca="false">IFERROR(E9/C9,"—")</f>
        <v>-1</v>
      </c>
      <c r="G9" s="171" t="str">
        <f aca="false">IF(D9="","⏳ À compter",IF(E9=0,"✔ Conforme",IF(ABS(E9)&gt;0,"⚠ Écart","—")))</f>
        <v>⏳ À compter</v>
      </c>
    </row>
    <row r="10" customFormat="false" ht="15" hidden="false" customHeight="true" outlineLevel="0" collapsed="false">
      <c r="A10" s="173" t="s">
        <v>113</v>
      </c>
      <c r="B10" s="164" t="str">
        <f aca="false">IFERROR(VLOOKUP(A10,ARTICLES!$A$3:$B$500,2,0),"")</f>
        <v>Encre tampon</v>
      </c>
      <c r="C10" s="108" t="n">
        <f aca="false">SUMIFS(MOUVEMENTS!$E$3:$E$500,MOUVEMENTS!$B$3:$B$500,A10,MOUVEMENTS!$D$3:$D$500,"IN")-SUMIFS(MOUVEMENTS!$E$3:$E$500,MOUVEMENTS!$B$3:$B$500,A10,MOUVEMENTS!$D$3:$D$500,"OUT")</f>
        <v>5</v>
      </c>
      <c r="D10" s="108"/>
      <c r="E10" s="108" t="n">
        <f aca="false">IFERROR(D10-C10,"—")</f>
        <v>-5</v>
      </c>
      <c r="F10" s="174" t="n">
        <f aca="false">IFERROR(E10/C10,"—")</f>
        <v>-1</v>
      </c>
      <c r="G10" s="173" t="str">
        <f aca="false">IF(D10="","⏳ À compter",IF(E10=0,"✔ Conforme",IF(ABS(E10)&gt;0,"⚠ Écart","—")))</f>
        <v>⏳ À compter</v>
      </c>
    </row>
    <row r="11" customFormat="false" ht="15" hidden="false" customHeight="true" outlineLevel="0" collapsed="false">
      <c r="A11" s="171" t="s">
        <v>119</v>
      </c>
      <c r="B11" s="64" t="str">
        <f aca="false">IFERROR(VLOOKUP(A11,ARTICLES!$A$3:$B$500,2,0),"")</f>
        <v>Sous-chemise carton</v>
      </c>
      <c r="C11" s="159" t="n">
        <f aca="false">SUMIFS(MOUVEMENTS!$E$3:$E$500,MOUVEMENTS!$B$3:$B$500,A11,MOUVEMENTS!$D$3:$D$500,"IN")-SUMIFS(MOUVEMENTS!$E$3:$E$500,MOUVEMENTS!$B$3:$B$500,A11,MOUVEMENTS!$D$3:$D$500,"OUT")</f>
        <v>1</v>
      </c>
      <c r="D11" s="159"/>
      <c r="E11" s="159" t="n">
        <f aca="false">IFERROR(D11-C11,"—")</f>
        <v>-1</v>
      </c>
      <c r="F11" s="172" t="n">
        <f aca="false">IFERROR(E11/C11,"—")</f>
        <v>-1</v>
      </c>
      <c r="G11" s="171" t="str">
        <f aca="false">IF(D11="","⏳ À compter",IF(E11=0,"✔ Conforme",IF(ABS(E11)&gt;0,"⚠ Écart","—")))</f>
        <v>⏳ À compter</v>
      </c>
    </row>
    <row r="12" customFormat="false" ht="15" hidden="false" customHeight="true" outlineLevel="0" collapsed="false">
      <c r="A12" s="173" t="s">
        <v>123</v>
      </c>
      <c r="B12" s="164" t="str">
        <f aca="false">IFERROR(VLOOKUP(A12,ARTICLES!$A$3:$B$500,2,0),"")</f>
        <v>Chemise cartonnée</v>
      </c>
      <c r="C12" s="108" t="n">
        <f aca="false">SUMIFS(MOUVEMENTS!$E$3:$E$500,MOUVEMENTS!$B$3:$B$500,A12,MOUVEMENTS!$D$3:$D$500,"IN")-SUMIFS(MOUVEMENTS!$E$3:$E$500,MOUVEMENTS!$B$3:$B$500,A12,MOUVEMENTS!$D$3:$D$500,"OUT")</f>
        <v>14</v>
      </c>
      <c r="D12" s="108"/>
      <c r="E12" s="108" t="n">
        <f aca="false">IFERROR(D12-C12,"—")</f>
        <v>-14</v>
      </c>
      <c r="F12" s="174" t="n">
        <f aca="false">IFERROR(E12/C12,"—")</f>
        <v>-1</v>
      </c>
      <c r="G12" s="173" t="str">
        <f aca="false">IF(D12="","⏳ À compter",IF(E12=0,"✔ Conforme",IF(ABS(E12)&gt;0,"⚠ Écart","—")))</f>
        <v>⏳ À compter</v>
      </c>
    </row>
    <row r="13" customFormat="false" ht="15" hidden="false" customHeight="true" outlineLevel="0" collapsed="false">
      <c r="A13" s="171" t="s">
        <v>127</v>
      </c>
      <c r="B13" s="64" t="str">
        <f aca="false">IFERROR(VLOOKUP(A13,ARTICLES!$A$3:$B$500,2,0),"")</f>
        <v>Rouleau papier fax</v>
      </c>
      <c r="C13" s="159" t="n">
        <f aca="false">SUMIFS(MOUVEMENTS!$E$3:$E$500,MOUVEMENTS!$B$3:$B$500,A13,MOUVEMENTS!$D$3:$D$500,"IN")-SUMIFS(MOUVEMENTS!$E$3:$E$500,MOUVEMENTS!$B$3:$B$500,A13,MOUVEMENTS!$D$3:$D$500,"OUT")</f>
        <v>2</v>
      </c>
      <c r="D13" s="159"/>
      <c r="E13" s="159" t="n">
        <f aca="false">IFERROR(D13-C13,"—")</f>
        <v>-2</v>
      </c>
      <c r="F13" s="172" t="n">
        <f aca="false">IFERROR(E13/C13,"—")</f>
        <v>-1</v>
      </c>
      <c r="G13" s="171" t="str">
        <f aca="false">IF(D13="","⏳ À compter",IF(E13=0,"✔ Conforme",IF(ABS(E13)&gt;0,"⚠ Écart","—")))</f>
        <v>⏳ À compter</v>
      </c>
    </row>
    <row r="14" customFormat="false" ht="15" hidden="false" customHeight="true" outlineLevel="0" collapsed="false">
      <c r="A14" s="173" t="s">
        <v>134</v>
      </c>
      <c r="B14" s="164" t="str">
        <f aca="false">IFERROR(VLOOKUP(A14,ARTICLES!$A$3:$B$500,2,0),"")</f>
        <v>Marqueur permanent noir</v>
      </c>
      <c r="C14" s="108" t="n">
        <f aca="false">SUMIFS(MOUVEMENTS!$E$3:$E$500,MOUVEMENTS!$B$3:$B$500,A14,MOUVEMENTS!$D$3:$D$500,"IN")-SUMIFS(MOUVEMENTS!$E$3:$E$500,MOUVEMENTS!$B$3:$B$500,A14,MOUVEMENTS!$D$3:$D$500,"OUT")</f>
        <v>16</v>
      </c>
      <c r="D14" s="108"/>
      <c r="E14" s="108" t="n">
        <f aca="false">IFERROR(D14-C14,"—")</f>
        <v>-16</v>
      </c>
      <c r="F14" s="174" t="n">
        <f aca="false">IFERROR(E14/C14,"—")</f>
        <v>-1</v>
      </c>
      <c r="G14" s="173" t="str">
        <f aca="false">IF(D14="","⏳ À compter",IF(E14=0,"✔ Conforme",IF(ABS(E14)&gt;0,"⚠ Écart","—")))</f>
        <v>⏳ À compter</v>
      </c>
    </row>
    <row r="16" customFormat="false" ht="15" hidden="false" customHeight="true" outlineLevel="0" collapsed="false">
      <c r="A16" s="168" t="s">
        <v>331</v>
      </c>
      <c r="B16" s="168"/>
      <c r="C16" s="168"/>
      <c r="D16" s="168"/>
      <c r="E16" s="168"/>
      <c r="F16" s="168"/>
      <c r="G16" s="168"/>
    </row>
  </sheetData>
  <mergeCells count="2">
    <mergeCell ref="A1:G1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95C"/>
    <pageSetUpPr fitToPage="false"/>
  </sheetPr>
  <dimension ref="A1:H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65" t="s">
        <v>332</v>
      </c>
      <c r="B1" s="65"/>
      <c r="C1" s="65"/>
      <c r="D1" s="65"/>
      <c r="E1" s="65"/>
      <c r="F1" s="65"/>
      <c r="G1" s="65"/>
      <c r="H1" s="65"/>
    </row>
    <row r="2" customFormat="false" ht="18" hidden="false" customHeight="true" outlineLevel="0" collapsed="false">
      <c r="A2" s="81" t="s">
        <v>333</v>
      </c>
      <c r="B2" s="81"/>
      <c r="C2" s="81"/>
      <c r="D2" s="81"/>
      <c r="E2" s="81"/>
      <c r="F2" s="81"/>
      <c r="G2" s="81"/>
      <c r="H2" s="81"/>
    </row>
    <row r="4" customFormat="false" ht="24" hidden="false" customHeight="true" outlineLevel="0" collapsed="false">
      <c r="A4" s="175" t="s">
        <v>334</v>
      </c>
      <c r="B4" s="175"/>
      <c r="C4" s="175"/>
      <c r="D4" s="175"/>
      <c r="E4" s="175"/>
      <c r="F4" s="175"/>
      <c r="G4" s="175"/>
      <c r="H4" s="175"/>
    </row>
    <row r="5" customFormat="false" ht="21.75" hidden="false" customHeight="true" outlineLevel="0" collapsed="false">
      <c r="A5" s="176" t="s">
        <v>335</v>
      </c>
      <c r="B5" s="177" t="n">
        <f aca="true">TODAY()-7</f>
        <v>46107</v>
      </c>
      <c r="C5" s="178" t="s">
        <v>336</v>
      </c>
      <c r="D5" s="177" t="n">
        <f aca="true">TODAY()</f>
        <v>46114</v>
      </c>
      <c r="E5" s="179" t="s">
        <v>337</v>
      </c>
      <c r="F5" s="179"/>
      <c r="G5" s="179"/>
      <c r="H5" s="179"/>
    </row>
    <row r="6" customFormat="false" ht="31.5" hidden="false" customHeight="true" outlineLevel="0" collapsed="false">
      <c r="A6" s="180" t="s">
        <v>338</v>
      </c>
      <c r="B6" s="180" t="s">
        <v>339</v>
      </c>
      <c r="C6" s="180" t="s">
        <v>340</v>
      </c>
      <c r="D6" s="180" t="s">
        <v>341</v>
      </c>
      <c r="E6" s="180" t="s">
        <v>342</v>
      </c>
      <c r="F6" s="180" t="s">
        <v>343</v>
      </c>
      <c r="G6" s="180" t="s">
        <v>344</v>
      </c>
      <c r="H6" s="180" t="s">
        <v>345</v>
      </c>
    </row>
    <row r="7" customFormat="false" ht="18" hidden="false" customHeight="true" outlineLevel="0" collapsed="false">
      <c r="A7" s="181" t="s">
        <v>60</v>
      </c>
      <c r="B7" s="80" t="str">
        <f aca="false">IFERROR(VLOOKUP(A7,ARTICLES!$A$3:$B$500,2,0),"")</f>
        <v>Rame papier A4 80g/m²</v>
      </c>
      <c r="C7" s="182" t="str">
        <f aca="false">IFERROR(VLOOKUP(A7,ARTICLES!$A$3:$E$500,5,0),"")</f>
        <v>A</v>
      </c>
      <c r="D7" s="183" t="n">
        <f aca="false">IFERROR(SUMPRODUCT((MOUVEMENTS!$B$3:$B$500=A7)*(MOUVEMENTS!$D$3:$D$500="IN")*(MOUVEMENTS!$A$3:$A$500&gt;=B5)*(MOUVEMENTS!$A$3:$A$500&lt;=D5)*MOUVEMENTS!$E$3:$E$500),0)</f>
        <v>0</v>
      </c>
      <c r="E7" s="183" t="n">
        <f aca="false">IFERROR(SUMPRODUCT((MOUVEMENTS!$B$3:$B$500=A7)*(MOUVEMENTS!$D$3:$D$500="OUT")*(MOUVEMENTS!$A$3:$A$500&gt;=B5)*(MOUVEMENTS!$A$3:$A$500&lt;=D5)*MOUVEMENTS!$E$3:$E$500),0)</f>
        <v>0</v>
      </c>
      <c r="F7" s="184" t="n">
        <f aca="false">D7-E7</f>
        <v>0</v>
      </c>
      <c r="G7" s="183" t="n">
        <f aca="false">IFERROR(F7*VLOOKUP(A7,ARTICLES!$A$3:$G$500,7,0),0)</f>
        <v>0</v>
      </c>
      <c r="H7" s="181" t="str">
        <f aca="false">IF(F7&lt;0,"!! NÉGATIF",IF(F7=0,"!! RUPTURE","OK"))</f>
        <v>!! RUPTURE</v>
      </c>
    </row>
    <row r="8" customFormat="false" ht="18" hidden="false" customHeight="true" outlineLevel="0" collapsed="false">
      <c r="A8" s="185" t="s">
        <v>70</v>
      </c>
      <c r="B8" s="186" t="str">
        <f aca="false">IFERROR(VLOOKUP(A8,ARTICLES!$A$3:$B$500,2,0),"")</f>
        <v>Toner imprimante G030 (noir)</v>
      </c>
      <c r="C8" s="187" t="str">
        <f aca="false">IFERROR(VLOOKUP(A8,ARTICLES!$A$3:$E$500,5,0),"")</f>
        <v>B</v>
      </c>
      <c r="D8" s="188" t="n">
        <f aca="false">IFERROR(SUMPRODUCT((MOUVEMENTS!$B$3:$B$500=A8)*(MOUVEMENTS!$D$3:$D$500="IN")*(MOUVEMENTS!$A$3:$A$500&gt;=B5)*(MOUVEMENTS!$A$3:$A$500&lt;=D5)*MOUVEMENTS!$E$3:$E$500),0)</f>
        <v>0</v>
      </c>
      <c r="E8" s="188" t="n">
        <f aca="false">IFERROR(SUMPRODUCT((MOUVEMENTS!$B$3:$B$500=A8)*(MOUVEMENTS!$D$3:$D$500="OUT")*(MOUVEMENTS!$A$3:$A$500&gt;=B5)*(MOUVEMENTS!$A$3:$A$500&lt;=D5)*MOUVEMENTS!$E$3:$E$500),0)</f>
        <v>0</v>
      </c>
      <c r="F8" s="189" t="n">
        <f aca="false">D8-E8</f>
        <v>0</v>
      </c>
      <c r="G8" s="188" t="n">
        <f aca="false">IFERROR(F8*VLOOKUP(A8,ARTICLES!$A$3:$G$500,7,0),0)</f>
        <v>0</v>
      </c>
      <c r="H8" s="185" t="str">
        <f aca="false">IF(F8&lt;0,"!! NÉGATIF",IF(F8=0,"!! RUPTURE","OK"))</f>
        <v>!! RUPTURE</v>
      </c>
    </row>
    <row r="9" customFormat="false" ht="18" hidden="false" customHeight="true" outlineLevel="0" collapsed="false">
      <c r="A9" s="181" t="s">
        <v>79</v>
      </c>
      <c r="B9" s="80" t="str">
        <f aca="false">IFERROR(VLOOKUP(A9,ARTICLES!$A$3:$B$500,2,0),"")</f>
        <v>Rame papier A3 80g/m²</v>
      </c>
      <c r="C9" s="182" t="str">
        <f aca="false">IFERROR(VLOOKUP(A9,ARTICLES!$A$3:$E$500,5,0),"")</f>
        <v>B</v>
      </c>
      <c r="D9" s="183" t="n">
        <f aca="false">IFERROR(SUMPRODUCT((MOUVEMENTS!$B$3:$B$500=A9)*(MOUVEMENTS!$D$3:$D$500="IN")*(MOUVEMENTS!$A$3:$A$500&gt;=B5)*(MOUVEMENTS!$A$3:$A$500&lt;=D5)*MOUVEMENTS!$E$3:$E$500),0)</f>
        <v>0</v>
      </c>
      <c r="E9" s="183" t="n">
        <f aca="false">IFERROR(SUMPRODUCT((MOUVEMENTS!$B$3:$B$500=A9)*(MOUVEMENTS!$D$3:$D$500="OUT")*(MOUVEMENTS!$A$3:$A$500&gt;=B5)*(MOUVEMENTS!$A$3:$A$500&lt;=D5)*MOUVEMENTS!$E$3:$E$500),0)</f>
        <v>0</v>
      </c>
      <c r="F9" s="184" t="n">
        <f aca="false">D9-E9</f>
        <v>0</v>
      </c>
      <c r="G9" s="183" t="n">
        <f aca="false">IFERROR(F9*VLOOKUP(A9,ARTICLES!$A$3:$G$500,7,0),0)</f>
        <v>0</v>
      </c>
      <c r="H9" s="181" t="str">
        <f aca="false">IF(F9&lt;0,"!! NÉGATIF",IF(F9=0,"!! RUPTURE","OK"))</f>
        <v>!! RUPTURE</v>
      </c>
    </row>
    <row r="10" customFormat="false" ht="18" hidden="false" customHeight="true" outlineLevel="0" collapsed="false">
      <c r="A10" s="185" t="s">
        <v>84</v>
      </c>
      <c r="B10" s="186" t="str">
        <f aca="false">IFERROR(VLOOKUP(A10,ARTICLES!$A$3:$B$500,2,0),"")</f>
        <v>Boîte archives carton</v>
      </c>
      <c r="C10" s="187" t="str">
        <f aca="false">IFERROR(VLOOKUP(A10,ARTICLES!$A$3:$E$500,5,0),"")</f>
        <v>C</v>
      </c>
      <c r="D10" s="188" t="n">
        <f aca="false">IFERROR(SUMPRODUCT((MOUVEMENTS!$B$3:$B$500=A10)*(MOUVEMENTS!$D$3:$D$500="IN")*(MOUVEMENTS!$A$3:$A$500&gt;=B5)*(MOUVEMENTS!$A$3:$A$500&lt;=D5)*MOUVEMENTS!$E$3:$E$500),0)</f>
        <v>0</v>
      </c>
      <c r="E10" s="188" t="n">
        <f aca="false">IFERROR(SUMPRODUCT((MOUVEMENTS!$B$3:$B$500=A10)*(MOUVEMENTS!$D$3:$D$500="OUT")*(MOUVEMENTS!$A$3:$A$500&gt;=B5)*(MOUVEMENTS!$A$3:$A$500&lt;=D5)*MOUVEMENTS!$E$3:$E$500),0)</f>
        <v>0</v>
      </c>
      <c r="F10" s="189" t="n">
        <f aca="false">D10-E10</f>
        <v>0</v>
      </c>
      <c r="G10" s="188" t="n">
        <f aca="false">IFERROR(F10*VLOOKUP(A10,ARTICLES!$A$3:$G$500,7,0),0)</f>
        <v>0</v>
      </c>
      <c r="H10" s="185" t="str">
        <f aca="false">IF(F10&lt;0,"!! NÉGATIF",IF(F10=0,"!! RUPTURE","OK"))</f>
        <v>!! RUPTURE</v>
      </c>
    </row>
    <row r="11" customFormat="false" ht="18" hidden="false" customHeight="true" outlineLevel="0" collapsed="false">
      <c r="A11" s="181" t="s">
        <v>93</v>
      </c>
      <c r="B11" s="80" t="str">
        <f aca="false">IFERROR(VLOOKUP(A11,ARTICLES!$A$3:$B$500,2,0),"")</f>
        <v>Agrafeuse de bureau</v>
      </c>
      <c r="C11" s="182" t="str">
        <f aca="false">IFERROR(VLOOKUP(A11,ARTICLES!$A$3:$E$500,5,0),"")</f>
        <v>C</v>
      </c>
      <c r="D11" s="183" t="n">
        <f aca="false">IFERROR(SUMPRODUCT((MOUVEMENTS!$B$3:$B$500=A11)*(MOUVEMENTS!$D$3:$D$500="IN")*(MOUVEMENTS!$A$3:$A$500&gt;=B5)*(MOUVEMENTS!$A$3:$A$500&lt;=D5)*MOUVEMENTS!$E$3:$E$500),0)</f>
        <v>0</v>
      </c>
      <c r="E11" s="183" t="n">
        <f aca="false">IFERROR(SUMPRODUCT((MOUVEMENTS!$B$3:$B$500=A11)*(MOUVEMENTS!$D$3:$D$500="OUT")*(MOUVEMENTS!$A$3:$A$500&gt;=B5)*(MOUVEMENTS!$A$3:$A$500&lt;=D5)*MOUVEMENTS!$E$3:$E$500),0)</f>
        <v>0</v>
      </c>
      <c r="F11" s="184" t="n">
        <f aca="false">D11-E11</f>
        <v>0</v>
      </c>
      <c r="G11" s="183" t="n">
        <f aca="false">IFERROR(F11*VLOOKUP(A11,ARTICLES!$A$3:$G$500,7,0),0)</f>
        <v>0</v>
      </c>
      <c r="H11" s="181" t="str">
        <f aca="false">IF(F11&lt;0,"!! NÉGATIF",IF(F11=0,"!! RUPTURE","OK"))</f>
        <v>!! RUPTURE</v>
      </c>
    </row>
    <row r="12" customFormat="false" ht="18" hidden="false" customHeight="true" outlineLevel="0" collapsed="false">
      <c r="A12" s="185" t="s">
        <v>99</v>
      </c>
      <c r="B12" s="186" t="str">
        <f aca="false">IFERROR(VLOOKUP(A12,ARTICLES!$A$3:$B$500,2,0),"")</f>
        <v>Stylos bille boîte/50</v>
      </c>
      <c r="C12" s="187" t="str">
        <f aca="false">IFERROR(VLOOKUP(A12,ARTICLES!$A$3:$E$500,5,0),"")</f>
        <v>C</v>
      </c>
      <c r="D12" s="188" t="n">
        <f aca="false">IFERROR(SUMPRODUCT((MOUVEMENTS!$B$3:$B$500=A12)*(MOUVEMENTS!$D$3:$D$500="IN")*(MOUVEMENTS!$A$3:$A$500&gt;=B5)*(MOUVEMENTS!$A$3:$A$500&lt;=D5)*MOUVEMENTS!$E$3:$E$500),0)</f>
        <v>0</v>
      </c>
      <c r="E12" s="188" t="n">
        <f aca="false">IFERROR(SUMPRODUCT((MOUVEMENTS!$B$3:$B$500=A12)*(MOUVEMENTS!$D$3:$D$500="OUT")*(MOUVEMENTS!$A$3:$A$500&gt;=B5)*(MOUVEMENTS!$A$3:$A$500&lt;=D5)*MOUVEMENTS!$E$3:$E$500),0)</f>
        <v>0</v>
      </c>
      <c r="F12" s="189" t="n">
        <f aca="false">D12-E12</f>
        <v>0</v>
      </c>
      <c r="G12" s="188" t="n">
        <f aca="false">IFERROR(F12*VLOOKUP(A12,ARTICLES!$A$3:$G$500,7,0),0)</f>
        <v>0</v>
      </c>
      <c r="H12" s="185" t="str">
        <f aca="false">IF(F12&lt;0,"!! NÉGATIF",IF(F12=0,"!! RUPTURE","OK"))</f>
        <v>!! RUPTURE</v>
      </c>
    </row>
    <row r="13" customFormat="false" ht="18" hidden="false" customHeight="true" outlineLevel="0" collapsed="false">
      <c r="A13" s="181" t="s">
        <v>106</v>
      </c>
      <c r="B13" s="80" t="str">
        <f aca="false">IFERROR(VLOOKUP(A13,ARTICLES!$A$3:$B$500,2,0),"")</f>
        <v>Registre grand format 5m</v>
      </c>
      <c r="C13" s="182" t="str">
        <f aca="false">IFERROR(VLOOKUP(A13,ARTICLES!$A$3:$E$500,5,0),"")</f>
        <v>C</v>
      </c>
      <c r="D13" s="183" t="n">
        <f aca="false">IFERROR(SUMPRODUCT((MOUVEMENTS!$B$3:$B$500=A13)*(MOUVEMENTS!$D$3:$D$500="IN")*(MOUVEMENTS!$A$3:$A$500&gt;=B5)*(MOUVEMENTS!$A$3:$A$500&lt;=D5)*MOUVEMENTS!$E$3:$E$500),0)</f>
        <v>0</v>
      </c>
      <c r="E13" s="183" t="n">
        <f aca="false">IFERROR(SUMPRODUCT((MOUVEMENTS!$B$3:$B$500=A13)*(MOUVEMENTS!$D$3:$D$500="OUT")*(MOUVEMENTS!$A$3:$A$500&gt;=B5)*(MOUVEMENTS!$A$3:$A$500&lt;=D5)*MOUVEMENTS!$E$3:$E$500),0)</f>
        <v>0</v>
      </c>
      <c r="F13" s="184" t="n">
        <f aca="false">D13-E13</f>
        <v>0</v>
      </c>
      <c r="G13" s="183" t="n">
        <f aca="false">IFERROR(F13*VLOOKUP(A13,ARTICLES!$A$3:$G$500,7,0),0)</f>
        <v>0</v>
      </c>
      <c r="H13" s="181" t="str">
        <f aca="false">IF(F13&lt;0,"!! NÉGATIF",IF(F13=0,"!! RUPTURE","OK"))</f>
        <v>!! RUPTURE</v>
      </c>
    </row>
    <row r="14" customFormat="false" ht="18" hidden="false" customHeight="true" outlineLevel="0" collapsed="false">
      <c r="A14" s="185" t="s">
        <v>113</v>
      </c>
      <c r="B14" s="186" t="str">
        <f aca="false">IFERROR(VLOOKUP(A14,ARTICLES!$A$3:$B$500,2,0),"")</f>
        <v>Encre tampon</v>
      </c>
      <c r="C14" s="187" t="str">
        <f aca="false">IFERROR(VLOOKUP(A14,ARTICLES!$A$3:$E$500,5,0),"")</f>
        <v>C</v>
      </c>
      <c r="D14" s="188" t="n">
        <f aca="false">IFERROR(SUMPRODUCT((MOUVEMENTS!$B$3:$B$500=A14)*(MOUVEMENTS!$D$3:$D$500="IN")*(MOUVEMENTS!$A$3:$A$500&gt;=B5)*(MOUVEMENTS!$A$3:$A$500&lt;=D5)*MOUVEMENTS!$E$3:$E$500),0)</f>
        <v>0</v>
      </c>
      <c r="E14" s="188" t="n">
        <f aca="false">IFERROR(SUMPRODUCT((MOUVEMENTS!$B$3:$B$500=A14)*(MOUVEMENTS!$D$3:$D$500="OUT")*(MOUVEMENTS!$A$3:$A$500&gt;=B5)*(MOUVEMENTS!$A$3:$A$500&lt;=D5)*MOUVEMENTS!$E$3:$E$500),0)</f>
        <v>0</v>
      </c>
      <c r="F14" s="189" t="n">
        <f aca="false">D14-E14</f>
        <v>0</v>
      </c>
      <c r="G14" s="188" t="n">
        <f aca="false">IFERROR(F14*VLOOKUP(A14,ARTICLES!$A$3:$G$500,7,0),0)</f>
        <v>0</v>
      </c>
      <c r="H14" s="185" t="str">
        <f aca="false">IF(F14&lt;0,"!! NÉGATIF",IF(F14=0,"!! RUPTURE","OK"))</f>
        <v>!! RUPTURE</v>
      </c>
    </row>
    <row r="15" customFormat="false" ht="18" hidden="false" customHeight="true" outlineLevel="0" collapsed="false">
      <c r="A15" s="181" t="s">
        <v>119</v>
      </c>
      <c r="B15" s="80" t="str">
        <f aca="false">IFERROR(VLOOKUP(A15,ARTICLES!$A$3:$B$500,2,0),"")</f>
        <v>Sous-chemise carton</v>
      </c>
      <c r="C15" s="182" t="str">
        <f aca="false">IFERROR(VLOOKUP(A15,ARTICLES!$A$3:$E$500,5,0),"")</f>
        <v>C</v>
      </c>
      <c r="D15" s="183" t="n">
        <f aca="false">IFERROR(SUMPRODUCT((MOUVEMENTS!$B$3:$B$500=A15)*(MOUVEMENTS!$D$3:$D$500="IN")*(MOUVEMENTS!$A$3:$A$500&gt;=B5)*(MOUVEMENTS!$A$3:$A$500&lt;=D5)*MOUVEMENTS!$E$3:$E$500),0)</f>
        <v>0</v>
      </c>
      <c r="E15" s="183" t="n">
        <f aca="false">IFERROR(SUMPRODUCT((MOUVEMENTS!$B$3:$B$500=A15)*(MOUVEMENTS!$D$3:$D$500="OUT")*(MOUVEMENTS!$A$3:$A$500&gt;=B5)*(MOUVEMENTS!$A$3:$A$500&lt;=D5)*MOUVEMENTS!$E$3:$E$500),0)</f>
        <v>0</v>
      </c>
      <c r="F15" s="184" t="n">
        <f aca="false">D15-E15</f>
        <v>0</v>
      </c>
      <c r="G15" s="183" t="n">
        <f aca="false">IFERROR(F15*VLOOKUP(A15,ARTICLES!$A$3:$G$500,7,0),0)</f>
        <v>0</v>
      </c>
      <c r="H15" s="181" t="str">
        <f aca="false">IF(F15&lt;0,"!! NÉGATIF",IF(F15=0,"!! RUPTURE","OK"))</f>
        <v>!! RUPTURE</v>
      </c>
    </row>
    <row r="16" customFormat="false" ht="18" hidden="false" customHeight="true" outlineLevel="0" collapsed="false">
      <c r="A16" s="185" t="s">
        <v>123</v>
      </c>
      <c r="B16" s="186" t="str">
        <f aca="false">IFERROR(VLOOKUP(A16,ARTICLES!$A$3:$B$500,2,0),"")</f>
        <v>Chemise cartonnée</v>
      </c>
      <c r="C16" s="187" t="str">
        <f aca="false">IFERROR(VLOOKUP(A16,ARTICLES!$A$3:$E$500,5,0),"")</f>
        <v>C</v>
      </c>
      <c r="D16" s="188" t="n">
        <f aca="false">IFERROR(SUMPRODUCT((MOUVEMENTS!$B$3:$B$500=A16)*(MOUVEMENTS!$D$3:$D$500="IN")*(MOUVEMENTS!$A$3:$A$500&gt;=B5)*(MOUVEMENTS!$A$3:$A$500&lt;=D5)*MOUVEMENTS!$E$3:$E$500),0)</f>
        <v>0</v>
      </c>
      <c r="E16" s="188" t="n">
        <f aca="false">IFERROR(SUMPRODUCT((MOUVEMENTS!$B$3:$B$500=A16)*(MOUVEMENTS!$D$3:$D$500="OUT")*(MOUVEMENTS!$A$3:$A$500&gt;=B5)*(MOUVEMENTS!$A$3:$A$500&lt;=D5)*MOUVEMENTS!$E$3:$E$500),0)</f>
        <v>0</v>
      </c>
      <c r="F16" s="189" t="n">
        <f aca="false">D16-E16</f>
        <v>0</v>
      </c>
      <c r="G16" s="188" t="n">
        <f aca="false">IFERROR(F16*VLOOKUP(A16,ARTICLES!$A$3:$G$500,7,0),0)</f>
        <v>0</v>
      </c>
      <c r="H16" s="185" t="str">
        <f aca="false">IF(F16&lt;0,"!! NÉGATIF",IF(F16=0,"!! RUPTURE","OK"))</f>
        <v>!! RUPTURE</v>
      </c>
    </row>
    <row r="17" customFormat="false" ht="18" hidden="false" customHeight="true" outlineLevel="0" collapsed="false">
      <c r="A17" s="181" t="s">
        <v>127</v>
      </c>
      <c r="B17" s="80" t="str">
        <f aca="false">IFERROR(VLOOKUP(A17,ARTICLES!$A$3:$B$500,2,0),"")</f>
        <v>Rouleau papier fax</v>
      </c>
      <c r="C17" s="182" t="str">
        <f aca="false">IFERROR(VLOOKUP(A17,ARTICLES!$A$3:$E$500,5,0),"")</f>
        <v>C</v>
      </c>
      <c r="D17" s="183" t="n">
        <f aca="false">IFERROR(SUMPRODUCT((MOUVEMENTS!$B$3:$B$500=A17)*(MOUVEMENTS!$D$3:$D$500="IN")*(MOUVEMENTS!$A$3:$A$500&gt;=B5)*(MOUVEMENTS!$A$3:$A$500&lt;=D5)*MOUVEMENTS!$E$3:$E$500),0)</f>
        <v>0</v>
      </c>
      <c r="E17" s="183" t="n">
        <f aca="false">IFERROR(SUMPRODUCT((MOUVEMENTS!$B$3:$B$500=A17)*(MOUVEMENTS!$D$3:$D$500="OUT")*(MOUVEMENTS!$A$3:$A$500&gt;=B5)*(MOUVEMENTS!$A$3:$A$500&lt;=D5)*MOUVEMENTS!$E$3:$E$500),0)</f>
        <v>0</v>
      </c>
      <c r="F17" s="184" t="n">
        <f aca="false">D17-E17</f>
        <v>0</v>
      </c>
      <c r="G17" s="183" t="n">
        <f aca="false">IFERROR(F17*VLOOKUP(A17,ARTICLES!$A$3:$G$500,7,0),0)</f>
        <v>0</v>
      </c>
      <c r="H17" s="181" t="str">
        <f aca="false">IF(F17&lt;0,"!! NÉGATIF",IF(F17=0,"!! RUPTURE","OK"))</f>
        <v>!! RUPTURE</v>
      </c>
    </row>
    <row r="18" customFormat="false" ht="18" hidden="false" customHeight="true" outlineLevel="0" collapsed="false">
      <c r="A18" s="185" t="s">
        <v>134</v>
      </c>
      <c r="B18" s="186" t="str">
        <f aca="false">IFERROR(VLOOKUP(A18,ARTICLES!$A$3:$B$500,2,0),"")</f>
        <v>Marqueur permanent noir</v>
      </c>
      <c r="C18" s="187" t="str">
        <f aca="false">IFERROR(VLOOKUP(A18,ARTICLES!$A$3:$E$500,5,0),"")</f>
        <v>C</v>
      </c>
      <c r="D18" s="188" t="n">
        <f aca="false">IFERROR(SUMPRODUCT((MOUVEMENTS!$B$3:$B$500=A18)*(MOUVEMENTS!$D$3:$D$500="IN")*(MOUVEMENTS!$A$3:$A$500&gt;=B5)*(MOUVEMENTS!$A$3:$A$500&lt;=D5)*MOUVEMENTS!$E$3:$E$500),0)</f>
        <v>0</v>
      </c>
      <c r="E18" s="188" t="n">
        <f aca="false">IFERROR(SUMPRODUCT((MOUVEMENTS!$B$3:$B$500=A18)*(MOUVEMENTS!$D$3:$D$500="OUT")*(MOUVEMENTS!$A$3:$A$500&gt;=B5)*(MOUVEMENTS!$A$3:$A$500&lt;=D5)*MOUVEMENTS!$E$3:$E$500),0)</f>
        <v>0</v>
      </c>
      <c r="F18" s="189" t="n">
        <f aca="false">D18-E18</f>
        <v>0</v>
      </c>
      <c r="G18" s="188" t="n">
        <f aca="false">IFERROR(F18*VLOOKUP(A18,ARTICLES!$A$3:$G$500,7,0),0)</f>
        <v>0</v>
      </c>
      <c r="H18" s="185" t="str">
        <f aca="false">IF(F18&lt;0,"!! NÉGATIF",IF(F18=0,"!! RUPTURE","OK"))</f>
        <v>!! RUPTURE</v>
      </c>
    </row>
    <row r="19" customFormat="false" ht="21.75" hidden="false" customHeight="true" outlineLevel="0" collapsed="false">
      <c r="A19" s="190" t="s">
        <v>310</v>
      </c>
      <c r="B19" s="190" t="s">
        <v>346</v>
      </c>
      <c r="C19" s="190"/>
      <c r="D19" s="191" t="n">
        <f aca="false">SUM(D7:D18)</f>
        <v>0</v>
      </c>
      <c r="E19" s="191" t="n">
        <f aca="false">SUM(E7:E18)</f>
        <v>0</v>
      </c>
      <c r="F19" s="191" t="n">
        <f aca="false">SUM(F7:F18)</f>
        <v>0</v>
      </c>
      <c r="G19" s="191" t="n">
        <f aca="false">SUM(G7:G18)</f>
        <v>0</v>
      </c>
      <c r="H19" s="192"/>
    </row>
    <row r="20" customFormat="false" ht="25.5" hidden="false" customHeight="true" outlineLevel="0" collapsed="false">
      <c r="A20" s="193" t="s">
        <v>347</v>
      </c>
      <c r="B20" s="193"/>
      <c r="C20" s="193"/>
      <c r="D20" s="193"/>
      <c r="E20" s="193"/>
      <c r="F20" s="193"/>
      <c r="G20" s="193"/>
      <c r="H20" s="193"/>
    </row>
    <row r="23" customFormat="false" ht="24" hidden="false" customHeight="true" outlineLevel="0" collapsed="false">
      <c r="A23" s="175" t="s">
        <v>348</v>
      </c>
      <c r="B23" s="175"/>
      <c r="C23" s="175"/>
      <c r="D23" s="175"/>
      <c r="E23" s="175"/>
      <c r="F23" s="175"/>
      <c r="G23" s="175"/>
      <c r="H23" s="175"/>
    </row>
    <row r="24" customFormat="false" ht="21.75" hidden="false" customHeight="true" outlineLevel="0" collapsed="false">
      <c r="A24" s="176" t="s">
        <v>335</v>
      </c>
      <c r="B24" s="194" t="n">
        <f aca="true">TODAY()-30</f>
        <v>46084</v>
      </c>
      <c r="C24" s="178" t="s">
        <v>336</v>
      </c>
      <c r="D24" s="194" t="n">
        <f aca="true">TODAY()</f>
        <v>46114</v>
      </c>
      <c r="E24" s="179" t="s">
        <v>337</v>
      </c>
      <c r="F24" s="179"/>
      <c r="G24" s="179"/>
      <c r="H24" s="179"/>
    </row>
    <row r="25" customFormat="false" ht="31.5" hidden="false" customHeight="true" outlineLevel="0" collapsed="false">
      <c r="A25" s="180" t="s">
        <v>338</v>
      </c>
      <c r="B25" s="180" t="s">
        <v>339</v>
      </c>
      <c r="C25" s="180" t="s">
        <v>340</v>
      </c>
      <c r="D25" s="180" t="s">
        <v>341</v>
      </c>
      <c r="E25" s="180" t="s">
        <v>342</v>
      </c>
      <c r="F25" s="180" t="s">
        <v>343</v>
      </c>
      <c r="G25" s="180" t="s">
        <v>344</v>
      </c>
      <c r="H25" s="180" t="s">
        <v>345</v>
      </c>
    </row>
    <row r="26" customFormat="false" ht="18" hidden="false" customHeight="true" outlineLevel="0" collapsed="false">
      <c r="A26" s="181" t="s">
        <v>60</v>
      </c>
      <c r="B26" s="80" t="str">
        <f aca="false">IFERROR(VLOOKUP(A26,ARTICLES!$A$3:$B$500,2,0),"")</f>
        <v>Rame papier A4 80g/m²</v>
      </c>
      <c r="C26" s="182" t="str">
        <f aca="false">IFERROR(VLOOKUP(A26,ARTICLES!$A$3:$E$500,5,0),"")</f>
        <v>A</v>
      </c>
      <c r="D26" s="183" t="n">
        <f aca="false">IFERROR(SUMPRODUCT((MOUVEMENTS!$B$3:$B$500=A26)*(MOUVEMENTS!$D$3:$D$500="IN")*(MOUVEMENTS!$A$3:$A$500&gt;=B24)*(MOUVEMENTS!$A$3:$A$500&lt;=D24)*MOUVEMENTS!$E$3:$E$500),0)</f>
        <v>0</v>
      </c>
      <c r="E26" s="183" t="n">
        <f aca="false">IFERROR(SUMPRODUCT((MOUVEMENTS!$B$3:$B$500=A26)*(MOUVEMENTS!$D$3:$D$500="OUT")*(MOUVEMENTS!$A$3:$A$500&gt;=B24)*(MOUVEMENTS!$A$3:$A$500&lt;=D24)*MOUVEMENTS!$E$3:$E$500),0)</f>
        <v>80</v>
      </c>
      <c r="F26" s="184" t="n">
        <f aca="false">D26-E26</f>
        <v>-80</v>
      </c>
      <c r="G26" s="183" t="n">
        <f aca="false">IFERROR(F26*VLOOKUP(A26,ARTICLES!$A$3:$G$500,7,0),0)</f>
        <v>-120000</v>
      </c>
      <c r="H26" s="181" t="str">
        <f aca="false">IF(F26&lt;0,"!! NÉGATIF",IF(F26=0,"!! RUPTURE","OK"))</f>
        <v>!! NÉGATIF</v>
      </c>
    </row>
    <row r="27" customFormat="false" ht="18" hidden="false" customHeight="true" outlineLevel="0" collapsed="false">
      <c r="A27" s="185" t="s">
        <v>70</v>
      </c>
      <c r="B27" s="186" t="str">
        <f aca="false">IFERROR(VLOOKUP(A27,ARTICLES!$A$3:$B$500,2,0),"")</f>
        <v>Toner imprimante G030 (noir)</v>
      </c>
      <c r="C27" s="187" t="str">
        <f aca="false">IFERROR(VLOOKUP(A27,ARTICLES!$A$3:$E$500,5,0),"")</f>
        <v>B</v>
      </c>
      <c r="D27" s="188" t="n">
        <f aca="false">IFERROR(SUMPRODUCT((MOUVEMENTS!$B$3:$B$500=A27)*(MOUVEMENTS!$D$3:$D$500="IN")*(MOUVEMENTS!$A$3:$A$500&gt;=B24)*(MOUVEMENTS!$A$3:$A$500&lt;=D24)*MOUVEMENTS!$E$3:$E$500),0)</f>
        <v>0</v>
      </c>
      <c r="E27" s="188" t="n">
        <f aca="false">IFERROR(SUMPRODUCT((MOUVEMENTS!$B$3:$B$500=A27)*(MOUVEMENTS!$D$3:$D$500="OUT")*(MOUVEMENTS!$A$3:$A$500&gt;=B24)*(MOUVEMENTS!$A$3:$A$500&lt;=D24)*MOUVEMENTS!$E$3:$E$500),0)</f>
        <v>0</v>
      </c>
      <c r="F27" s="189" t="n">
        <f aca="false">D27-E27</f>
        <v>0</v>
      </c>
      <c r="G27" s="188" t="n">
        <f aca="false">IFERROR(F27*VLOOKUP(A27,ARTICLES!$A$3:$G$500,7,0),0)</f>
        <v>0</v>
      </c>
      <c r="H27" s="185" t="str">
        <f aca="false">IF(F27&lt;0,"!! NÉGATIF",IF(F27=0,"!! RUPTURE","OK"))</f>
        <v>!! RUPTURE</v>
      </c>
    </row>
    <row r="28" customFormat="false" ht="18" hidden="false" customHeight="true" outlineLevel="0" collapsed="false">
      <c r="A28" s="181" t="s">
        <v>79</v>
      </c>
      <c r="B28" s="80" t="str">
        <f aca="false">IFERROR(VLOOKUP(A28,ARTICLES!$A$3:$B$500,2,0),"")</f>
        <v>Rame papier A3 80g/m²</v>
      </c>
      <c r="C28" s="182" t="str">
        <f aca="false">IFERROR(VLOOKUP(A28,ARTICLES!$A$3:$E$500,5,0),"")</f>
        <v>B</v>
      </c>
      <c r="D28" s="183" t="n">
        <f aca="false">IFERROR(SUMPRODUCT((MOUVEMENTS!$B$3:$B$500=A28)*(MOUVEMENTS!$D$3:$D$500="IN")*(MOUVEMENTS!$A$3:$A$500&gt;=B24)*(MOUVEMENTS!$A$3:$A$500&lt;=D24)*MOUVEMENTS!$E$3:$E$500),0)</f>
        <v>0</v>
      </c>
      <c r="E28" s="183" t="n">
        <f aca="false">IFERROR(SUMPRODUCT((MOUVEMENTS!$B$3:$B$500=A28)*(MOUVEMENTS!$D$3:$D$500="OUT")*(MOUVEMENTS!$A$3:$A$500&gt;=B24)*(MOUVEMENTS!$A$3:$A$500&lt;=D24)*MOUVEMENTS!$E$3:$E$500),0)</f>
        <v>38</v>
      </c>
      <c r="F28" s="184" t="n">
        <f aca="false">D28-E28</f>
        <v>-38</v>
      </c>
      <c r="G28" s="183" t="n">
        <f aca="false">IFERROR(F28*VLOOKUP(A28,ARTICLES!$A$3:$G$500,7,0),0)</f>
        <v>-5700</v>
      </c>
      <c r="H28" s="181" t="str">
        <f aca="false">IF(F28&lt;0,"!! NÉGATIF",IF(F28=0,"!! RUPTURE","OK"))</f>
        <v>!! NÉGATIF</v>
      </c>
    </row>
    <row r="29" customFormat="false" ht="18" hidden="false" customHeight="true" outlineLevel="0" collapsed="false">
      <c r="A29" s="185" t="s">
        <v>84</v>
      </c>
      <c r="B29" s="186" t="str">
        <f aca="false">IFERROR(VLOOKUP(A29,ARTICLES!$A$3:$B$500,2,0),"")</f>
        <v>Boîte archives carton</v>
      </c>
      <c r="C29" s="187" t="str">
        <f aca="false">IFERROR(VLOOKUP(A29,ARTICLES!$A$3:$E$500,5,0),"")</f>
        <v>C</v>
      </c>
      <c r="D29" s="188" t="n">
        <f aca="false">IFERROR(SUMPRODUCT((MOUVEMENTS!$B$3:$B$500=A29)*(MOUVEMENTS!$D$3:$D$500="IN")*(MOUVEMENTS!$A$3:$A$500&gt;=B24)*(MOUVEMENTS!$A$3:$A$500&lt;=D24)*MOUVEMENTS!$E$3:$E$500),0)</f>
        <v>0</v>
      </c>
      <c r="E29" s="188" t="n">
        <f aca="false">IFERROR(SUMPRODUCT((MOUVEMENTS!$B$3:$B$500=A29)*(MOUVEMENTS!$D$3:$D$500="OUT")*(MOUVEMENTS!$A$3:$A$500&gt;=B24)*(MOUVEMENTS!$A$3:$A$500&lt;=D24)*MOUVEMENTS!$E$3:$E$500),0)</f>
        <v>0</v>
      </c>
      <c r="F29" s="189" t="n">
        <f aca="false">D29-E29</f>
        <v>0</v>
      </c>
      <c r="G29" s="188" t="n">
        <f aca="false">IFERROR(F29*VLOOKUP(A29,ARTICLES!$A$3:$G$500,7,0),0)</f>
        <v>0</v>
      </c>
      <c r="H29" s="185" t="str">
        <f aca="false">IF(F29&lt;0,"!! NÉGATIF",IF(F29=0,"!! RUPTURE","OK"))</f>
        <v>!! RUPTURE</v>
      </c>
    </row>
    <row r="30" customFormat="false" ht="18" hidden="false" customHeight="true" outlineLevel="0" collapsed="false">
      <c r="A30" s="181" t="s">
        <v>93</v>
      </c>
      <c r="B30" s="80" t="str">
        <f aca="false">IFERROR(VLOOKUP(A30,ARTICLES!$A$3:$B$500,2,0),"")</f>
        <v>Agrafeuse de bureau</v>
      </c>
      <c r="C30" s="182" t="str">
        <f aca="false">IFERROR(VLOOKUP(A30,ARTICLES!$A$3:$E$500,5,0),"")</f>
        <v>C</v>
      </c>
      <c r="D30" s="183" t="n">
        <f aca="false">IFERROR(SUMPRODUCT((MOUVEMENTS!$B$3:$B$500=A30)*(MOUVEMENTS!$D$3:$D$500="IN")*(MOUVEMENTS!$A$3:$A$500&gt;=B24)*(MOUVEMENTS!$A$3:$A$500&lt;=D24)*MOUVEMENTS!$E$3:$E$500),0)</f>
        <v>0</v>
      </c>
      <c r="E30" s="183" t="n">
        <f aca="false">IFERROR(SUMPRODUCT((MOUVEMENTS!$B$3:$B$500=A30)*(MOUVEMENTS!$D$3:$D$500="OUT")*(MOUVEMENTS!$A$3:$A$500&gt;=B24)*(MOUVEMENTS!$A$3:$A$500&lt;=D24)*MOUVEMENTS!$E$3:$E$500),0)</f>
        <v>0</v>
      </c>
      <c r="F30" s="184" t="n">
        <f aca="false">D30-E30</f>
        <v>0</v>
      </c>
      <c r="G30" s="183" t="n">
        <f aca="false">IFERROR(F30*VLOOKUP(A30,ARTICLES!$A$3:$G$500,7,0),0)</f>
        <v>0</v>
      </c>
      <c r="H30" s="181" t="str">
        <f aca="false">IF(F30&lt;0,"!! NÉGATIF",IF(F30=0,"!! RUPTURE","OK"))</f>
        <v>!! RUPTURE</v>
      </c>
    </row>
    <row r="31" customFormat="false" ht="18" hidden="false" customHeight="true" outlineLevel="0" collapsed="false">
      <c r="A31" s="185" t="s">
        <v>99</v>
      </c>
      <c r="B31" s="186" t="str">
        <f aca="false">IFERROR(VLOOKUP(A31,ARTICLES!$A$3:$B$500,2,0),"")</f>
        <v>Stylos bille boîte/50</v>
      </c>
      <c r="C31" s="187" t="str">
        <f aca="false">IFERROR(VLOOKUP(A31,ARTICLES!$A$3:$E$500,5,0),"")</f>
        <v>C</v>
      </c>
      <c r="D31" s="188" t="n">
        <f aca="false">IFERROR(SUMPRODUCT((MOUVEMENTS!$B$3:$B$500=A31)*(MOUVEMENTS!$D$3:$D$500="IN")*(MOUVEMENTS!$A$3:$A$500&gt;=B24)*(MOUVEMENTS!$A$3:$A$500&lt;=D24)*MOUVEMENTS!$E$3:$E$500),0)</f>
        <v>0</v>
      </c>
      <c r="E31" s="188" t="n">
        <f aca="false">IFERROR(SUMPRODUCT((MOUVEMENTS!$B$3:$B$500=A31)*(MOUVEMENTS!$D$3:$D$500="OUT")*(MOUVEMENTS!$A$3:$A$500&gt;=B24)*(MOUVEMENTS!$A$3:$A$500&lt;=D24)*MOUVEMENTS!$E$3:$E$500),0)</f>
        <v>0</v>
      </c>
      <c r="F31" s="189" t="n">
        <f aca="false">D31-E31</f>
        <v>0</v>
      </c>
      <c r="G31" s="188" t="n">
        <f aca="false">IFERROR(F31*VLOOKUP(A31,ARTICLES!$A$3:$G$500,7,0),0)</f>
        <v>0</v>
      </c>
      <c r="H31" s="185" t="str">
        <f aca="false">IF(F31&lt;0,"!! NÉGATIF",IF(F31=0,"!! RUPTURE","OK"))</f>
        <v>!! RUPTURE</v>
      </c>
    </row>
    <row r="32" customFormat="false" ht="18" hidden="false" customHeight="true" outlineLevel="0" collapsed="false">
      <c r="A32" s="181" t="s">
        <v>106</v>
      </c>
      <c r="B32" s="80" t="str">
        <f aca="false">IFERROR(VLOOKUP(A32,ARTICLES!$A$3:$B$500,2,0),"")</f>
        <v>Registre grand format 5m</v>
      </c>
      <c r="C32" s="182" t="str">
        <f aca="false">IFERROR(VLOOKUP(A32,ARTICLES!$A$3:$E$500,5,0),"")</f>
        <v>C</v>
      </c>
      <c r="D32" s="183" t="n">
        <f aca="false">IFERROR(SUMPRODUCT((MOUVEMENTS!$B$3:$B$500=A32)*(MOUVEMENTS!$D$3:$D$500="IN")*(MOUVEMENTS!$A$3:$A$500&gt;=B24)*(MOUVEMENTS!$A$3:$A$500&lt;=D24)*MOUVEMENTS!$E$3:$E$500),0)</f>
        <v>0</v>
      </c>
      <c r="E32" s="183" t="n">
        <f aca="false">IFERROR(SUMPRODUCT((MOUVEMENTS!$B$3:$B$500=A32)*(MOUVEMENTS!$D$3:$D$500="OUT")*(MOUVEMENTS!$A$3:$A$500&gt;=B24)*(MOUVEMENTS!$A$3:$A$500&lt;=D24)*MOUVEMENTS!$E$3:$E$500),0)</f>
        <v>0</v>
      </c>
      <c r="F32" s="184" t="n">
        <f aca="false">D32-E32</f>
        <v>0</v>
      </c>
      <c r="G32" s="183" t="n">
        <f aca="false">IFERROR(F32*VLOOKUP(A32,ARTICLES!$A$3:$G$500,7,0),0)</f>
        <v>0</v>
      </c>
      <c r="H32" s="181" t="str">
        <f aca="false">IF(F32&lt;0,"!! NÉGATIF",IF(F32=0,"!! RUPTURE","OK"))</f>
        <v>!! RUPTURE</v>
      </c>
    </row>
    <row r="33" customFormat="false" ht="18" hidden="false" customHeight="true" outlineLevel="0" collapsed="false">
      <c r="A33" s="185" t="s">
        <v>113</v>
      </c>
      <c r="B33" s="186" t="str">
        <f aca="false">IFERROR(VLOOKUP(A33,ARTICLES!$A$3:$B$500,2,0),"")</f>
        <v>Encre tampon</v>
      </c>
      <c r="C33" s="187" t="str">
        <f aca="false">IFERROR(VLOOKUP(A33,ARTICLES!$A$3:$E$500,5,0),"")</f>
        <v>C</v>
      </c>
      <c r="D33" s="188" t="n">
        <f aca="false">IFERROR(SUMPRODUCT((MOUVEMENTS!$B$3:$B$500=A33)*(MOUVEMENTS!$D$3:$D$500="IN")*(MOUVEMENTS!$A$3:$A$500&gt;=B24)*(MOUVEMENTS!$A$3:$A$500&lt;=D24)*MOUVEMENTS!$E$3:$E$500),0)</f>
        <v>0</v>
      </c>
      <c r="E33" s="188" t="n">
        <f aca="false">IFERROR(SUMPRODUCT((MOUVEMENTS!$B$3:$B$500=A33)*(MOUVEMENTS!$D$3:$D$500="OUT")*(MOUVEMENTS!$A$3:$A$500&gt;=B24)*(MOUVEMENTS!$A$3:$A$500&lt;=D24)*MOUVEMENTS!$E$3:$E$500),0)</f>
        <v>0</v>
      </c>
      <c r="F33" s="189" t="n">
        <f aca="false">D33-E33</f>
        <v>0</v>
      </c>
      <c r="G33" s="188" t="n">
        <f aca="false">IFERROR(F33*VLOOKUP(A33,ARTICLES!$A$3:$G$500,7,0),0)</f>
        <v>0</v>
      </c>
      <c r="H33" s="185" t="str">
        <f aca="false">IF(F33&lt;0,"!! NÉGATIF",IF(F33=0,"!! RUPTURE","OK"))</f>
        <v>!! RUPTURE</v>
      </c>
    </row>
    <row r="34" customFormat="false" ht="18" hidden="false" customHeight="true" outlineLevel="0" collapsed="false">
      <c r="A34" s="181" t="s">
        <v>119</v>
      </c>
      <c r="B34" s="80" t="str">
        <f aca="false">IFERROR(VLOOKUP(A34,ARTICLES!$A$3:$B$500,2,0),"")</f>
        <v>Sous-chemise carton</v>
      </c>
      <c r="C34" s="182" t="str">
        <f aca="false">IFERROR(VLOOKUP(A34,ARTICLES!$A$3:$E$500,5,0),"")</f>
        <v>C</v>
      </c>
      <c r="D34" s="183" t="n">
        <f aca="false">IFERROR(SUMPRODUCT((MOUVEMENTS!$B$3:$B$500=A34)*(MOUVEMENTS!$D$3:$D$500="IN")*(MOUVEMENTS!$A$3:$A$500&gt;=B24)*(MOUVEMENTS!$A$3:$A$500&lt;=D24)*MOUVEMENTS!$E$3:$E$500),0)</f>
        <v>0</v>
      </c>
      <c r="E34" s="183" t="n">
        <f aca="false">IFERROR(SUMPRODUCT((MOUVEMENTS!$B$3:$B$500=A34)*(MOUVEMENTS!$D$3:$D$500="OUT")*(MOUVEMENTS!$A$3:$A$500&gt;=B24)*(MOUVEMENTS!$A$3:$A$500&lt;=D24)*MOUVEMENTS!$E$3:$E$500),0)</f>
        <v>47</v>
      </c>
      <c r="F34" s="184" t="n">
        <f aca="false">D34-E34</f>
        <v>-47</v>
      </c>
      <c r="G34" s="183" t="n">
        <f aca="false">IFERROR(F34*VLOOKUP(A34,ARTICLES!$A$3:$G$500,7,0),0)</f>
        <v>-4700</v>
      </c>
      <c r="H34" s="181" t="str">
        <f aca="false">IF(F34&lt;0,"!! NÉGATIF",IF(F34=0,"!! RUPTURE","OK"))</f>
        <v>!! NÉGATIF</v>
      </c>
    </row>
    <row r="35" customFormat="false" ht="18" hidden="false" customHeight="true" outlineLevel="0" collapsed="false">
      <c r="A35" s="185" t="s">
        <v>123</v>
      </c>
      <c r="B35" s="186" t="str">
        <f aca="false">IFERROR(VLOOKUP(A35,ARTICLES!$A$3:$B$500,2,0),"")</f>
        <v>Chemise cartonnée</v>
      </c>
      <c r="C35" s="187" t="str">
        <f aca="false">IFERROR(VLOOKUP(A35,ARTICLES!$A$3:$E$500,5,0),"")</f>
        <v>C</v>
      </c>
      <c r="D35" s="188" t="n">
        <f aca="false">IFERROR(SUMPRODUCT((MOUVEMENTS!$B$3:$B$500=A35)*(MOUVEMENTS!$D$3:$D$500="IN")*(MOUVEMENTS!$A$3:$A$500&gt;=B24)*(MOUVEMENTS!$A$3:$A$500&lt;=D24)*MOUVEMENTS!$E$3:$E$500),0)</f>
        <v>0</v>
      </c>
      <c r="E35" s="188" t="n">
        <f aca="false">IFERROR(SUMPRODUCT((MOUVEMENTS!$B$3:$B$500=A35)*(MOUVEMENTS!$D$3:$D$500="OUT")*(MOUVEMENTS!$A$3:$A$500&gt;=B24)*(MOUVEMENTS!$A$3:$A$500&lt;=D24)*MOUVEMENTS!$E$3:$E$500),0)</f>
        <v>0</v>
      </c>
      <c r="F35" s="189" t="n">
        <f aca="false">D35-E35</f>
        <v>0</v>
      </c>
      <c r="G35" s="188" t="n">
        <f aca="false">IFERROR(F35*VLOOKUP(A35,ARTICLES!$A$3:$G$500,7,0),0)</f>
        <v>0</v>
      </c>
      <c r="H35" s="185" t="str">
        <f aca="false">IF(F35&lt;0,"!! NÉGATIF",IF(F35=0,"!! RUPTURE","OK"))</f>
        <v>!! RUPTURE</v>
      </c>
    </row>
    <row r="36" customFormat="false" ht="18" hidden="false" customHeight="true" outlineLevel="0" collapsed="false">
      <c r="A36" s="181" t="s">
        <v>127</v>
      </c>
      <c r="B36" s="80" t="str">
        <f aca="false">IFERROR(VLOOKUP(A36,ARTICLES!$A$3:$B$500,2,0),"")</f>
        <v>Rouleau papier fax</v>
      </c>
      <c r="C36" s="182" t="str">
        <f aca="false">IFERROR(VLOOKUP(A36,ARTICLES!$A$3:$E$500,5,0),"")</f>
        <v>C</v>
      </c>
      <c r="D36" s="183" t="n">
        <f aca="false">IFERROR(SUMPRODUCT((MOUVEMENTS!$B$3:$B$500=A36)*(MOUVEMENTS!$D$3:$D$500="IN")*(MOUVEMENTS!$A$3:$A$500&gt;=B24)*(MOUVEMENTS!$A$3:$A$500&lt;=D24)*MOUVEMENTS!$E$3:$E$500),0)</f>
        <v>0</v>
      </c>
      <c r="E36" s="183" t="n">
        <f aca="false">IFERROR(SUMPRODUCT((MOUVEMENTS!$B$3:$B$500=A36)*(MOUVEMENTS!$D$3:$D$500="OUT")*(MOUVEMENTS!$A$3:$A$500&gt;=B24)*(MOUVEMENTS!$A$3:$A$500&lt;=D24)*MOUVEMENTS!$E$3:$E$500),0)</f>
        <v>0</v>
      </c>
      <c r="F36" s="184" t="n">
        <f aca="false">D36-E36</f>
        <v>0</v>
      </c>
      <c r="G36" s="183" t="n">
        <f aca="false">IFERROR(F36*VLOOKUP(A36,ARTICLES!$A$3:$G$500,7,0),0)</f>
        <v>0</v>
      </c>
      <c r="H36" s="181" t="str">
        <f aca="false">IF(F36&lt;0,"!! NÉGATIF",IF(F36=0,"!! RUPTURE","OK"))</f>
        <v>!! RUPTURE</v>
      </c>
    </row>
    <row r="37" customFormat="false" ht="18" hidden="false" customHeight="true" outlineLevel="0" collapsed="false">
      <c r="A37" s="185" t="s">
        <v>134</v>
      </c>
      <c r="B37" s="186" t="str">
        <f aca="false">IFERROR(VLOOKUP(A37,ARTICLES!$A$3:$B$500,2,0),"")</f>
        <v>Marqueur permanent noir</v>
      </c>
      <c r="C37" s="187" t="str">
        <f aca="false">IFERROR(VLOOKUP(A37,ARTICLES!$A$3:$E$500,5,0),"")</f>
        <v>C</v>
      </c>
      <c r="D37" s="188" t="n">
        <f aca="false">IFERROR(SUMPRODUCT((MOUVEMENTS!$B$3:$B$500=A37)*(MOUVEMENTS!$D$3:$D$500="IN")*(MOUVEMENTS!$A$3:$A$500&gt;=B24)*(MOUVEMENTS!$A$3:$A$500&lt;=D24)*MOUVEMENTS!$E$3:$E$500),0)</f>
        <v>0</v>
      </c>
      <c r="E37" s="188" t="n">
        <f aca="false">IFERROR(SUMPRODUCT((MOUVEMENTS!$B$3:$B$500=A37)*(MOUVEMENTS!$D$3:$D$500="OUT")*(MOUVEMENTS!$A$3:$A$500&gt;=B24)*(MOUVEMENTS!$A$3:$A$500&lt;=D24)*MOUVEMENTS!$E$3:$E$500),0)</f>
        <v>0</v>
      </c>
      <c r="F37" s="189" t="n">
        <f aca="false">D37-E37</f>
        <v>0</v>
      </c>
      <c r="G37" s="188" t="n">
        <f aca="false">IFERROR(F37*VLOOKUP(A37,ARTICLES!$A$3:$G$500,7,0),0)</f>
        <v>0</v>
      </c>
      <c r="H37" s="185" t="str">
        <f aca="false">IF(F37&lt;0,"!! NÉGATIF",IF(F37=0,"!! RUPTURE","OK"))</f>
        <v>!! RUPTURE</v>
      </c>
    </row>
    <row r="38" customFormat="false" ht="21.75" hidden="false" customHeight="true" outlineLevel="0" collapsed="false">
      <c r="A38" s="190" t="s">
        <v>310</v>
      </c>
      <c r="B38" s="190" t="s">
        <v>346</v>
      </c>
      <c r="C38" s="190"/>
      <c r="D38" s="191" t="n">
        <f aca="false">SUM(D26:D37)</f>
        <v>0</v>
      </c>
      <c r="E38" s="191" t="n">
        <f aca="false">SUM(E26:E37)</f>
        <v>165</v>
      </c>
      <c r="F38" s="191" t="n">
        <f aca="false">SUM(F26:F37)</f>
        <v>-165</v>
      </c>
      <c r="G38" s="191" t="n">
        <f aca="false">SUM(G26:G37)</f>
        <v>-130400</v>
      </c>
      <c r="H38" s="192"/>
    </row>
    <row r="39" customFormat="false" ht="25.5" hidden="false" customHeight="true" outlineLevel="0" collapsed="false">
      <c r="A39" s="193" t="s">
        <v>349</v>
      </c>
      <c r="B39" s="193"/>
      <c r="C39" s="193"/>
      <c r="D39" s="193"/>
      <c r="E39" s="193"/>
      <c r="F39" s="193"/>
      <c r="G39" s="193"/>
      <c r="H39" s="193"/>
    </row>
    <row r="42" customFormat="false" ht="24" hidden="false" customHeight="true" outlineLevel="0" collapsed="false">
      <c r="A42" s="175" t="s">
        <v>350</v>
      </c>
      <c r="B42" s="175"/>
      <c r="C42" s="175"/>
      <c r="D42" s="175"/>
      <c r="E42" s="175"/>
      <c r="F42" s="175"/>
      <c r="G42" s="175"/>
      <c r="H42" s="175"/>
    </row>
    <row r="43" customFormat="false" ht="21.75" hidden="false" customHeight="true" outlineLevel="0" collapsed="false">
      <c r="A43" s="176" t="s">
        <v>335</v>
      </c>
      <c r="B43" s="195"/>
      <c r="C43" s="178" t="s">
        <v>336</v>
      </c>
      <c r="D43" s="195"/>
      <c r="E43" s="179" t="s">
        <v>337</v>
      </c>
      <c r="F43" s="179"/>
      <c r="G43" s="179"/>
      <c r="H43" s="179"/>
    </row>
    <row r="44" customFormat="false" ht="31.5" hidden="false" customHeight="true" outlineLevel="0" collapsed="false">
      <c r="A44" s="180" t="s">
        <v>338</v>
      </c>
      <c r="B44" s="180" t="s">
        <v>339</v>
      </c>
      <c r="C44" s="180" t="s">
        <v>340</v>
      </c>
      <c r="D44" s="180" t="s">
        <v>341</v>
      </c>
      <c r="E44" s="180" t="s">
        <v>342</v>
      </c>
      <c r="F44" s="180" t="s">
        <v>343</v>
      </c>
      <c r="G44" s="180" t="s">
        <v>344</v>
      </c>
      <c r="H44" s="180" t="s">
        <v>345</v>
      </c>
    </row>
    <row r="45" customFormat="false" ht="18" hidden="false" customHeight="true" outlineLevel="0" collapsed="false">
      <c r="A45" s="181" t="s">
        <v>60</v>
      </c>
      <c r="B45" s="80" t="str">
        <f aca="false">IFERROR(VLOOKUP(A45,ARTICLES!$A$3:$B$500,2,0),"")</f>
        <v>Rame papier A4 80g/m²</v>
      </c>
      <c r="C45" s="182" t="str">
        <f aca="false">IFERROR(VLOOKUP(A45,ARTICLES!$A$3:$E$500,5,0),"")</f>
        <v>A</v>
      </c>
      <c r="D45" s="183" t="n">
        <f aca="false">IFERROR(SUMPRODUCT((MOUVEMENTS!$B$3:$B$500=A45)*(MOUVEMENTS!$D$3:$D$500="IN")*(MOUVEMENTS!$A$3:$A$500&gt;=B43)*(MOUVEMENTS!$A$3:$A$500&lt;=D43)*MOUVEMENTS!$E$3:$E$500),0)</f>
        <v>0</v>
      </c>
      <c r="E45" s="183" t="n">
        <f aca="false">IFERROR(SUMPRODUCT((MOUVEMENTS!$B$3:$B$500=A45)*(MOUVEMENTS!$D$3:$D$500="OUT")*(MOUVEMENTS!$A$3:$A$500&gt;=B43)*(MOUVEMENTS!$A$3:$A$500&lt;=D43)*MOUVEMENTS!$E$3:$E$500),0)</f>
        <v>0</v>
      </c>
      <c r="F45" s="184" t="n">
        <f aca="false">D45-E45</f>
        <v>0</v>
      </c>
      <c r="G45" s="183" t="n">
        <f aca="false">IFERROR(F45*VLOOKUP(A45,ARTICLES!$A$3:$G$500,7,0),0)</f>
        <v>0</v>
      </c>
      <c r="H45" s="181" t="str">
        <f aca="false">IF(F45&lt;0,"!! NÉGATIF",IF(F45=0,"!! RUPTURE","OK"))</f>
        <v>!! RUPTURE</v>
      </c>
    </row>
    <row r="46" customFormat="false" ht="18" hidden="false" customHeight="true" outlineLevel="0" collapsed="false">
      <c r="A46" s="185" t="s">
        <v>70</v>
      </c>
      <c r="B46" s="186" t="str">
        <f aca="false">IFERROR(VLOOKUP(A46,ARTICLES!$A$3:$B$500,2,0),"")</f>
        <v>Toner imprimante G030 (noir)</v>
      </c>
      <c r="C46" s="187" t="str">
        <f aca="false">IFERROR(VLOOKUP(A46,ARTICLES!$A$3:$E$500,5,0),"")</f>
        <v>B</v>
      </c>
      <c r="D46" s="188" t="n">
        <f aca="false">IFERROR(SUMPRODUCT((MOUVEMENTS!$B$3:$B$500=A46)*(MOUVEMENTS!$D$3:$D$500="IN")*(MOUVEMENTS!$A$3:$A$500&gt;=B43)*(MOUVEMENTS!$A$3:$A$500&lt;=D43)*MOUVEMENTS!$E$3:$E$500),0)</f>
        <v>0</v>
      </c>
      <c r="E46" s="188" t="n">
        <f aca="false">IFERROR(SUMPRODUCT((MOUVEMENTS!$B$3:$B$500=A46)*(MOUVEMENTS!$D$3:$D$500="OUT")*(MOUVEMENTS!$A$3:$A$500&gt;=B43)*(MOUVEMENTS!$A$3:$A$500&lt;=D43)*MOUVEMENTS!$E$3:$E$500),0)</f>
        <v>0</v>
      </c>
      <c r="F46" s="189" t="n">
        <f aca="false">D46-E46</f>
        <v>0</v>
      </c>
      <c r="G46" s="188" t="n">
        <f aca="false">IFERROR(F46*VLOOKUP(A46,ARTICLES!$A$3:$G$500,7,0),0)</f>
        <v>0</v>
      </c>
      <c r="H46" s="185" t="str">
        <f aca="false">IF(F46&lt;0,"!! NÉGATIF",IF(F46=0,"!! RUPTURE","OK"))</f>
        <v>!! RUPTURE</v>
      </c>
    </row>
    <row r="47" customFormat="false" ht="18" hidden="false" customHeight="true" outlineLevel="0" collapsed="false">
      <c r="A47" s="181" t="s">
        <v>79</v>
      </c>
      <c r="B47" s="80" t="str">
        <f aca="false">IFERROR(VLOOKUP(A47,ARTICLES!$A$3:$B$500,2,0),"")</f>
        <v>Rame papier A3 80g/m²</v>
      </c>
      <c r="C47" s="182" t="str">
        <f aca="false">IFERROR(VLOOKUP(A47,ARTICLES!$A$3:$E$500,5,0),"")</f>
        <v>B</v>
      </c>
      <c r="D47" s="183" t="n">
        <f aca="false">IFERROR(SUMPRODUCT((MOUVEMENTS!$B$3:$B$500=A47)*(MOUVEMENTS!$D$3:$D$500="IN")*(MOUVEMENTS!$A$3:$A$500&gt;=B43)*(MOUVEMENTS!$A$3:$A$500&lt;=D43)*MOUVEMENTS!$E$3:$E$500),0)</f>
        <v>0</v>
      </c>
      <c r="E47" s="183" t="n">
        <f aca="false">IFERROR(SUMPRODUCT((MOUVEMENTS!$B$3:$B$500=A47)*(MOUVEMENTS!$D$3:$D$500="OUT")*(MOUVEMENTS!$A$3:$A$500&gt;=B43)*(MOUVEMENTS!$A$3:$A$500&lt;=D43)*MOUVEMENTS!$E$3:$E$500),0)</f>
        <v>0</v>
      </c>
      <c r="F47" s="184" t="n">
        <f aca="false">D47-E47</f>
        <v>0</v>
      </c>
      <c r="G47" s="183" t="n">
        <f aca="false">IFERROR(F47*VLOOKUP(A47,ARTICLES!$A$3:$G$500,7,0),0)</f>
        <v>0</v>
      </c>
      <c r="H47" s="181" t="str">
        <f aca="false">IF(F47&lt;0,"!! NÉGATIF",IF(F47=0,"!! RUPTURE","OK"))</f>
        <v>!! RUPTURE</v>
      </c>
    </row>
    <row r="48" customFormat="false" ht="18" hidden="false" customHeight="true" outlineLevel="0" collapsed="false">
      <c r="A48" s="185" t="s">
        <v>84</v>
      </c>
      <c r="B48" s="186" t="str">
        <f aca="false">IFERROR(VLOOKUP(A48,ARTICLES!$A$3:$B$500,2,0),"")</f>
        <v>Boîte archives carton</v>
      </c>
      <c r="C48" s="187" t="str">
        <f aca="false">IFERROR(VLOOKUP(A48,ARTICLES!$A$3:$E$500,5,0),"")</f>
        <v>C</v>
      </c>
      <c r="D48" s="188" t="n">
        <f aca="false">IFERROR(SUMPRODUCT((MOUVEMENTS!$B$3:$B$500=A48)*(MOUVEMENTS!$D$3:$D$500="IN")*(MOUVEMENTS!$A$3:$A$500&gt;=B43)*(MOUVEMENTS!$A$3:$A$500&lt;=D43)*MOUVEMENTS!$E$3:$E$500),0)</f>
        <v>0</v>
      </c>
      <c r="E48" s="188" t="n">
        <f aca="false">IFERROR(SUMPRODUCT((MOUVEMENTS!$B$3:$B$500=A48)*(MOUVEMENTS!$D$3:$D$500="OUT")*(MOUVEMENTS!$A$3:$A$500&gt;=B43)*(MOUVEMENTS!$A$3:$A$500&lt;=D43)*MOUVEMENTS!$E$3:$E$500),0)</f>
        <v>0</v>
      </c>
      <c r="F48" s="189" t="n">
        <f aca="false">D48-E48</f>
        <v>0</v>
      </c>
      <c r="G48" s="188" t="n">
        <f aca="false">IFERROR(F48*VLOOKUP(A48,ARTICLES!$A$3:$G$500,7,0),0)</f>
        <v>0</v>
      </c>
      <c r="H48" s="185" t="str">
        <f aca="false">IF(F48&lt;0,"!! NÉGATIF",IF(F48=0,"!! RUPTURE","OK"))</f>
        <v>!! RUPTURE</v>
      </c>
    </row>
    <row r="49" customFormat="false" ht="18" hidden="false" customHeight="true" outlineLevel="0" collapsed="false">
      <c r="A49" s="181" t="s">
        <v>93</v>
      </c>
      <c r="B49" s="80" t="str">
        <f aca="false">IFERROR(VLOOKUP(A49,ARTICLES!$A$3:$B$500,2,0),"")</f>
        <v>Agrafeuse de bureau</v>
      </c>
      <c r="C49" s="182" t="str">
        <f aca="false">IFERROR(VLOOKUP(A49,ARTICLES!$A$3:$E$500,5,0),"")</f>
        <v>C</v>
      </c>
      <c r="D49" s="183" t="n">
        <f aca="false">IFERROR(SUMPRODUCT((MOUVEMENTS!$B$3:$B$500=A49)*(MOUVEMENTS!$D$3:$D$500="IN")*(MOUVEMENTS!$A$3:$A$500&gt;=B43)*(MOUVEMENTS!$A$3:$A$500&lt;=D43)*MOUVEMENTS!$E$3:$E$500),0)</f>
        <v>0</v>
      </c>
      <c r="E49" s="183" t="n">
        <f aca="false">IFERROR(SUMPRODUCT((MOUVEMENTS!$B$3:$B$500=A49)*(MOUVEMENTS!$D$3:$D$500="OUT")*(MOUVEMENTS!$A$3:$A$500&gt;=B43)*(MOUVEMENTS!$A$3:$A$500&lt;=D43)*MOUVEMENTS!$E$3:$E$500),0)</f>
        <v>0</v>
      </c>
      <c r="F49" s="184" t="n">
        <f aca="false">D49-E49</f>
        <v>0</v>
      </c>
      <c r="G49" s="183" t="n">
        <f aca="false">IFERROR(F49*VLOOKUP(A49,ARTICLES!$A$3:$G$500,7,0),0)</f>
        <v>0</v>
      </c>
      <c r="H49" s="181" t="str">
        <f aca="false">IF(F49&lt;0,"!! NÉGATIF",IF(F49=0,"!! RUPTURE","OK"))</f>
        <v>!! RUPTURE</v>
      </c>
    </row>
    <row r="50" customFormat="false" ht="18" hidden="false" customHeight="true" outlineLevel="0" collapsed="false">
      <c r="A50" s="185" t="s">
        <v>99</v>
      </c>
      <c r="B50" s="186" t="str">
        <f aca="false">IFERROR(VLOOKUP(A50,ARTICLES!$A$3:$B$500,2,0),"")</f>
        <v>Stylos bille boîte/50</v>
      </c>
      <c r="C50" s="187" t="str">
        <f aca="false">IFERROR(VLOOKUP(A50,ARTICLES!$A$3:$E$500,5,0),"")</f>
        <v>C</v>
      </c>
      <c r="D50" s="188" t="n">
        <f aca="false">IFERROR(SUMPRODUCT((MOUVEMENTS!$B$3:$B$500=A50)*(MOUVEMENTS!$D$3:$D$500="IN")*(MOUVEMENTS!$A$3:$A$500&gt;=B43)*(MOUVEMENTS!$A$3:$A$500&lt;=D43)*MOUVEMENTS!$E$3:$E$500),0)</f>
        <v>0</v>
      </c>
      <c r="E50" s="188" t="n">
        <f aca="false">IFERROR(SUMPRODUCT((MOUVEMENTS!$B$3:$B$500=A50)*(MOUVEMENTS!$D$3:$D$500="OUT")*(MOUVEMENTS!$A$3:$A$500&gt;=B43)*(MOUVEMENTS!$A$3:$A$500&lt;=D43)*MOUVEMENTS!$E$3:$E$500),0)</f>
        <v>0</v>
      </c>
      <c r="F50" s="189" t="n">
        <f aca="false">D50-E50</f>
        <v>0</v>
      </c>
      <c r="G50" s="188" t="n">
        <f aca="false">IFERROR(F50*VLOOKUP(A50,ARTICLES!$A$3:$G$500,7,0),0)</f>
        <v>0</v>
      </c>
      <c r="H50" s="185" t="str">
        <f aca="false">IF(F50&lt;0,"!! NÉGATIF",IF(F50=0,"!! RUPTURE","OK"))</f>
        <v>!! RUPTURE</v>
      </c>
    </row>
    <row r="51" customFormat="false" ht="18" hidden="false" customHeight="true" outlineLevel="0" collapsed="false">
      <c r="A51" s="181" t="s">
        <v>106</v>
      </c>
      <c r="B51" s="80" t="str">
        <f aca="false">IFERROR(VLOOKUP(A51,ARTICLES!$A$3:$B$500,2,0),"")</f>
        <v>Registre grand format 5m</v>
      </c>
      <c r="C51" s="182" t="str">
        <f aca="false">IFERROR(VLOOKUP(A51,ARTICLES!$A$3:$E$500,5,0),"")</f>
        <v>C</v>
      </c>
      <c r="D51" s="183" t="n">
        <f aca="false">IFERROR(SUMPRODUCT((MOUVEMENTS!$B$3:$B$500=A51)*(MOUVEMENTS!$D$3:$D$500="IN")*(MOUVEMENTS!$A$3:$A$500&gt;=B43)*(MOUVEMENTS!$A$3:$A$500&lt;=D43)*MOUVEMENTS!$E$3:$E$500),0)</f>
        <v>0</v>
      </c>
      <c r="E51" s="183" t="n">
        <f aca="false">IFERROR(SUMPRODUCT((MOUVEMENTS!$B$3:$B$500=A51)*(MOUVEMENTS!$D$3:$D$500="OUT")*(MOUVEMENTS!$A$3:$A$500&gt;=B43)*(MOUVEMENTS!$A$3:$A$500&lt;=D43)*MOUVEMENTS!$E$3:$E$500),0)</f>
        <v>0</v>
      </c>
      <c r="F51" s="184" t="n">
        <f aca="false">D51-E51</f>
        <v>0</v>
      </c>
      <c r="G51" s="183" t="n">
        <f aca="false">IFERROR(F51*VLOOKUP(A51,ARTICLES!$A$3:$G$500,7,0),0)</f>
        <v>0</v>
      </c>
      <c r="H51" s="181" t="str">
        <f aca="false">IF(F51&lt;0,"!! NÉGATIF",IF(F51=0,"!! RUPTURE","OK"))</f>
        <v>!! RUPTURE</v>
      </c>
    </row>
    <row r="52" customFormat="false" ht="18" hidden="false" customHeight="true" outlineLevel="0" collapsed="false">
      <c r="A52" s="185" t="s">
        <v>113</v>
      </c>
      <c r="B52" s="186" t="str">
        <f aca="false">IFERROR(VLOOKUP(A52,ARTICLES!$A$3:$B$500,2,0),"")</f>
        <v>Encre tampon</v>
      </c>
      <c r="C52" s="187" t="str">
        <f aca="false">IFERROR(VLOOKUP(A52,ARTICLES!$A$3:$E$500,5,0),"")</f>
        <v>C</v>
      </c>
      <c r="D52" s="188" t="n">
        <f aca="false">IFERROR(SUMPRODUCT((MOUVEMENTS!$B$3:$B$500=A52)*(MOUVEMENTS!$D$3:$D$500="IN")*(MOUVEMENTS!$A$3:$A$500&gt;=B43)*(MOUVEMENTS!$A$3:$A$500&lt;=D43)*MOUVEMENTS!$E$3:$E$500),0)</f>
        <v>0</v>
      </c>
      <c r="E52" s="188" t="n">
        <f aca="false">IFERROR(SUMPRODUCT((MOUVEMENTS!$B$3:$B$500=A52)*(MOUVEMENTS!$D$3:$D$500="OUT")*(MOUVEMENTS!$A$3:$A$500&gt;=B43)*(MOUVEMENTS!$A$3:$A$500&lt;=D43)*MOUVEMENTS!$E$3:$E$500),0)</f>
        <v>0</v>
      </c>
      <c r="F52" s="189" t="n">
        <f aca="false">D52-E52</f>
        <v>0</v>
      </c>
      <c r="G52" s="188" t="n">
        <f aca="false">IFERROR(F52*VLOOKUP(A52,ARTICLES!$A$3:$G$500,7,0),0)</f>
        <v>0</v>
      </c>
      <c r="H52" s="185" t="str">
        <f aca="false">IF(F52&lt;0,"!! NÉGATIF",IF(F52=0,"!! RUPTURE","OK"))</f>
        <v>!! RUPTURE</v>
      </c>
    </row>
    <row r="53" customFormat="false" ht="18" hidden="false" customHeight="true" outlineLevel="0" collapsed="false">
      <c r="A53" s="181" t="s">
        <v>119</v>
      </c>
      <c r="B53" s="80" t="str">
        <f aca="false">IFERROR(VLOOKUP(A53,ARTICLES!$A$3:$B$500,2,0),"")</f>
        <v>Sous-chemise carton</v>
      </c>
      <c r="C53" s="182" t="str">
        <f aca="false">IFERROR(VLOOKUP(A53,ARTICLES!$A$3:$E$500,5,0),"")</f>
        <v>C</v>
      </c>
      <c r="D53" s="183" t="n">
        <f aca="false">IFERROR(SUMPRODUCT((MOUVEMENTS!$B$3:$B$500=A53)*(MOUVEMENTS!$D$3:$D$500="IN")*(MOUVEMENTS!$A$3:$A$500&gt;=B43)*(MOUVEMENTS!$A$3:$A$500&lt;=D43)*MOUVEMENTS!$E$3:$E$500),0)</f>
        <v>0</v>
      </c>
      <c r="E53" s="183" t="n">
        <f aca="false">IFERROR(SUMPRODUCT((MOUVEMENTS!$B$3:$B$500=A53)*(MOUVEMENTS!$D$3:$D$500="OUT")*(MOUVEMENTS!$A$3:$A$500&gt;=B43)*(MOUVEMENTS!$A$3:$A$500&lt;=D43)*MOUVEMENTS!$E$3:$E$500),0)</f>
        <v>0</v>
      </c>
      <c r="F53" s="184" t="n">
        <f aca="false">D53-E53</f>
        <v>0</v>
      </c>
      <c r="G53" s="183" t="n">
        <f aca="false">IFERROR(F53*VLOOKUP(A53,ARTICLES!$A$3:$G$500,7,0),0)</f>
        <v>0</v>
      </c>
      <c r="H53" s="181" t="str">
        <f aca="false">IF(F53&lt;0,"!! NÉGATIF",IF(F53=0,"!! RUPTURE","OK"))</f>
        <v>!! RUPTURE</v>
      </c>
    </row>
    <row r="54" customFormat="false" ht="18" hidden="false" customHeight="true" outlineLevel="0" collapsed="false">
      <c r="A54" s="185" t="s">
        <v>123</v>
      </c>
      <c r="B54" s="186" t="str">
        <f aca="false">IFERROR(VLOOKUP(A54,ARTICLES!$A$3:$B$500,2,0),"")</f>
        <v>Chemise cartonnée</v>
      </c>
      <c r="C54" s="187" t="str">
        <f aca="false">IFERROR(VLOOKUP(A54,ARTICLES!$A$3:$E$500,5,0),"")</f>
        <v>C</v>
      </c>
      <c r="D54" s="188" t="n">
        <f aca="false">IFERROR(SUMPRODUCT((MOUVEMENTS!$B$3:$B$500=A54)*(MOUVEMENTS!$D$3:$D$500="IN")*(MOUVEMENTS!$A$3:$A$500&gt;=B43)*(MOUVEMENTS!$A$3:$A$500&lt;=D43)*MOUVEMENTS!$E$3:$E$500),0)</f>
        <v>0</v>
      </c>
      <c r="E54" s="188" t="n">
        <f aca="false">IFERROR(SUMPRODUCT((MOUVEMENTS!$B$3:$B$500=A54)*(MOUVEMENTS!$D$3:$D$500="OUT")*(MOUVEMENTS!$A$3:$A$500&gt;=B43)*(MOUVEMENTS!$A$3:$A$500&lt;=D43)*MOUVEMENTS!$E$3:$E$500),0)</f>
        <v>0</v>
      </c>
      <c r="F54" s="189" t="n">
        <f aca="false">D54-E54</f>
        <v>0</v>
      </c>
      <c r="G54" s="188" t="n">
        <f aca="false">IFERROR(F54*VLOOKUP(A54,ARTICLES!$A$3:$G$500,7,0),0)</f>
        <v>0</v>
      </c>
      <c r="H54" s="185" t="str">
        <f aca="false">IF(F54&lt;0,"!! NÉGATIF",IF(F54=0,"!! RUPTURE","OK"))</f>
        <v>!! RUPTURE</v>
      </c>
    </row>
    <row r="55" customFormat="false" ht="18" hidden="false" customHeight="true" outlineLevel="0" collapsed="false">
      <c r="A55" s="181" t="s">
        <v>127</v>
      </c>
      <c r="B55" s="80" t="str">
        <f aca="false">IFERROR(VLOOKUP(A55,ARTICLES!$A$3:$B$500,2,0),"")</f>
        <v>Rouleau papier fax</v>
      </c>
      <c r="C55" s="182" t="str">
        <f aca="false">IFERROR(VLOOKUP(A55,ARTICLES!$A$3:$E$500,5,0),"")</f>
        <v>C</v>
      </c>
      <c r="D55" s="183" t="n">
        <f aca="false">IFERROR(SUMPRODUCT((MOUVEMENTS!$B$3:$B$500=A55)*(MOUVEMENTS!$D$3:$D$500="IN")*(MOUVEMENTS!$A$3:$A$500&gt;=B43)*(MOUVEMENTS!$A$3:$A$500&lt;=D43)*MOUVEMENTS!$E$3:$E$500),0)</f>
        <v>0</v>
      </c>
      <c r="E55" s="183" t="n">
        <f aca="false">IFERROR(SUMPRODUCT((MOUVEMENTS!$B$3:$B$500=A55)*(MOUVEMENTS!$D$3:$D$500="OUT")*(MOUVEMENTS!$A$3:$A$500&gt;=B43)*(MOUVEMENTS!$A$3:$A$500&lt;=D43)*MOUVEMENTS!$E$3:$E$500),0)</f>
        <v>0</v>
      </c>
      <c r="F55" s="184" t="n">
        <f aca="false">D55-E55</f>
        <v>0</v>
      </c>
      <c r="G55" s="183" t="n">
        <f aca="false">IFERROR(F55*VLOOKUP(A55,ARTICLES!$A$3:$G$500,7,0),0)</f>
        <v>0</v>
      </c>
      <c r="H55" s="181" t="str">
        <f aca="false">IF(F55&lt;0,"!! NÉGATIF",IF(F55=0,"!! RUPTURE","OK"))</f>
        <v>!! RUPTURE</v>
      </c>
    </row>
    <row r="56" customFormat="false" ht="18" hidden="false" customHeight="true" outlineLevel="0" collapsed="false">
      <c r="A56" s="185" t="s">
        <v>134</v>
      </c>
      <c r="B56" s="186" t="str">
        <f aca="false">IFERROR(VLOOKUP(A56,ARTICLES!$A$3:$B$500,2,0),"")</f>
        <v>Marqueur permanent noir</v>
      </c>
      <c r="C56" s="187" t="str">
        <f aca="false">IFERROR(VLOOKUP(A56,ARTICLES!$A$3:$E$500,5,0),"")</f>
        <v>C</v>
      </c>
      <c r="D56" s="188" t="n">
        <f aca="false">IFERROR(SUMPRODUCT((MOUVEMENTS!$B$3:$B$500=A56)*(MOUVEMENTS!$D$3:$D$500="IN")*(MOUVEMENTS!$A$3:$A$500&gt;=B43)*(MOUVEMENTS!$A$3:$A$500&lt;=D43)*MOUVEMENTS!$E$3:$E$500),0)</f>
        <v>0</v>
      </c>
      <c r="E56" s="188" t="n">
        <f aca="false">IFERROR(SUMPRODUCT((MOUVEMENTS!$B$3:$B$500=A56)*(MOUVEMENTS!$D$3:$D$500="OUT")*(MOUVEMENTS!$A$3:$A$500&gt;=B43)*(MOUVEMENTS!$A$3:$A$500&lt;=D43)*MOUVEMENTS!$E$3:$E$500),0)</f>
        <v>0</v>
      </c>
      <c r="F56" s="189" t="n">
        <f aca="false">D56-E56</f>
        <v>0</v>
      </c>
      <c r="G56" s="188" t="n">
        <f aca="false">IFERROR(F56*VLOOKUP(A56,ARTICLES!$A$3:$G$500,7,0),0)</f>
        <v>0</v>
      </c>
      <c r="H56" s="185" t="str">
        <f aca="false">IF(F56&lt;0,"!! NÉGATIF",IF(F56=0,"!! RUPTURE","OK"))</f>
        <v>!! RUPTURE</v>
      </c>
    </row>
    <row r="57" customFormat="false" ht="21.75" hidden="false" customHeight="true" outlineLevel="0" collapsed="false">
      <c r="A57" s="190" t="s">
        <v>310</v>
      </c>
      <c r="B57" s="190" t="s">
        <v>346</v>
      </c>
      <c r="C57" s="190"/>
      <c r="D57" s="191" t="n">
        <f aca="false">SUM(D45:D56)</f>
        <v>0</v>
      </c>
      <c r="E57" s="191" t="n">
        <f aca="false">SUM(E45:E56)</f>
        <v>0</v>
      </c>
      <c r="F57" s="191" t="n">
        <f aca="false">SUM(F45:F56)</f>
        <v>0</v>
      </c>
      <c r="G57" s="191" t="n">
        <f aca="false">SUM(G45:G56)</f>
        <v>0</v>
      </c>
      <c r="H57" s="192"/>
    </row>
    <row r="58" customFormat="false" ht="25.5" hidden="false" customHeight="true" outlineLevel="0" collapsed="false">
      <c r="A58" s="193" t="s">
        <v>351</v>
      </c>
      <c r="B58" s="193"/>
      <c r="C58" s="193"/>
      <c r="D58" s="193"/>
      <c r="E58" s="193"/>
      <c r="F58" s="193"/>
      <c r="G58" s="193"/>
      <c r="H58" s="193"/>
    </row>
    <row r="61" customFormat="false" ht="24" hidden="false" customHeight="true" outlineLevel="0" collapsed="false">
      <c r="A61" s="175" t="s">
        <v>352</v>
      </c>
      <c r="B61" s="175"/>
      <c r="C61" s="175"/>
      <c r="D61" s="175"/>
      <c r="E61" s="175"/>
      <c r="F61" s="175"/>
      <c r="G61" s="175"/>
      <c r="H61" s="175"/>
    </row>
    <row r="62" customFormat="false" ht="21.75" hidden="false" customHeight="true" outlineLevel="0" collapsed="false">
      <c r="A62" s="176" t="s">
        <v>335</v>
      </c>
      <c r="B62" s="195"/>
      <c r="C62" s="178" t="s">
        <v>336</v>
      </c>
      <c r="D62" s="195"/>
      <c r="E62" s="179" t="s">
        <v>337</v>
      </c>
      <c r="F62" s="179"/>
      <c r="G62" s="179"/>
      <c r="H62" s="179"/>
    </row>
    <row r="63" customFormat="false" ht="31.5" hidden="false" customHeight="true" outlineLevel="0" collapsed="false">
      <c r="A63" s="180" t="s">
        <v>338</v>
      </c>
      <c r="B63" s="180" t="s">
        <v>339</v>
      </c>
      <c r="C63" s="180" t="s">
        <v>340</v>
      </c>
      <c r="D63" s="180" t="s">
        <v>341</v>
      </c>
      <c r="E63" s="180" t="s">
        <v>342</v>
      </c>
      <c r="F63" s="180" t="s">
        <v>343</v>
      </c>
      <c r="G63" s="180" t="s">
        <v>344</v>
      </c>
      <c r="H63" s="180" t="s">
        <v>345</v>
      </c>
    </row>
    <row r="64" customFormat="false" ht="18" hidden="false" customHeight="true" outlineLevel="0" collapsed="false">
      <c r="A64" s="181" t="s">
        <v>60</v>
      </c>
      <c r="B64" s="80" t="str">
        <f aca="false">IFERROR(VLOOKUP(A64,ARTICLES!$A$3:$B$500,2,0),"")</f>
        <v>Rame papier A4 80g/m²</v>
      </c>
      <c r="C64" s="182" t="str">
        <f aca="false">IFERROR(VLOOKUP(A64,ARTICLES!$A$3:$E$500,5,0),"")</f>
        <v>A</v>
      </c>
      <c r="D64" s="183" t="n">
        <f aca="false">IFERROR(SUMPRODUCT((MOUVEMENTS!$B$3:$B$500=A64)*(MOUVEMENTS!$D$3:$D$500="IN")*(MOUVEMENTS!$A$3:$A$500&gt;=B62)*(MOUVEMENTS!$A$3:$A$500&lt;=D62)*MOUVEMENTS!$E$3:$E$500),0)</f>
        <v>0</v>
      </c>
      <c r="E64" s="183" t="n">
        <f aca="false">IFERROR(SUMPRODUCT((MOUVEMENTS!$B$3:$B$500=A64)*(MOUVEMENTS!$D$3:$D$500="OUT")*(MOUVEMENTS!$A$3:$A$500&gt;=B62)*(MOUVEMENTS!$A$3:$A$500&lt;=D62)*MOUVEMENTS!$E$3:$E$500),0)</f>
        <v>0</v>
      </c>
      <c r="F64" s="184" t="n">
        <f aca="false">D64-E64</f>
        <v>0</v>
      </c>
      <c r="G64" s="183" t="n">
        <f aca="false">IFERROR(F64*VLOOKUP(A64,ARTICLES!$A$3:$G$500,7,0),0)</f>
        <v>0</v>
      </c>
      <c r="H64" s="181" t="str">
        <f aca="false">IF(F64&lt;0,"!! NÉGATIF",IF(F64=0,"!! RUPTURE","OK"))</f>
        <v>!! RUPTURE</v>
      </c>
    </row>
    <row r="65" customFormat="false" ht="18" hidden="false" customHeight="true" outlineLevel="0" collapsed="false">
      <c r="A65" s="185" t="s">
        <v>70</v>
      </c>
      <c r="B65" s="186" t="str">
        <f aca="false">IFERROR(VLOOKUP(A65,ARTICLES!$A$3:$B$500,2,0),"")</f>
        <v>Toner imprimante G030 (noir)</v>
      </c>
      <c r="C65" s="187" t="str">
        <f aca="false">IFERROR(VLOOKUP(A65,ARTICLES!$A$3:$E$500,5,0),"")</f>
        <v>B</v>
      </c>
      <c r="D65" s="188" t="n">
        <f aca="false">IFERROR(SUMPRODUCT((MOUVEMENTS!$B$3:$B$500=A65)*(MOUVEMENTS!$D$3:$D$500="IN")*(MOUVEMENTS!$A$3:$A$500&gt;=B62)*(MOUVEMENTS!$A$3:$A$500&lt;=D62)*MOUVEMENTS!$E$3:$E$500),0)</f>
        <v>0</v>
      </c>
      <c r="E65" s="188" t="n">
        <f aca="false">IFERROR(SUMPRODUCT((MOUVEMENTS!$B$3:$B$500=A65)*(MOUVEMENTS!$D$3:$D$500="OUT")*(MOUVEMENTS!$A$3:$A$500&gt;=B62)*(MOUVEMENTS!$A$3:$A$500&lt;=D62)*MOUVEMENTS!$E$3:$E$500),0)</f>
        <v>0</v>
      </c>
      <c r="F65" s="189" t="n">
        <f aca="false">D65-E65</f>
        <v>0</v>
      </c>
      <c r="G65" s="188" t="n">
        <f aca="false">IFERROR(F65*VLOOKUP(A65,ARTICLES!$A$3:$G$500,7,0),0)</f>
        <v>0</v>
      </c>
      <c r="H65" s="185" t="str">
        <f aca="false">IF(F65&lt;0,"!! NÉGATIF",IF(F65=0,"!! RUPTURE","OK"))</f>
        <v>!! RUPTURE</v>
      </c>
    </row>
    <row r="66" customFormat="false" ht="18" hidden="false" customHeight="true" outlineLevel="0" collapsed="false">
      <c r="A66" s="181" t="s">
        <v>79</v>
      </c>
      <c r="B66" s="80" t="str">
        <f aca="false">IFERROR(VLOOKUP(A66,ARTICLES!$A$3:$B$500,2,0),"")</f>
        <v>Rame papier A3 80g/m²</v>
      </c>
      <c r="C66" s="182" t="str">
        <f aca="false">IFERROR(VLOOKUP(A66,ARTICLES!$A$3:$E$500,5,0),"")</f>
        <v>B</v>
      </c>
      <c r="D66" s="183" t="n">
        <f aca="false">IFERROR(SUMPRODUCT((MOUVEMENTS!$B$3:$B$500=A66)*(MOUVEMENTS!$D$3:$D$500="IN")*(MOUVEMENTS!$A$3:$A$500&gt;=B62)*(MOUVEMENTS!$A$3:$A$500&lt;=D62)*MOUVEMENTS!$E$3:$E$500),0)</f>
        <v>0</v>
      </c>
      <c r="E66" s="183" t="n">
        <f aca="false">IFERROR(SUMPRODUCT((MOUVEMENTS!$B$3:$B$500=A66)*(MOUVEMENTS!$D$3:$D$500="OUT")*(MOUVEMENTS!$A$3:$A$500&gt;=B62)*(MOUVEMENTS!$A$3:$A$500&lt;=D62)*MOUVEMENTS!$E$3:$E$500),0)</f>
        <v>0</v>
      </c>
      <c r="F66" s="184" t="n">
        <f aca="false">D66-E66</f>
        <v>0</v>
      </c>
      <c r="G66" s="183" t="n">
        <f aca="false">IFERROR(F66*VLOOKUP(A66,ARTICLES!$A$3:$G$500,7,0),0)</f>
        <v>0</v>
      </c>
      <c r="H66" s="181" t="str">
        <f aca="false">IF(F66&lt;0,"!! NÉGATIF",IF(F66=0,"!! RUPTURE","OK"))</f>
        <v>!! RUPTURE</v>
      </c>
    </row>
    <row r="67" customFormat="false" ht="18" hidden="false" customHeight="true" outlineLevel="0" collapsed="false">
      <c r="A67" s="185" t="s">
        <v>84</v>
      </c>
      <c r="B67" s="186" t="str">
        <f aca="false">IFERROR(VLOOKUP(A67,ARTICLES!$A$3:$B$500,2,0),"")</f>
        <v>Boîte archives carton</v>
      </c>
      <c r="C67" s="187" t="str">
        <f aca="false">IFERROR(VLOOKUP(A67,ARTICLES!$A$3:$E$500,5,0),"")</f>
        <v>C</v>
      </c>
      <c r="D67" s="188" t="n">
        <f aca="false">IFERROR(SUMPRODUCT((MOUVEMENTS!$B$3:$B$500=A67)*(MOUVEMENTS!$D$3:$D$500="IN")*(MOUVEMENTS!$A$3:$A$500&gt;=B62)*(MOUVEMENTS!$A$3:$A$500&lt;=D62)*MOUVEMENTS!$E$3:$E$500),0)</f>
        <v>0</v>
      </c>
      <c r="E67" s="188" t="n">
        <f aca="false">IFERROR(SUMPRODUCT((MOUVEMENTS!$B$3:$B$500=A67)*(MOUVEMENTS!$D$3:$D$500="OUT")*(MOUVEMENTS!$A$3:$A$500&gt;=B62)*(MOUVEMENTS!$A$3:$A$500&lt;=D62)*MOUVEMENTS!$E$3:$E$500),0)</f>
        <v>0</v>
      </c>
      <c r="F67" s="189" t="n">
        <f aca="false">D67-E67</f>
        <v>0</v>
      </c>
      <c r="G67" s="188" t="n">
        <f aca="false">IFERROR(F67*VLOOKUP(A67,ARTICLES!$A$3:$G$500,7,0),0)</f>
        <v>0</v>
      </c>
      <c r="H67" s="185" t="str">
        <f aca="false">IF(F67&lt;0,"!! NÉGATIF",IF(F67=0,"!! RUPTURE","OK"))</f>
        <v>!! RUPTURE</v>
      </c>
    </row>
    <row r="68" customFormat="false" ht="18" hidden="false" customHeight="true" outlineLevel="0" collapsed="false">
      <c r="A68" s="181" t="s">
        <v>93</v>
      </c>
      <c r="B68" s="80" t="str">
        <f aca="false">IFERROR(VLOOKUP(A68,ARTICLES!$A$3:$B$500,2,0),"")</f>
        <v>Agrafeuse de bureau</v>
      </c>
      <c r="C68" s="182" t="str">
        <f aca="false">IFERROR(VLOOKUP(A68,ARTICLES!$A$3:$E$500,5,0),"")</f>
        <v>C</v>
      </c>
      <c r="D68" s="183" t="n">
        <f aca="false">IFERROR(SUMPRODUCT((MOUVEMENTS!$B$3:$B$500=A68)*(MOUVEMENTS!$D$3:$D$500="IN")*(MOUVEMENTS!$A$3:$A$500&gt;=B62)*(MOUVEMENTS!$A$3:$A$500&lt;=D62)*MOUVEMENTS!$E$3:$E$500),0)</f>
        <v>0</v>
      </c>
      <c r="E68" s="183" t="n">
        <f aca="false">IFERROR(SUMPRODUCT((MOUVEMENTS!$B$3:$B$500=A68)*(MOUVEMENTS!$D$3:$D$500="OUT")*(MOUVEMENTS!$A$3:$A$500&gt;=B62)*(MOUVEMENTS!$A$3:$A$500&lt;=D62)*MOUVEMENTS!$E$3:$E$500),0)</f>
        <v>0</v>
      </c>
      <c r="F68" s="184" t="n">
        <f aca="false">D68-E68</f>
        <v>0</v>
      </c>
      <c r="G68" s="183" t="n">
        <f aca="false">IFERROR(F68*VLOOKUP(A68,ARTICLES!$A$3:$G$500,7,0),0)</f>
        <v>0</v>
      </c>
      <c r="H68" s="181" t="str">
        <f aca="false">IF(F68&lt;0,"!! NÉGATIF",IF(F68=0,"!! RUPTURE","OK"))</f>
        <v>!! RUPTURE</v>
      </c>
    </row>
    <row r="69" customFormat="false" ht="18" hidden="false" customHeight="true" outlineLevel="0" collapsed="false">
      <c r="A69" s="185" t="s">
        <v>99</v>
      </c>
      <c r="B69" s="186" t="str">
        <f aca="false">IFERROR(VLOOKUP(A69,ARTICLES!$A$3:$B$500,2,0),"")</f>
        <v>Stylos bille boîte/50</v>
      </c>
      <c r="C69" s="187" t="str">
        <f aca="false">IFERROR(VLOOKUP(A69,ARTICLES!$A$3:$E$500,5,0),"")</f>
        <v>C</v>
      </c>
      <c r="D69" s="188" t="n">
        <f aca="false">IFERROR(SUMPRODUCT((MOUVEMENTS!$B$3:$B$500=A69)*(MOUVEMENTS!$D$3:$D$500="IN")*(MOUVEMENTS!$A$3:$A$500&gt;=B62)*(MOUVEMENTS!$A$3:$A$500&lt;=D62)*MOUVEMENTS!$E$3:$E$500),0)</f>
        <v>0</v>
      </c>
      <c r="E69" s="188" t="n">
        <f aca="false">IFERROR(SUMPRODUCT((MOUVEMENTS!$B$3:$B$500=A69)*(MOUVEMENTS!$D$3:$D$500="OUT")*(MOUVEMENTS!$A$3:$A$500&gt;=B62)*(MOUVEMENTS!$A$3:$A$500&lt;=D62)*MOUVEMENTS!$E$3:$E$500),0)</f>
        <v>0</v>
      </c>
      <c r="F69" s="189" t="n">
        <f aca="false">D69-E69</f>
        <v>0</v>
      </c>
      <c r="G69" s="188" t="n">
        <f aca="false">IFERROR(F69*VLOOKUP(A69,ARTICLES!$A$3:$G$500,7,0),0)</f>
        <v>0</v>
      </c>
      <c r="H69" s="185" t="str">
        <f aca="false">IF(F69&lt;0,"!! NÉGATIF",IF(F69=0,"!! RUPTURE","OK"))</f>
        <v>!! RUPTURE</v>
      </c>
    </row>
    <row r="70" customFormat="false" ht="18" hidden="false" customHeight="true" outlineLevel="0" collapsed="false">
      <c r="A70" s="181" t="s">
        <v>106</v>
      </c>
      <c r="B70" s="80" t="str">
        <f aca="false">IFERROR(VLOOKUP(A70,ARTICLES!$A$3:$B$500,2,0),"")</f>
        <v>Registre grand format 5m</v>
      </c>
      <c r="C70" s="182" t="str">
        <f aca="false">IFERROR(VLOOKUP(A70,ARTICLES!$A$3:$E$500,5,0),"")</f>
        <v>C</v>
      </c>
      <c r="D70" s="183" t="n">
        <f aca="false">IFERROR(SUMPRODUCT((MOUVEMENTS!$B$3:$B$500=A70)*(MOUVEMENTS!$D$3:$D$500="IN")*(MOUVEMENTS!$A$3:$A$500&gt;=B62)*(MOUVEMENTS!$A$3:$A$500&lt;=D62)*MOUVEMENTS!$E$3:$E$500),0)</f>
        <v>0</v>
      </c>
      <c r="E70" s="183" t="n">
        <f aca="false">IFERROR(SUMPRODUCT((MOUVEMENTS!$B$3:$B$500=A70)*(MOUVEMENTS!$D$3:$D$500="OUT")*(MOUVEMENTS!$A$3:$A$500&gt;=B62)*(MOUVEMENTS!$A$3:$A$500&lt;=D62)*MOUVEMENTS!$E$3:$E$500),0)</f>
        <v>0</v>
      </c>
      <c r="F70" s="184" t="n">
        <f aca="false">D70-E70</f>
        <v>0</v>
      </c>
      <c r="G70" s="183" t="n">
        <f aca="false">IFERROR(F70*VLOOKUP(A70,ARTICLES!$A$3:$G$500,7,0),0)</f>
        <v>0</v>
      </c>
      <c r="H70" s="181" t="str">
        <f aca="false">IF(F70&lt;0,"!! NÉGATIF",IF(F70=0,"!! RUPTURE","OK"))</f>
        <v>!! RUPTURE</v>
      </c>
    </row>
    <row r="71" customFormat="false" ht="18" hidden="false" customHeight="true" outlineLevel="0" collapsed="false">
      <c r="A71" s="185" t="s">
        <v>113</v>
      </c>
      <c r="B71" s="186" t="str">
        <f aca="false">IFERROR(VLOOKUP(A71,ARTICLES!$A$3:$B$500,2,0),"")</f>
        <v>Encre tampon</v>
      </c>
      <c r="C71" s="187" t="str">
        <f aca="false">IFERROR(VLOOKUP(A71,ARTICLES!$A$3:$E$500,5,0),"")</f>
        <v>C</v>
      </c>
      <c r="D71" s="188" t="n">
        <f aca="false">IFERROR(SUMPRODUCT((MOUVEMENTS!$B$3:$B$500=A71)*(MOUVEMENTS!$D$3:$D$500="IN")*(MOUVEMENTS!$A$3:$A$500&gt;=B62)*(MOUVEMENTS!$A$3:$A$500&lt;=D62)*MOUVEMENTS!$E$3:$E$500),0)</f>
        <v>0</v>
      </c>
      <c r="E71" s="188" t="n">
        <f aca="false">IFERROR(SUMPRODUCT((MOUVEMENTS!$B$3:$B$500=A71)*(MOUVEMENTS!$D$3:$D$500="OUT")*(MOUVEMENTS!$A$3:$A$500&gt;=B62)*(MOUVEMENTS!$A$3:$A$500&lt;=D62)*MOUVEMENTS!$E$3:$E$500),0)</f>
        <v>0</v>
      </c>
      <c r="F71" s="189" t="n">
        <f aca="false">D71-E71</f>
        <v>0</v>
      </c>
      <c r="G71" s="188" t="n">
        <f aca="false">IFERROR(F71*VLOOKUP(A71,ARTICLES!$A$3:$G$500,7,0),0)</f>
        <v>0</v>
      </c>
      <c r="H71" s="185" t="str">
        <f aca="false">IF(F71&lt;0,"!! NÉGATIF",IF(F71=0,"!! RUPTURE","OK"))</f>
        <v>!! RUPTURE</v>
      </c>
    </row>
    <row r="72" customFormat="false" ht="18" hidden="false" customHeight="true" outlineLevel="0" collapsed="false">
      <c r="A72" s="181" t="s">
        <v>119</v>
      </c>
      <c r="B72" s="80" t="str">
        <f aca="false">IFERROR(VLOOKUP(A72,ARTICLES!$A$3:$B$500,2,0),"")</f>
        <v>Sous-chemise carton</v>
      </c>
      <c r="C72" s="182" t="str">
        <f aca="false">IFERROR(VLOOKUP(A72,ARTICLES!$A$3:$E$500,5,0),"")</f>
        <v>C</v>
      </c>
      <c r="D72" s="183" t="n">
        <f aca="false">IFERROR(SUMPRODUCT((MOUVEMENTS!$B$3:$B$500=A72)*(MOUVEMENTS!$D$3:$D$500="IN")*(MOUVEMENTS!$A$3:$A$500&gt;=B62)*(MOUVEMENTS!$A$3:$A$500&lt;=D62)*MOUVEMENTS!$E$3:$E$500),0)</f>
        <v>0</v>
      </c>
      <c r="E72" s="183" t="n">
        <f aca="false">IFERROR(SUMPRODUCT((MOUVEMENTS!$B$3:$B$500=A72)*(MOUVEMENTS!$D$3:$D$500="OUT")*(MOUVEMENTS!$A$3:$A$500&gt;=B62)*(MOUVEMENTS!$A$3:$A$500&lt;=D62)*MOUVEMENTS!$E$3:$E$500),0)</f>
        <v>0</v>
      </c>
      <c r="F72" s="184" t="n">
        <f aca="false">D72-E72</f>
        <v>0</v>
      </c>
      <c r="G72" s="183" t="n">
        <f aca="false">IFERROR(F72*VLOOKUP(A72,ARTICLES!$A$3:$G$500,7,0),0)</f>
        <v>0</v>
      </c>
      <c r="H72" s="181" t="str">
        <f aca="false">IF(F72&lt;0,"!! NÉGATIF",IF(F72=0,"!! RUPTURE","OK"))</f>
        <v>!! RUPTURE</v>
      </c>
    </row>
    <row r="73" customFormat="false" ht="18" hidden="false" customHeight="true" outlineLevel="0" collapsed="false">
      <c r="A73" s="185" t="s">
        <v>123</v>
      </c>
      <c r="B73" s="186" t="str">
        <f aca="false">IFERROR(VLOOKUP(A73,ARTICLES!$A$3:$B$500,2,0),"")</f>
        <v>Chemise cartonnée</v>
      </c>
      <c r="C73" s="187" t="str">
        <f aca="false">IFERROR(VLOOKUP(A73,ARTICLES!$A$3:$E$500,5,0),"")</f>
        <v>C</v>
      </c>
      <c r="D73" s="188" t="n">
        <f aca="false">IFERROR(SUMPRODUCT((MOUVEMENTS!$B$3:$B$500=A73)*(MOUVEMENTS!$D$3:$D$500="IN")*(MOUVEMENTS!$A$3:$A$500&gt;=B62)*(MOUVEMENTS!$A$3:$A$500&lt;=D62)*MOUVEMENTS!$E$3:$E$500),0)</f>
        <v>0</v>
      </c>
      <c r="E73" s="188" t="n">
        <f aca="false">IFERROR(SUMPRODUCT((MOUVEMENTS!$B$3:$B$500=A73)*(MOUVEMENTS!$D$3:$D$500="OUT")*(MOUVEMENTS!$A$3:$A$500&gt;=B62)*(MOUVEMENTS!$A$3:$A$500&lt;=D62)*MOUVEMENTS!$E$3:$E$500),0)</f>
        <v>0</v>
      </c>
      <c r="F73" s="189" t="n">
        <f aca="false">D73-E73</f>
        <v>0</v>
      </c>
      <c r="G73" s="188" t="n">
        <f aca="false">IFERROR(F73*VLOOKUP(A73,ARTICLES!$A$3:$G$500,7,0),0)</f>
        <v>0</v>
      </c>
      <c r="H73" s="185" t="str">
        <f aca="false">IF(F73&lt;0,"!! NÉGATIF",IF(F73=0,"!! RUPTURE","OK"))</f>
        <v>!! RUPTURE</v>
      </c>
    </row>
    <row r="74" customFormat="false" ht="18" hidden="false" customHeight="true" outlineLevel="0" collapsed="false">
      <c r="A74" s="181" t="s">
        <v>127</v>
      </c>
      <c r="B74" s="80" t="str">
        <f aca="false">IFERROR(VLOOKUP(A74,ARTICLES!$A$3:$B$500,2,0),"")</f>
        <v>Rouleau papier fax</v>
      </c>
      <c r="C74" s="182" t="str">
        <f aca="false">IFERROR(VLOOKUP(A74,ARTICLES!$A$3:$E$500,5,0),"")</f>
        <v>C</v>
      </c>
      <c r="D74" s="183" t="n">
        <f aca="false">IFERROR(SUMPRODUCT((MOUVEMENTS!$B$3:$B$500=A74)*(MOUVEMENTS!$D$3:$D$500="IN")*(MOUVEMENTS!$A$3:$A$500&gt;=B62)*(MOUVEMENTS!$A$3:$A$500&lt;=D62)*MOUVEMENTS!$E$3:$E$500),0)</f>
        <v>0</v>
      </c>
      <c r="E74" s="183" t="n">
        <f aca="false">IFERROR(SUMPRODUCT((MOUVEMENTS!$B$3:$B$500=A74)*(MOUVEMENTS!$D$3:$D$500="OUT")*(MOUVEMENTS!$A$3:$A$500&gt;=B62)*(MOUVEMENTS!$A$3:$A$500&lt;=D62)*MOUVEMENTS!$E$3:$E$500),0)</f>
        <v>0</v>
      </c>
      <c r="F74" s="184" t="n">
        <f aca="false">D74-E74</f>
        <v>0</v>
      </c>
      <c r="G74" s="183" t="n">
        <f aca="false">IFERROR(F74*VLOOKUP(A74,ARTICLES!$A$3:$G$500,7,0),0)</f>
        <v>0</v>
      </c>
      <c r="H74" s="181" t="str">
        <f aca="false">IF(F74&lt;0,"!! NÉGATIF",IF(F74=0,"!! RUPTURE","OK"))</f>
        <v>!! RUPTURE</v>
      </c>
    </row>
    <row r="75" customFormat="false" ht="18" hidden="false" customHeight="true" outlineLevel="0" collapsed="false">
      <c r="A75" s="185" t="s">
        <v>134</v>
      </c>
      <c r="B75" s="186" t="str">
        <f aca="false">IFERROR(VLOOKUP(A75,ARTICLES!$A$3:$B$500,2,0),"")</f>
        <v>Marqueur permanent noir</v>
      </c>
      <c r="C75" s="187" t="str">
        <f aca="false">IFERROR(VLOOKUP(A75,ARTICLES!$A$3:$E$500,5,0),"")</f>
        <v>C</v>
      </c>
      <c r="D75" s="188" t="n">
        <f aca="false">IFERROR(SUMPRODUCT((MOUVEMENTS!$B$3:$B$500=A75)*(MOUVEMENTS!$D$3:$D$500="IN")*(MOUVEMENTS!$A$3:$A$500&gt;=B62)*(MOUVEMENTS!$A$3:$A$500&lt;=D62)*MOUVEMENTS!$E$3:$E$500),0)</f>
        <v>0</v>
      </c>
      <c r="E75" s="188" t="n">
        <f aca="false">IFERROR(SUMPRODUCT((MOUVEMENTS!$B$3:$B$500=A75)*(MOUVEMENTS!$D$3:$D$500="OUT")*(MOUVEMENTS!$A$3:$A$500&gt;=B62)*(MOUVEMENTS!$A$3:$A$500&lt;=D62)*MOUVEMENTS!$E$3:$E$500),0)</f>
        <v>0</v>
      </c>
      <c r="F75" s="189" t="n">
        <f aca="false">D75-E75</f>
        <v>0</v>
      </c>
      <c r="G75" s="188" t="n">
        <f aca="false">IFERROR(F75*VLOOKUP(A75,ARTICLES!$A$3:$G$500,7,0),0)</f>
        <v>0</v>
      </c>
      <c r="H75" s="185" t="str">
        <f aca="false">IF(F75&lt;0,"!! NÉGATIF",IF(F75=0,"!! RUPTURE","OK"))</f>
        <v>!! RUPTURE</v>
      </c>
    </row>
    <row r="76" customFormat="false" ht="21.75" hidden="false" customHeight="true" outlineLevel="0" collapsed="false">
      <c r="A76" s="190" t="s">
        <v>310</v>
      </c>
      <c r="B76" s="190" t="s">
        <v>346</v>
      </c>
      <c r="C76" s="190"/>
      <c r="D76" s="191" t="n">
        <f aca="false">SUM(D64:D75)</f>
        <v>0</v>
      </c>
      <c r="E76" s="191" t="n">
        <f aca="false">SUM(E64:E75)</f>
        <v>0</v>
      </c>
      <c r="F76" s="191" t="n">
        <f aca="false">SUM(F64:F75)</f>
        <v>0</v>
      </c>
      <c r="G76" s="191" t="n">
        <f aca="false">SUM(G64:G75)</f>
        <v>0</v>
      </c>
      <c r="H76" s="192"/>
    </row>
    <row r="77" customFormat="false" ht="25.5" hidden="false" customHeight="true" outlineLevel="0" collapsed="false">
      <c r="A77" s="193" t="s">
        <v>353</v>
      </c>
      <c r="B77" s="193"/>
      <c r="C77" s="193"/>
      <c r="D77" s="193"/>
      <c r="E77" s="193"/>
      <c r="F77" s="193"/>
      <c r="G77" s="193"/>
      <c r="H77" s="193"/>
    </row>
    <row r="79" customFormat="false" ht="13.5" hidden="false" customHeight="true" outlineLevel="0" collapsed="false">
      <c r="A79" s="90" t="s">
        <v>237</v>
      </c>
      <c r="B79" s="90"/>
      <c r="C79" s="90"/>
      <c r="D79" s="90"/>
      <c r="E79" s="90"/>
      <c r="F79" s="90"/>
      <c r="G79" s="90"/>
      <c r="H79" s="90"/>
    </row>
  </sheetData>
  <mergeCells count="19">
    <mergeCell ref="A1:H1"/>
    <mergeCell ref="A2:H2"/>
    <mergeCell ref="A4:H4"/>
    <mergeCell ref="E5:H5"/>
    <mergeCell ref="B19:C19"/>
    <mergeCell ref="A20:H20"/>
    <mergeCell ref="A23:H23"/>
    <mergeCell ref="E24:H24"/>
    <mergeCell ref="B38:C38"/>
    <mergeCell ref="A39:H39"/>
    <mergeCell ref="A42:H42"/>
    <mergeCell ref="E43:H43"/>
    <mergeCell ref="B57:C57"/>
    <mergeCell ref="A58:H58"/>
    <mergeCell ref="A61:H61"/>
    <mergeCell ref="E62:H62"/>
    <mergeCell ref="B76:C76"/>
    <mergeCell ref="A77:H77"/>
    <mergeCell ref="A79:H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6"/>
    <col collapsed="false" customWidth="true" hidden="false" outlineLevel="0" max="3" min="3" style="1" width="20"/>
    <col collapsed="false" customWidth="true" hidden="false" outlineLevel="0" max="4" min="4" style="1" width="16"/>
  </cols>
  <sheetData>
    <row r="1" customFormat="false" ht="27.75" hidden="false" customHeight="true" outlineLevel="0" collapsed="false">
      <c r="A1" s="196" t="s">
        <v>354</v>
      </c>
      <c r="B1" s="196"/>
      <c r="C1" s="196"/>
      <c r="D1" s="196"/>
    </row>
    <row r="3" customFormat="false" ht="21.75" hidden="false" customHeight="true" outlineLevel="0" collapsed="false">
      <c r="A3" s="197" t="s">
        <v>355</v>
      </c>
      <c r="B3" s="198" t="s">
        <v>356</v>
      </c>
      <c r="C3" s="199" t="n">
        <f aca="false">ROUND(SUMPRODUCT((MOUVEMENTS!$B$3:$B$500="ART-001")*(MOUVEMENTS!$D$3:$D$500="OUT")*MOUVEMENTS!$E$3:$E$500)/38*250,0)</f>
        <v>2007</v>
      </c>
      <c r="D3" s="129" t="s">
        <v>357</v>
      </c>
    </row>
    <row r="4" customFormat="false" ht="21.75" hidden="false" customHeight="true" outlineLevel="0" collapsed="false">
      <c r="A4" s="197" t="s">
        <v>358</v>
      </c>
      <c r="B4" s="198" t="s">
        <v>359</v>
      </c>
      <c r="C4" s="199" t="n">
        <v>50</v>
      </c>
      <c r="D4" s="129" t="s">
        <v>360</v>
      </c>
    </row>
    <row r="5" customFormat="false" ht="21.75" hidden="false" customHeight="true" outlineLevel="0" collapsed="false">
      <c r="A5" s="197" t="s">
        <v>361</v>
      </c>
      <c r="B5" s="198" t="s">
        <v>362</v>
      </c>
      <c r="C5" s="199" t="n">
        <v>400</v>
      </c>
      <c r="D5" s="129" t="s">
        <v>363</v>
      </c>
    </row>
    <row r="6" customFormat="false" ht="21.75" hidden="false" customHeight="true" outlineLevel="0" collapsed="false">
      <c r="A6" s="197" t="s">
        <v>364</v>
      </c>
      <c r="B6" s="198" t="s">
        <v>365</v>
      </c>
      <c r="C6" s="200" t="n">
        <v>0.2</v>
      </c>
      <c r="D6" s="129" t="s">
        <v>366</v>
      </c>
    </row>
    <row r="7" customFormat="false" ht="21.75" hidden="false" customHeight="true" outlineLevel="0" collapsed="false">
      <c r="A7" s="197" t="s">
        <v>367</v>
      </c>
      <c r="B7" s="198" t="s">
        <v>368</v>
      </c>
      <c r="C7" s="199" t="n">
        <v>200</v>
      </c>
      <c r="D7" s="129" t="s">
        <v>369</v>
      </c>
    </row>
    <row r="8" customFormat="false" ht="21.75" hidden="false" customHeight="true" outlineLevel="0" collapsed="false">
      <c r="A8" s="197" t="s">
        <v>370</v>
      </c>
      <c r="B8" s="198" t="s">
        <v>371</v>
      </c>
      <c r="C8" s="199" t="n">
        <v>2</v>
      </c>
      <c r="D8" s="129" t="s">
        <v>372</v>
      </c>
    </row>
    <row r="9" customFormat="false" ht="9.75" hidden="false" customHeight="true" outlineLevel="0" collapsed="false"/>
    <row r="10" customFormat="false" ht="15" hidden="false" customHeight="true" outlineLevel="0" collapsed="false">
      <c r="A10" s="201" t="s">
        <v>373</v>
      </c>
      <c r="B10" s="201"/>
      <c r="C10" s="201"/>
      <c r="D10" s="201"/>
    </row>
    <row r="11" customFormat="false" ht="21.75" hidden="false" customHeight="true" outlineLevel="0" collapsed="false">
      <c r="A11" s="202" t="s">
        <v>374</v>
      </c>
      <c r="B11" s="198" t="s">
        <v>375</v>
      </c>
      <c r="C11" s="203" t="n">
        <f aca="false">ROUND(SQRT(2*C3*C4/(C6*C5)),0)</f>
        <v>50</v>
      </c>
      <c r="D11" s="129" t="s">
        <v>369</v>
      </c>
    </row>
    <row r="12" customFormat="false" ht="21.75" hidden="false" customHeight="true" outlineLevel="0" collapsed="false">
      <c r="A12" s="202" t="s">
        <v>376</v>
      </c>
      <c r="B12" s="198" t="s">
        <v>377</v>
      </c>
      <c r="C12" s="203" t="n">
        <f aca="false">ROUND(C3/C11,1)</f>
        <v>40.1</v>
      </c>
      <c r="D12" s="129" t="s">
        <v>378</v>
      </c>
    </row>
    <row r="13" customFormat="false" ht="21.75" hidden="false" customHeight="true" outlineLevel="0" collapsed="false">
      <c r="A13" s="202" t="s">
        <v>322</v>
      </c>
      <c r="B13" s="198" t="s">
        <v>379</v>
      </c>
      <c r="C13" s="203" t="n">
        <f aca="false">ROUND(C7+(C3/250)*C8,0)</f>
        <v>216</v>
      </c>
      <c r="D13" s="129" t="s">
        <v>369</v>
      </c>
    </row>
    <row r="14" customFormat="false" ht="21.75" hidden="false" customHeight="true" outlineLevel="0" collapsed="false">
      <c r="A14" s="202" t="s">
        <v>380</v>
      </c>
      <c r="B14" s="198" t="s">
        <v>381</v>
      </c>
      <c r="C14" s="203" t="n">
        <f aca="false">ROUND((C3/C11)*C4,0)</f>
        <v>2007</v>
      </c>
      <c r="D14" s="129" t="s">
        <v>382</v>
      </c>
    </row>
    <row r="15" customFormat="false" ht="21.75" hidden="false" customHeight="true" outlineLevel="0" collapsed="false">
      <c r="A15" s="202" t="s">
        <v>383</v>
      </c>
      <c r="B15" s="198" t="s">
        <v>384</v>
      </c>
      <c r="C15" s="203" t="n">
        <f aca="false">ROUND((C11/2+C7)*C6*C5,0)</f>
        <v>18000</v>
      </c>
      <c r="D15" s="129" t="s">
        <v>382</v>
      </c>
    </row>
    <row r="16" customFormat="false" ht="21.75" hidden="false" customHeight="true" outlineLevel="0" collapsed="false">
      <c r="A16" s="202" t="s">
        <v>385</v>
      </c>
      <c r="B16" s="198" t="s">
        <v>386</v>
      </c>
      <c r="C16" s="203" t="n">
        <f aca="false">C14+C15</f>
        <v>20007</v>
      </c>
      <c r="D16" s="129" t="s">
        <v>382</v>
      </c>
    </row>
    <row r="18" customFormat="false" ht="36" hidden="false" customHeight="true" outlineLevel="0" collapsed="false">
      <c r="A18" s="204" t="s">
        <v>387</v>
      </c>
      <c r="B18" s="204"/>
      <c r="C18" s="204"/>
      <c r="D18" s="204"/>
    </row>
  </sheetData>
  <mergeCells count="3">
    <mergeCell ref="A1:D1"/>
    <mergeCell ref="A10:D10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74F"/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6"/>
  </cols>
  <sheetData>
    <row r="1" customFormat="false" ht="27.75" hidden="false" customHeight="true" outlineLevel="0" collapsed="false">
      <c r="A1" s="196" t="s">
        <v>388</v>
      </c>
      <c r="B1" s="196"/>
      <c r="C1" s="196"/>
      <c r="D1" s="196"/>
      <c r="E1" s="196"/>
      <c r="F1" s="196"/>
      <c r="G1" s="196"/>
    </row>
    <row r="2" customFormat="false" ht="21.75" hidden="false" customHeight="true" outlineLevel="0" collapsed="false">
      <c r="A2" s="205" t="s">
        <v>389</v>
      </c>
      <c r="B2" s="206" t="s">
        <v>390</v>
      </c>
      <c r="C2" s="205" t="s">
        <v>391</v>
      </c>
      <c r="D2" s="205" t="s">
        <v>47</v>
      </c>
      <c r="E2" s="205" t="s">
        <v>55</v>
      </c>
      <c r="F2" s="205" t="s">
        <v>392</v>
      </c>
      <c r="G2" s="205" t="s">
        <v>393</v>
      </c>
      <c r="H2" s="205" t="s">
        <v>304</v>
      </c>
    </row>
    <row r="3" customFormat="false" ht="15" hidden="false" customHeight="true" outlineLevel="0" collapsed="false">
      <c r="A3" s="207" t="s">
        <v>394</v>
      </c>
      <c r="B3" s="208" t="s">
        <v>395</v>
      </c>
      <c r="C3" s="207" t="s">
        <v>396</v>
      </c>
      <c r="D3" s="207" t="s">
        <v>60</v>
      </c>
      <c r="E3" s="207" t="s">
        <v>65</v>
      </c>
      <c r="F3" s="106" t="n">
        <v>500</v>
      </c>
      <c r="G3" s="106" t="n">
        <v>405</v>
      </c>
      <c r="H3" s="207" t="s">
        <v>397</v>
      </c>
    </row>
    <row r="4" customFormat="false" ht="15" hidden="false" customHeight="true" outlineLevel="0" collapsed="false">
      <c r="A4" s="207" t="s">
        <v>398</v>
      </c>
      <c r="B4" s="208" t="s">
        <v>170</v>
      </c>
      <c r="C4" s="207" t="s">
        <v>399</v>
      </c>
      <c r="D4" s="207" t="s">
        <v>70</v>
      </c>
      <c r="E4" s="207" t="s">
        <v>74</v>
      </c>
      <c r="F4" s="106" t="n">
        <v>5</v>
      </c>
      <c r="G4" s="106" t="n">
        <v>5</v>
      </c>
      <c r="H4" s="207" t="s">
        <v>397</v>
      </c>
    </row>
    <row r="5" customFormat="false" ht="15" hidden="false" customHeight="true" outlineLevel="0" collapsed="false">
      <c r="A5" s="207" t="s">
        <v>400</v>
      </c>
      <c r="B5" s="208" t="s">
        <v>170</v>
      </c>
      <c r="C5" s="207" t="s">
        <v>399</v>
      </c>
      <c r="D5" s="207" t="s">
        <v>79</v>
      </c>
      <c r="E5" s="207" t="s">
        <v>65</v>
      </c>
      <c r="F5" s="106" t="n">
        <v>100</v>
      </c>
      <c r="G5" s="106" t="n">
        <v>100</v>
      </c>
      <c r="H5" s="207" t="s">
        <v>397</v>
      </c>
    </row>
    <row r="6" customFormat="false" ht="15" hidden="false" customHeight="true" outlineLevel="0" collapsed="false">
      <c r="A6" s="209" t="s">
        <v>401</v>
      </c>
      <c r="B6" s="208" t="s">
        <v>402</v>
      </c>
      <c r="C6" s="209" t="s">
        <v>403</v>
      </c>
      <c r="D6" s="209" t="s">
        <v>60</v>
      </c>
      <c r="E6" s="209" t="s">
        <v>65</v>
      </c>
      <c r="F6" s="115" t="n">
        <v>60</v>
      </c>
      <c r="G6" s="115"/>
      <c r="H6" s="209" t="s">
        <v>404</v>
      </c>
    </row>
    <row r="7" customFormat="false" ht="15" hidden="false" customHeight="true" outlineLevel="0" collapsed="false">
      <c r="A7" s="209" t="s">
        <v>405</v>
      </c>
      <c r="B7" s="208" t="s">
        <v>402</v>
      </c>
      <c r="C7" s="209" t="s">
        <v>403</v>
      </c>
      <c r="D7" s="209" t="s">
        <v>70</v>
      </c>
      <c r="E7" s="209" t="s">
        <v>74</v>
      </c>
      <c r="F7" s="115" t="n">
        <v>5</v>
      </c>
      <c r="G7" s="115"/>
      <c r="H7" s="209" t="s">
        <v>404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A7517"/>
    <pageSetUpPr fitToPage="tru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4"/>
  </cols>
  <sheetData>
    <row r="1" customFormat="false" ht="19.5" hidden="false" customHeight="true" outlineLevel="0" collapsed="false">
      <c r="A1" s="210" t="s">
        <v>406</v>
      </c>
      <c r="B1" s="210"/>
      <c r="C1" s="210"/>
      <c r="D1" s="210"/>
      <c r="E1" s="210"/>
      <c r="F1" s="210"/>
      <c r="G1" s="210"/>
      <c r="H1" s="210"/>
    </row>
    <row r="2" customFormat="false" ht="18" hidden="false" customHeight="true" outlineLevel="0" collapsed="false">
      <c r="A2" s="211" t="s">
        <v>407</v>
      </c>
      <c r="B2" s="211"/>
      <c r="C2" s="211"/>
      <c r="D2" s="211"/>
      <c r="E2" s="211"/>
      <c r="F2" s="211"/>
      <c r="G2" s="211"/>
      <c r="H2" s="211"/>
    </row>
    <row r="3" customFormat="false" ht="15.75" hidden="false" customHeight="true" outlineLevel="0" collapsed="false">
      <c r="A3" s="212" t="s">
        <v>408</v>
      </c>
      <c r="B3" s="212"/>
      <c r="C3" s="212"/>
      <c r="D3" s="212"/>
      <c r="E3" s="212"/>
      <c r="F3" s="212"/>
      <c r="G3" s="212"/>
      <c r="H3" s="212"/>
    </row>
    <row r="4" customFormat="false" ht="6" hidden="false" customHeight="true" outlineLevel="0" collapsed="false"/>
    <row r="5" customFormat="false" ht="30" hidden="false" customHeight="true" outlineLevel="0" collapsed="false">
      <c r="A5" s="213" t="s">
        <v>409</v>
      </c>
      <c r="B5" s="213"/>
      <c r="C5" s="213"/>
      <c r="D5" s="213"/>
      <c r="E5" s="213"/>
      <c r="F5" s="213"/>
      <c r="G5" s="213"/>
      <c r="H5" s="213"/>
    </row>
    <row r="6" customFormat="false" ht="21.75" hidden="false" customHeight="true" outlineLevel="0" collapsed="false">
      <c r="B6" s="176" t="s">
        <v>410</v>
      </c>
      <c r="C6" s="176"/>
      <c r="D6" s="214"/>
      <c r="E6" s="214"/>
      <c r="F6" s="214"/>
      <c r="G6" s="214"/>
      <c r="H6" s="214"/>
    </row>
    <row r="7" customFormat="false" ht="13.5" hidden="false" customHeight="true" outlineLevel="0" collapsed="false">
      <c r="A7" s="215" t="s">
        <v>411</v>
      </c>
      <c r="B7" s="215"/>
      <c r="C7" s="215"/>
      <c r="D7" s="215"/>
      <c r="E7" s="215"/>
      <c r="F7" s="215"/>
      <c r="G7" s="215"/>
      <c r="H7" s="215"/>
    </row>
    <row r="8" customFormat="false" ht="21.75" hidden="false" customHeight="true" outlineLevel="0" collapsed="false">
      <c r="B8" s="176" t="s">
        <v>412</v>
      </c>
      <c r="C8" s="176"/>
      <c r="D8" s="216" t="n">
        <f aca="true">TODAY()</f>
        <v>46114</v>
      </c>
      <c r="E8" s="216"/>
      <c r="F8" s="216"/>
      <c r="G8" s="216"/>
      <c r="H8" s="216"/>
    </row>
    <row r="9" customFormat="false" ht="21.75" hidden="false" customHeight="true" outlineLevel="0" collapsed="false">
      <c r="B9" s="176" t="s">
        <v>413</v>
      </c>
      <c r="C9" s="176"/>
      <c r="D9" s="217"/>
      <c r="E9" s="217"/>
      <c r="F9" s="217"/>
      <c r="G9" s="217"/>
      <c r="H9" s="217"/>
    </row>
    <row r="10" customFormat="false" ht="21.75" hidden="false" customHeight="true" outlineLevel="0" collapsed="false">
      <c r="B10" s="176" t="s">
        <v>414</v>
      </c>
      <c r="C10" s="176"/>
      <c r="D10" s="217"/>
      <c r="E10" s="217"/>
      <c r="F10" s="217"/>
      <c r="G10" s="217"/>
      <c r="H10" s="217"/>
    </row>
    <row r="11" customFormat="false" ht="13.5" hidden="false" customHeight="true" outlineLevel="0" collapsed="false">
      <c r="A11" s="215" t="s">
        <v>415</v>
      </c>
      <c r="B11" s="215"/>
      <c r="C11" s="215"/>
      <c r="D11" s="215"/>
      <c r="E11" s="215"/>
      <c r="F11" s="215"/>
      <c r="G11" s="215"/>
      <c r="H11" s="215"/>
    </row>
    <row r="12" customFormat="false" ht="6" hidden="false" customHeight="true" outlineLevel="0" collapsed="false"/>
    <row r="13" customFormat="false" ht="31.5" hidden="false" customHeight="true" outlineLevel="0" collapsed="false">
      <c r="A13" s="218" t="s">
        <v>416</v>
      </c>
      <c r="B13" s="218" t="s">
        <v>417</v>
      </c>
      <c r="C13" s="218" t="s">
        <v>418</v>
      </c>
      <c r="D13" s="218" t="s">
        <v>50</v>
      </c>
      <c r="E13" s="218" t="s">
        <v>419</v>
      </c>
      <c r="F13" s="218" t="s">
        <v>420</v>
      </c>
      <c r="G13" s="218" t="s">
        <v>421</v>
      </c>
      <c r="H13" s="218" t="s">
        <v>422</v>
      </c>
    </row>
    <row r="14" customFormat="false" ht="19.5" hidden="false" customHeight="true" outlineLevel="0" collapsed="false">
      <c r="A14" s="219" t="n">
        <v>1</v>
      </c>
      <c r="B14" s="220"/>
      <c r="C14" s="221" t="str">
        <f aca="false">IFERROR(VLOOKUP(B14,ARTICLES!$A$3:$G$500,2,0),"")</f>
        <v/>
      </c>
      <c r="D14" s="222" t="str">
        <f aca="false">IFERROR(VLOOKUP(B14,ARTICLES!$A$3:$G$500,3,0),"")</f>
        <v/>
      </c>
      <c r="E14" s="223"/>
      <c r="F14" s="223"/>
      <c r="G14" s="188" t="str">
        <f aca="false">IFERROR(VLOOKUP(B14,ARTICLES!$A$3:$G$500,7,0),"")</f>
        <v/>
      </c>
      <c r="H14" s="188" t="str">
        <f aca="false">IFERROR(F14*G14,"")</f>
        <v/>
      </c>
    </row>
    <row r="15" customFormat="false" ht="19.5" hidden="false" customHeight="true" outlineLevel="0" collapsed="false">
      <c r="A15" s="219" t="n">
        <v>2</v>
      </c>
      <c r="B15" s="220"/>
      <c r="C15" s="221" t="str">
        <f aca="false">IFERROR(VLOOKUP(B15,ARTICLES!$A$3:$G$500,2,0),"")</f>
        <v/>
      </c>
      <c r="D15" s="222" t="str">
        <f aca="false">IFERROR(VLOOKUP(B15,ARTICLES!$A$3:$G$500,3,0),"")</f>
        <v/>
      </c>
      <c r="E15" s="223"/>
      <c r="F15" s="223"/>
      <c r="G15" s="188" t="str">
        <f aca="false">IFERROR(VLOOKUP(B15,ARTICLES!$A$3:$G$500,7,0),"")</f>
        <v/>
      </c>
      <c r="H15" s="188" t="str">
        <f aca="false">IFERROR(F15*G15,"")</f>
        <v/>
      </c>
    </row>
    <row r="16" customFormat="false" ht="19.5" hidden="false" customHeight="true" outlineLevel="0" collapsed="false">
      <c r="A16" s="219" t="n">
        <v>3</v>
      </c>
      <c r="B16" s="220"/>
      <c r="C16" s="221" t="str">
        <f aca="false">IFERROR(VLOOKUP(B16,ARTICLES!$A$3:$G$500,2,0),"")</f>
        <v/>
      </c>
      <c r="D16" s="222" t="str">
        <f aca="false">IFERROR(VLOOKUP(B16,ARTICLES!$A$3:$G$500,3,0),"")</f>
        <v/>
      </c>
      <c r="E16" s="223"/>
      <c r="F16" s="223"/>
      <c r="G16" s="188" t="str">
        <f aca="false">IFERROR(VLOOKUP(B16,ARTICLES!$A$3:$G$500,7,0),"")</f>
        <v/>
      </c>
      <c r="H16" s="188" t="str">
        <f aca="false">IFERROR(F16*G16,"")</f>
        <v/>
      </c>
    </row>
    <row r="17" customFormat="false" ht="19.5" hidden="false" customHeight="true" outlineLevel="0" collapsed="false">
      <c r="A17" s="219" t="n">
        <v>4</v>
      </c>
      <c r="B17" s="220"/>
      <c r="C17" s="221" t="str">
        <f aca="false">IFERROR(VLOOKUP(B17,ARTICLES!$A$3:$G$500,2,0),"")</f>
        <v/>
      </c>
      <c r="D17" s="222" t="str">
        <f aca="false">IFERROR(VLOOKUP(B17,ARTICLES!$A$3:$G$500,3,0),"")</f>
        <v/>
      </c>
      <c r="E17" s="223"/>
      <c r="F17" s="223"/>
      <c r="G17" s="188" t="str">
        <f aca="false">IFERROR(VLOOKUP(B17,ARTICLES!$A$3:$G$500,7,0),"")</f>
        <v/>
      </c>
      <c r="H17" s="188" t="str">
        <f aca="false">IFERROR(F17*G17,"")</f>
        <v/>
      </c>
    </row>
    <row r="18" customFormat="false" ht="19.5" hidden="false" customHeight="true" outlineLevel="0" collapsed="false">
      <c r="A18" s="219" t="n">
        <v>5</v>
      </c>
      <c r="B18" s="220"/>
      <c r="C18" s="221" t="str">
        <f aca="false">IFERROR(VLOOKUP(B18,ARTICLES!$A$3:$G$500,2,0),"")</f>
        <v/>
      </c>
      <c r="D18" s="222" t="str">
        <f aca="false">IFERROR(VLOOKUP(B18,ARTICLES!$A$3:$G$500,3,0),"")</f>
        <v/>
      </c>
      <c r="E18" s="223"/>
      <c r="F18" s="223"/>
      <c r="G18" s="188" t="str">
        <f aca="false">IFERROR(VLOOKUP(B18,ARTICLES!$A$3:$G$500,7,0),"")</f>
        <v/>
      </c>
      <c r="H18" s="188" t="str">
        <f aca="false">IFERROR(F18*G18,"")</f>
        <v/>
      </c>
    </row>
    <row r="19" customFormat="false" ht="19.5" hidden="false" customHeight="true" outlineLevel="0" collapsed="false">
      <c r="A19" s="219" t="n">
        <v>6</v>
      </c>
      <c r="B19" s="220"/>
      <c r="C19" s="221" t="str">
        <f aca="false">IFERROR(VLOOKUP(B19,ARTICLES!$A$3:$G$500,2,0),"")</f>
        <v/>
      </c>
      <c r="D19" s="222" t="str">
        <f aca="false">IFERROR(VLOOKUP(B19,ARTICLES!$A$3:$G$500,3,0),"")</f>
        <v/>
      </c>
      <c r="E19" s="223"/>
      <c r="F19" s="223"/>
      <c r="G19" s="188" t="str">
        <f aca="false">IFERROR(VLOOKUP(B19,ARTICLES!$A$3:$G$500,7,0),"")</f>
        <v/>
      </c>
      <c r="H19" s="188" t="str">
        <f aca="false">IFERROR(F19*G19,"")</f>
        <v/>
      </c>
    </row>
    <row r="20" customFormat="false" ht="19.5" hidden="false" customHeight="true" outlineLevel="0" collapsed="false">
      <c r="A20" s="219" t="n">
        <v>7</v>
      </c>
      <c r="B20" s="220"/>
      <c r="C20" s="221" t="str">
        <f aca="false">IFERROR(VLOOKUP(B20,ARTICLES!$A$3:$G$500,2,0),"")</f>
        <v/>
      </c>
      <c r="D20" s="222" t="str">
        <f aca="false">IFERROR(VLOOKUP(B20,ARTICLES!$A$3:$G$500,3,0),"")</f>
        <v/>
      </c>
      <c r="E20" s="223"/>
      <c r="F20" s="223"/>
      <c r="G20" s="188" t="str">
        <f aca="false">IFERROR(VLOOKUP(B20,ARTICLES!$A$3:$G$500,7,0),"")</f>
        <v/>
      </c>
      <c r="H20" s="188" t="str">
        <f aca="false">IFERROR(F20*G20,"")</f>
        <v/>
      </c>
    </row>
    <row r="21" customFormat="false" ht="19.5" hidden="false" customHeight="true" outlineLevel="0" collapsed="false">
      <c r="A21" s="219" t="n">
        <v>8</v>
      </c>
      <c r="B21" s="220"/>
      <c r="C21" s="221" t="str">
        <f aca="false">IFERROR(VLOOKUP(B21,ARTICLES!$A$3:$G$500,2,0),"")</f>
        <v/>
      </c>
      <c r="D21" s="222" t="str">
        <f aca="false">IFERROR(VLOOKUP(B21,ARTICLES!$A$3:$G$500,3,0),"")</f>
        <v/>
      </c>
      <c r="E21" s="223"/>
      <c r="F21" s="223"/>
      <c r="G21" s="188" t="str">
        <f aca="false">IFERROR(VLOOKUP(B21,ARTICLES!$A$3:$G$500,7,0),"")</f>
        <v/>
      </c>
      <c r="H21" s="188" t="str">
        <f aca="false">IFERROR(F21*G21,"")</f>
        <v/>
      </c>
    </row>
    <row r="22" customFormat="false" ht="21.75" hidden="false" customHeight="true" outlineLevel="0" collapsed="false">
      <c r="A22" s="190" t="s">
        <v>423</v>
      </c>
      <c r="B22" s="190"/>
      <c r="C22" s="190"/>
      <c r="D22" s="190"/>
      <c r="E22" s="190"/>
      <c r="F22" s="190"/>
      <c r="G22" s="190"/>
      <c r="H22" s="224" t="n">
        <f aca="false">SUM(H14:H21)</f>
        <v>0</v>
      </c>
    </row>
    <row r="23" customFormat="false" ht="13.5" hidden="false" customHeight="true" outlineLevel="0" collapsed="false">
      <c r="A23" s="215" t="s">
        <v>424</v>
      </c>
      <c r="B23" s="215"/>
      <c r="C23" s="215"/>
      <c r="D23" s="215"/>
      <c r="E23" s="215"/>
      <c r="F23" s="215"/>
      <c r="G23" s="215"/>
      <c r="H23" s="215"/>
    </row>
    <row r="24" customFormat="false" ht="18" hidden="false" customHeight="true" outlineLevel="0" collapsed="false">
      <c r="A24" s="225" t="s">
        <v>425</v>
      </c>
      <c r="B24" s="225"/>
      <c r="C24" s="225"/>
      <c r="D24" s="225"/>
      <c r="E24" s="225"/>
      <c r="F24" s="225"/>
      <c r="G24" s="225"/>
      <c r="H24" s="225"/>
    </row>
    <row r="25" customFormat="false" ht="18" hidden="false" customHeight="true" outlineLevel="0" collapsed="false">
      <c r="A25" s="226"/>
      <c r="B25" s="226"/>
      <c r="C25" s="226"/>
      <c r="D25" s="226"/>
      <c r="E25" s="226"/>
      <c r="F25" s="226"/>
      <c r="G25" s="226"/>
      <c r="H25" s="226"/>
    </row>
    <row r="26" customFormat="false" ht="18" hidden="false" customHeight="true" outlineLevel="0" collapsed="false">
      <c r="A26" s="226"/>
      <c r="B26" s="226"/>
      <c r="C26" s="226"/>
      <c r="D26" s="226"/>
      <c r="E26" s="226"/>
      <c r="F26" s="226"/>
      <c r="G26" s="226"/>
      <c r="H26" s="226"/>
    </row>
    <row r="27" customFormat="false" ht="7.5" hidden="false" customHeight="true" outlineLevel="0" collapsed="false"/>
    <row r="28" customFormat="false" ht="24" hidden="false" customHeight="true" outlineLevel="0" collapsed="false">
      <c r="A28" s="227" t="s">
        <v>426</v>
      </c>
      <c r="B28" s="227"/>
      <c r="C28" s="227"/>
      <c r="D28" s="227" t="s">
        <v>427</v>
      </c>
      <c r="E28" s="227"/>
      <c r="F28" s="227"/>
      <c r="G28" s="227" t="s">
        <v>428</v>
      </c>
      <c r="H28" s="227"/>
    </row>
    <row r="29" customFormat="false" ht="24" hidden="false" customHeight="true" outlineLevel="0" collapsed="false">
      <c r="A29" s="228" t="s">
        <v>429</v>
      </c>
      <c r="B29" s="228"/>
      <c r="C29" s="228"/>
      <c r="D29" s="228" t="s">
        <v>429</v>
      </c>
      <c r="E29" s="228"/>
      <c r="F29" s="228"/>
      <c r="G29" s="228" t="s">
        <v>429</v>
      </c>
      <c r="H29" s="228"/>
    </row>
    <row r="30" customFormat="false" ht="24" hidden="false" customHeight="true" outlineLevel="0" collapsed="false">
      <c r="A30" s="228"/>
      <c r="B30" s="228"/>
      <c r="C30" s="228"/>
      <c r="D30" s="228"/>
      <c r="E30" s="228"/>
      <c r="F30" s="228"/>
      <c r="G30" s="228"/>
      <c r="H30" s="228"/>
    </row>
    <row r="31" customFormat="false" ht="13.5" hidden="false" customHeight="true" outlineLevel="0" collapsed="false">
      <c r="A31" s="215" t="s">
        <v>430</v>
      </c>
      <c r="B31" s="215"/>
      <c r="C31" s="215"/>
      <c r="D31" s="215"/>
      <c r="E31" s="215"/>
      <c r="F31" s="215"/>
      <c r="G31" s="215"/>
      <c r="H31" s="215"/>
    </row>
    <row r="32" customFormat="false" ht="13.5" hidden="false" customHeight="true" outlineLevel="0" collapsed="false">
      <c r="A32" s="90" t="s">
        <v>237</v>
      </c>
      <c r="B32" s="90"/>
      <c r="C32" s="90"/>
      <c r="D32" s="90"/>
      <c r="E32" s="90"/>
      <c r="F32" s="90"/>
      <c r="G32" s="90"/>
      <c r="H32" s="90"/>
    </row>
  </sheetData>
  <mergeCells count="26">
    <mergeCell ref="A1:H1"/>
    <mergeCell ref="A2:H2"/>
    <mergeCell ref="A3:H3"/>
    <mergeCell ref="A5:H5"/>
    <mergeCell ref="B6:C6"/>
    <mergeCell ref="D6:H6"/>
    <mergeCell ref="A7:H7"/>
    <mergeCell ref="B8:C8"/>
    <mergeCell ref="D8:H8"/>
    <mergeCell ref="B9:C9"/>
    <mergeCell ref="D9:H9"/>
    <mergeCell ref="B10:C10"/>
    <mergeCell ref="D10:H10"/>
    <mergeCell ref="A11:H11"/>
    <mergeCell ref="A22:G22"/>
    <mergeCell ref="A23:H23"/>
    <mergeCell ref="A24:H24"/>
    <mergeCell ref="A25:H26"/>
    <mergeCell ref="A28:C28"/>
    <mergeCell ref="D28:F28"/>
    <mergeCell ref="G28:H28"/>
    <mergeCell ref="A29:C30"/>
    <mergeCell ref="D29:F30"/>
    <mergeCell ref="G29:H30"/>
    <mergeCell ref="A31:H31"/>
    <mergeCell ref="A32:H32"/>
  </mergeCells>
  <printOptions headings="false" gridLines="false" gridLinesSet="true" horizontalCentered="false" verticalCentered="false"/>
  <pageMargins left="0.6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tru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4"/>
  </cols>
  <sheetData>
    <row r="1" customFormat="false" ht="19.5" hidden="false" customHeight="true" outlineLevel="0" collapsed="false">
      <c r="A1" s="210" t="s">
        <v>406</v>
      </c>
      <c r="B1" s="210"/>
      <c r="C1" s="210"/>
      <c r="D1" s="210"/>
      <c r="E1" s="210"/>
      <c r="F1" s="210"/>
      <c r="G1" s="210"/>
      <c r="H1" s="210"/>
    </row>
    <row r="2" customFormat="false" ht="18" hidden="false" customHeight="true" outlineLevel="0" collapsed="false">
      <c r="A2" s="211" t="s">
        <v>407</v>
      </c>
      <c r="B2" s="211"/>
      <c r="C2" s="211"/>
      <c r="D2" s="211"/>
      <c r="E2" s="211"/>
      <c r="F2" s="211"/>
      <c r="G2" s="211"/>
      <c r="H2" s="211"/>
    </row>
    <row r="3" customFormat="false" ht="15.75" hidden="false" customHeight="true" outlineLevel="0" collapsed="false">
      <c r="A3" s="212" t="s">
        <v>408</v>
      </c>
      <c r="B3" s="212"/>
      <c r="C3" s="212"/>
      <c r="D3" s="212"/>
      <c r="E3" s="212"/>
      <c r="F3" s="212"/>
      <c r="G3" s="212"/>
      <c r="H3" s="212"/>
    </row>
    <row r="4" customFormat="false" ht="6" hidden="false" customHeight="true" outlineLevel="0" collapsed="false"/>
    <row r="5" customFormat="false" ht="30" hidden="false" customHeight="true" outlineLevel="0" collapsed="false">
      <c r="A5" s="213" t="s">
        <v>431</v>
      </c>
      <c r="B5" s="213"/>
      <c r="C5" s="213"/>
      <c r="D5" s="213"/>
      <c r="E5" s="213"/>
      <c r="F5" s="213"/>
      <c r="G5" s="213"/>
      <c r="H5" s="213"/>
    </row>
    <row r="6" customFormat="false" ht="21.75" hidden="false" customHeight="true" outlineLevel="0" collapsed="false">
      <c r="B6" s="176" t="s">
        <v>432</v>
      </c>
      <c r="C6" s="176"/>
      <c r="D6" s="214"/>
      <c r="E6" s="214"/>
      <c r="F6" s="214"/>
      <c r="G6" s="214"/>
      <c r="H6" s="214"/>
    </row>
    <row r="7" customFormat="false" ht="13.5" hidden="false" customHeight="true" outlineLevel="0" collapsed="false">
      <c r="A7" s="215" t="s">
        <v>433</v>
      </c>
      <c r="B7" s="215"/>
      <c r="C7" s="215"/>
      <c r="D7" s="215"/>
      <c r="E7" s="215"/>
      <c r="F7" s="215"/>
      <c r="G7" s="215"/>
      <c r="H7" s="215"/>
    </row>
    <row r="8" customFormat="false" ht="21.75" hidden="false" customHeight="true" outlineLevel="0" collapsed="false">
      <c r="B8" s="176" t="s">
        <v>434</v>
      </c>
      <c r="C8" s="176"/>
      <c r="D8" s="216" t="n">
        <f aca="true">TODAY()</f>
        <v>46114</v>
      </c>
      <c r="E8" s="216"/>
      <c r="F8" s="216"/>
      <c r="G8" s="216"/>
      <c r="H8" s="216"/>
    </row>
    <row r="9" customFormat="false" ht="21.75" hidden="false" customHeight="true" outlineLevel="0" collapsed="false">
      <c r="B9" s="176" t="s">
        <v>435</v>
      </c>
      <c r="C9" s="176"/>
      <c r="D9" s="226"/>
      <c r="E9" s="226"/>
      <c r="F9" s="226"/>
      <c r="G9" s="226"/>
      <c r="H9" s="226"/>
    </row>
    <row r="10" customFormat="false" ht="13.5" hidden="false" customHeight="true" outlineLevel="0" collapsed="false">
      <c r="A10" s="215" t="s">
        <v>436</v>
      </c>
      <c r="B10" s="215"/>
      <c r="C10" s="215"/>
      <c r="D10" s="215"/>
      <c r="E10" s="215"/>
      <c r="F10" s="215"/>
      <c r="G10" s="215"/>
      <c r="H10" s="215"/>
    </row>
    <row r="11" customFormat="false" ht="21.75" hidden="false" customHeight="true" outlineLevel="0" collapsed="false">
      <c r="B11" s="176" t="s">
        <v>437</v>
      </c>
      <c r="C11" s="176"/>
      <c r="D11" s="226"/>
      <c r="E11" s="226"/>
      <c r="F11" s="226"/>
      <c r="G11" s="226"/>
      <c r="H11" s="226"/>
    </row>
    <row r="12" customFormat="false" ht="13.5" hidden="false" customHeight="true" outlineLevel="0" collapsed="false">
      <c r="A12" s="215" t="s">
        <v>438</v>
      </c>
      <c r="B12" s="215"/>
      <c r="C12" s="215"/>
      <c r="D12" s="215"/>
      <c r="E12" s="215"/>
      <c r="F12" s="215"/>
      <c r="G12" s="215"/>
      <c r="H12" s="215"/>
    </row>
    <row r="13" customFormat="false" ht="6" hidden="false" customHeight="true" outlineLevel="0" collapsed="false"/>
    <row r="14" customFormat="false" ht="31.5" hidden="false" customHeight="true" outlineLevel="0" collapsed="false">
      <c r="A14" s="218" t="s">
        <v>416</v>
      </c>
      <c r="B14" s="218" t="s">
        <v>417</v>
      </c>
      <c r="C14" s="218" t="s">
        <v>418</v>
      </c>
      <c r="D14" s="218" t="s">
        <v>50</v>
      </c>
      <c r="E14" s="218" t="s">
        <v>419</v>
      </c>
      <c r="F14" s="218" t="s">
        <v>420</v>
      </c>
      <c r="G14" s="218" t="s">
        <v>421</v>
      </c>
      <c r="H14" s="218" t="s">
        <v>422</v>
      </c>
    </row>
    <row r="15" customFormat="false" ht="19.5" hidden="false" customHeight="true" outlineLevel="0" collapsed="false">
      <c r="A15" s="219" t="n">
        <v>1</v>
      </c>
      <c r="B15" s="220"/>
      <c r="C15" s="221" t="str">
        <f aca="false">IFERROR(VLOOKUP(B15,ARTICLES!$A$3:$G$500,2,0),"")</f>
        <v/>
      </c>
      <c r="D15" s="222" t="str">
        <f aca="false">IFERROR(VLOOKUP(B15,ARTICLES!$A$3:$G$500,3,0),"")</f>
        <v/>
      </c>
      <c r="E15" s="223"/>
      <c r="F15" s="223"/>
      <c r="G15" s="188" t="str">
        <f aca="false">IFERROR(VLOOKUP(B15,ARTICLES!$A$3:$G$500,7,0),"")</f>
        <v/>
      </c>
      <c r="H15" s="188" t="str">
        <f aca="false">IFERROR(F15*G15,"")</f>
        <v/>
      </c>
    </row>
    <row r="16" customFormat="false" ht="19.5" hidden="false" customHeight="true" outlineLevel="0" collapsed="false">
      <c r="A16" s="219" t="n">
        <v>2</v>
      </c>
      <c r="B16" s="220"/>
      <c r="C16" s="221" t="str">
        <f aca="false">IFERROR(VLOOKUP(B16,ARTICLES!$A$3:$G$500,2,0),"")</f>
        <v/>
      </c>
      <c r="D16" s="222" t="str">
        <f aca="false">IFERROR(VLOOKUP(B16,ARTICLES!$A$3:$G$500,3,0),"")</f>
        <v/>
      </c>
      <c r="E16" s="223"/>
      <c r="F16" s="223"/>
      <c r="G16" s="188" t="str">
        <f aca="false">IFERROR(VLOOKUP(B16,ARTICLES!$A$3:$G$500,7,0),"")</f>
        <v/>
      </c>
      <c r="H16" s="188" t="str">
        <f aca="false">IFERROR(F16*G16,"")</f>
        <v/>
      </c>
    </row>
    <row r="17" customFormat="false" ht="19.5" hidden="false" customHeight="true" outlineLevel="0" collapsed="false">
      <c r="A17" s="219" t="n">
        <v>3</v>
      </c>
      <c r="B17" s="220"/>
      <c r="C17" s="221" t="str">
        <f aca="false">IFERROR(VLOOKUP(B17,ARTICLES!$A$3:$G$500,2,0),"")</f>
        <v/>
      </c>
      <c r="D17" s="222" t="str">
        <f aca="false">IFERROR(VLOOKUP(B17,ARTICLES!$A$3:$G$500,3,0),"")</f>
        <v/>
      </c>
      <c r="E17" s="223"/>
      <c r="F17" s="223"/>
      <c r="G17" s="188" t="str">
        <f aca="false">IFERROR(VLOOKUP(B17,ARTICLES!$A$3:$G$500,7,0),"")</f>
        <v/>
      </c>
      <c r="H17" s="188" t="str">
        <f aca="false">IFERROR(F17*G17,"")</f>
        <v/>
      </c>
    </row>
    <row r="18" customFormat="false" ht="19.5" hidden="false" customHeight="true" outlineLevel="0" collapsed="false">
      <c r="A18" s="219" t="n">
        <v>4</v>
      </c>
      <c r="B18" s="220"/>
      <c r="C18" s="221" t="str">
        <f aca="false">IFERROR(VLOOKUP(B18,ARTICLES!$A$3:$G$500,2,0),"")</f>
        <v/>
      </c>
      <c r="D18" s="222" t="str">
        <f aca="false">IFERROR(VLOOKUP(B18,ARTICLES!$A$3:$G$500,3,0),"")</f>
        <v/>
      </c>
      <c r="E18" s="223"/>
      <c r="F18" s="223"/>
      <c r="G18" s="188" t="str">
        <f aca="false">IFERROR(VLOOKUP(B18,ARTICLES!$A$3:$G$500,7,0),"")</f>
        <v/>
      </c>
      <c r="H18" s="188" t="str">
        <f aca="false">IFERROR(F18*G18,"")</f>
        <v/>
      </c>
    </row>
    <row r="19" customFormat="false" ht="19.5" hidden="false" customHeight="true" outlineLevel="0" collapsed="false">
      <c r="A19" s="219" t="n">
        <v>5</v>
      </c>
      <c r="B19" s="220"/>
      <c r="C19" s="221" t="str">
        <f aca="false">IFERROR(VLOOKUP(B19,ARTICLES!$A$3:$G$500,2,0),"")</f>
        <v/>
      </c>
      <c r="D19" s="222" t="str">
        <f aca="false">IFERROR(VLOOKUP(B19,ARTICLES!$A$3:$G$500,3,0),"")</f>
        <v/>
      </c>
      <c r="E19" s="223"/>
      <c r="F19" s="223"/>
      <c r="G19" s="188" t="str">
        <f aca="false">IFERROR(VLOOKUP(B19,ARTICLES!$A$3:$G$500,7,0),"")</f>
        <v/>
      </c>
      <c r="H19" s="188" t="str">
        <f aca="false">IFERROR(F19*G19,"")</f>
        <v/>
      </c>
    </row>
    <row r="20" customFormat="false" ht="19.5" hidden="false" customHeight="true" outlineLevel="0" collapsed="false">
      <c r="A20" s="219" t="n">
        <v>6</v>
      </c>
      <c r="B20" s="220"/>
      <c r="C20" s="221" t="str">
        <f aca="false">IFERROR(VLOOKUP(B20,ARTICLES!$A$3:$G$500,2,0),"")</f>
        <v/>
      </c>
      <c r="D20" s="222" t="str">
        <f aca="false">IFERROR(VLOOKUP(B20,ARTICLES!$A$3:$G$500,3,0),"")</f>
        <v/>
      </c>
      <c r="E20" s="223"/>
      <c r="F20" s="223"/>
      <c r="G20" s="188" t="str">
        <f aca="false">IFERROR(VLOOKUP(B20,ARTICLES!$A$3:$G$500,7,0),"")</f>
        <v/>
      </c>
      <c r="H20" s="188" t="str">
        <f aca="false">IFERROR(F20*G20,"")</f>
        <v/>
      </c>
    </row>
    <row r="21" customFormat="false" ht="21.75" hidden="false" customHeight="true" outlineLevel="0" collapsed="false">
      <c r="A21" s="190" t="s">
        <v>423</v>
      </c>
      <c r="B21" s="190"/>
      <c r="C21" s="190"/>
      <c r="D21" s="190"/>
      <c r="E21" s="190"/>
      <c r="F21" s="190"/>
      <c r="G21" s="190"/>
      <c r="H21" s="224" t="n">
        <f aca="false">SUM(H15:H20)</f>
        <v>0</v>
      </c>
    </row>
    <row r="22" customFormat="false" ht="13.5" hidden="false" customHeight="true" outlineLevel="0" collapsed="false">
      <c r="A22" s="215" t="s">
        <v>439</v>
      </c>
      <c r="B22" s="215"/>
      <c r="C22" s="215"/>
      <c r="D22" s="215"/>
      <c r="E22" s="215"/>
      <c r="F22" s="215"/>
      <c r="G22" s="215"/>
      <c r="H22" s="215"/>
    </row>
    <row r="23" customFormat="false" ht="18" hidden="false" customHeight="true" outlineLevel="0" collapsed="false">
      <c r="A23" s="225" t="s">
        <v>425</v>
      </c>
      <c r="B23" s="225"/>
      <c r="C23" s="225"/>
      <c r="D23" s="225"/>
      <c r="E23" s="225"/>
      <c r="F23" s="225"/>
      <c r="G23" s="225"/>
      <c r="H23" s="225"/>
    </row>
    <row r="24" customFormat="false" ht="18" hidden="false" customHeight="true" outlineLevel="0" collapsed="false">
      <c r="A24" s="226"/>
      <c r="B24" s="226"/>
      <c r="C24" s="226"/>
      <c r="D24" s="226"/>
      <c r="E24" s="226"/>
      <c r="F24" s="226"/>
      <c r="G24" s="226"/>
      <c r="H24" s="226"/>
    </row>
    <row r="25" customFormat="false" ht="18" hidden="false" customHeight="true" outlineLevel="0" collapsed="false">
      <c r="A25" s="226"/>
      <c r="B25" s="226"/>
      <c r="C25" s="226"/>
      <c r="D25" s="226"/>
      <c r="E25" s="226"/>
      <c r="F25" s="226"/>
      <c r="G25" s="226"/>
      <c r="H25" s="226"/>
    </row>
    <row r="26" customFormat="false" ht="7.5" hidden="false" customHeight="true" outlineLevel="0" collapsed="false"/>
    <row r="27" customFormat="false" ht="24" hidden="false" customHeight="true" outlineLevel="0" collapsed="false">
      <c r="A27" s="227" t="s">
        <v>440</v>
      </c>
      <c r="B27" s="227"/>
      <c r="C27" s="227" t="s">
        <v>441</v>
      </c>
      <c r="D27" s="227"/>
      <c r="E27" s="227"/>
      <c r="F27" s="227" t="s">
        <v>442</v>
      </c>
      <c r="G27" s="227"/>
      <c r="H27" s="227"/>
    </row>
    <row r="28" customFormat="false" ht="24" hidden="false" customHeight="true" outlineLevel="0" collapsed="false">
      <c r="A28" s="228" t="s">
        <v>429</v>
      </c>
      <c r="B28" s="228"/>
      <c r="C28" s="228" t="s">
        <v>429</v>
      </c>
      <c r="D28" s="228"/>
      <c r="E28" s="228"/>
      <c r="F28" s="228" t="s">
        <v>429</v>
      </c>
      <c r="G28" s="228"/>
      <c r="H28" s="228"/>
    </row>
    <row r="29" customFormat="false" ht="24" hidden="false" customHeight="true" outlineLevel="0" collapsed="false">
      <c r="A29" s="228"/>
      <c r="B29" s="228"/>
      <c r="C29" s="228"/>
      <c r="D29" s="228"/>
      <c r="E29" s="228"/>
      <c r="F29" s="228"/>
      <c r="G29" s="228"/>
      <c r="H29" s="228"/>
    </row>
    <row r="30" customFormat="false" ht="13.5" hidden="false" customHeight="true" outlineLevel="0" collapsed="false">
      <c r="A30" s="215" t="s">
        <v>443</v>
      </c>
      <c r="B30" s="215"/>
      <c r="C30" s="215"/>
      <c r="D30" s="215"/>
      <c r="E30" s="215"/>
      <c r="F30" s="215"/>
      <c r="G30" s="215"/>
      <c r="H30" s="215"/>
    </row>
    <row r="31" customFormat="false" ht="13.5" hidden="false" customHeight="true" outlineLevel="0" collapsed="false">
      <c r="A31" s="90" t="s">
        <v>237</v>
      </c>
      <c r="B31" s="90"/>
      <c r="C31" s="90"/>
      <c r="D31" s="90"/>
      <c r="E31" s="90"/>
      <c r="F31" s="90"/>
      <c r="G31" s="90"/>
      <c r="H31" s="90"/>
    </row>
  </sheetData>
  <mergeCells count="27">
    <mergeCell ref="A1:H1"/>
    <mergeCell ref="A2:H2"/>
    <mergeCell ref="A3:H3"/>
    <mergeCell ref="A5:H5"/>
    <mergeCell ref="B6:C6"/>
    <mergeCell ref="D6:H6"/>
    <mergeCell ref="A7:H7"/>
    <mergeCell ref="B8:C8"/>
    <mergeCell ref="D8:H8"/>
    <mergeCell ref="B9:C9"/>
    <mergeCell ref="D9:H9"/>
    <mergeCell ref="A10:H10"/>
    <mergeCell ref="B11:C11"/>
    <mergeCell ref="D11:H11"/>
    <mergeCell ref="A12:H12"/>
    <mergeCell ref="A21:G21"/>
    <mergeCell ref="A22:H22"/>
    <mergeCell ref="A23:H23"/>
    <mergeCell ref="A24:H25"/>
    <mergeCell ref="A27:B27"/>
    <mergeCell ref="C27:E27"/>
    <mergeCell ref="F27:H27"/>
    <mergeCell ref="A28:B29"/>
    <mergeCell ref="C28:E29"/>
    <mergeCell ref="F28:H29"/>
    <mergeCell ref="A30:H30"/>
    <mergeCell ref="A31:H31"/>
  </mergeCells>
  <printOptions headings="false" gridLines="false" gridLinesSet="true" horizontalCentered="false" verticalCentered="false"/>
  <pageMargins left="0.6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tru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4"/>
  </cols>
  <sheetData>
    <row r="1" customFormat="false" ht="19.5" hidden="false" customHeight="true" outlineLevel="0" collapsed="false">
      <c r="A1" s="210" t="s">
        <v>406</v>
      </c>
      <c r="B1" s="210"/>
      <c r="C1" s="210"/>
      <c r="D1" s="210"/>
      <c r="E1" s="210"/>
      <c r="F1" s="210"/>
      <c r="G1" s="210"/>
      <c r="H1" s="210"/>
    </row>
    <row r="2" customFormat="false" ht="18" hidden="false" customHeight="true" outlineLevel="0" collapsed="false">
      <c r="A2" s="211" t="s">
        <v>407</v>
      </c>
      <c r="B2" s="211"/>
      <c r="C2" s="211"/>
      <c r="D2" s="211"/>
      <c r="E2" s="211"/>
      <c r="F2" s="211"/>
      <c r="G2" s="211"/>
      <c r="H2" s="211"/>
    </row>
    <row r="3" customFormat="false" ht="15.75" hidden="false" customHeight="true" outlineLevel="0" collapsed="false">
      <c r="A3" s="212" t="s">
        <v>408</v>
      </c>
      <c r="B3" s="212"/>
      <c r="C3" s="212"/>
      <c r="D3" s="212"/>
      <c r="E3" s="212"/>
      <c r="F3" s="212"/>
      <c r="G3" s="212"/>
      <c r="H3" s="212"/>
    </row>
    <row r="4" customFormat="false" ht="6" hidden="false" customHeight="true" outlineLevel="0" collapsed="false"/>
    <row r="5" customFormat="false" ht="30" hidden="false" customHeight="true" outlineLevel="0" collapsed="false">
      <c r="A5" s="213" t="s">
        <v>444</v>
      </c>
      <c r="B5" s="213"/>
      <c r="C5" s="213"/>
      <c r="D5" s="213"/>
      <c r="E5" s="213"/>
      <c r="F5" s="213"/>
      <c r="G5" s="213"/>
      <c r="H5" s="213"/>
    </row>
    <row r="6" customFormat="false" ht="21.75" hidden="false" customHeight="true" outlineLevel="0" collapsed="false">
      <c r="B6" s="176" t="s">
        <v>445</v>
      </c>
      <c r="C6" s="176"/>
      <c r="D6" s="214"/>
      <c r="E6" s="214"/>
      <c r="F6" s="214"/>
      <c r="G6" s="214"/>
      <c r="H6" s="214"/>
    </row>
    <row r="7" customFormat="false" ht="13.5" hidden="false" customHeight="true" outlineLevel="0" collapsed="false">
      <c r="A7" s="215" t="s">
        <v>446</v>
      </c>
      <c r="B7" s="215"/>
      <c r="C7" s="215"/>
      <c r="D7" s="215"/>
      <c r="E7" s="215"/>
      <c r="F7" s="215"/>
      <c r="G7" s="215"/>
      <c r="H7" s="215"/>
    </row>
    <row r="8" customFormat="false" ht="21.75" hidden="false" customHeight="true" outlineLevel="0" collapsed="false">
      <c r="B8" s="176" t="s">
        <v>447</v>
      </c>
      <c r="C8" s="176"/>
      <c r="D8" s="216" t="n">
        <f aca="true">TODAY()</f>
        <v>46114</v>
      </c>
      <c r="E8" s="216"/>
      <c r="F8" s="216"/>
      <c r="G8" s="216"/>
      <c r="H8" s="216"/>
    </row>
    <row r="9" customFormat="false" ht="21.75" hidden="false" customHeight="true" outlineLevel="0" collapsed="false">
      <c r="B9" s="229" t="s">
        <v>448</v>
      </c>
      <c r="C9" s="229"/>
      <c r="D9" s="226"/>
      <c r="E9" s="226"/>
      <c r="F9" s="226"/>
      <c r="G9" s="226"/>
      <c r="H9" s="226"/>
    </row>
    <row r="10" customFormat="false" ht="13.5" hidden="false" customHeight="true" outlineLevel="0" collapsed="false">
      <c r="A10" s="215" t="s">
        <v>449</v>
      </c>
      <c r="B10" s="215"/>
      <c r="C10" s="215"/>
      <c r="D10" s="215"/>
      <c r="E10" s="215"/>
      <c r="F10" s="215"/>
      <c r="G10" s="215"/>
      <c r="H10" s="215"/>
    </row>
    <row r="11" customFormat="false" ht="21.75" hidden="false" customHeight="true" outlineLevel="0" collapsed="false">
      <c r="B11" s="176" t="s">
        <v>450</v>
      </c>
      <c r="C11" s="176"/>
      <c r="D11" s="226"/>
      <c r="E11" s="226"/>
      <c r="F11" s="226"/>
      <c r="G11" s="226"/>
      <c r="H11" s="226"/>
    </row>
    <row r="12" customFormat="false" ht="13.5" hidden="false" customHeight="true" outlineLevel="0" collapsed="false">
      <c r="A12" s="215" t="s">
        <v>451</v>
      </c>
      <c r="B12" s="215"/>
      <c r="C12" s="215"/>
      <c r="D12" s="215"/>
      <c r="E12" s="215"/>
      <c r="F12" s="215"/>
      <c r="G12" s="215"/>
      <c r="H12" s="215"/>
    </row>
    <row r="13" customFormat="false" ht="21.75" hidden="false" customHeight="true" outlineLevel="0" collapsed="false">
      <c r="B13" s="176" t="s">
        <v>452</v>
      </c>
      <c r="C13" s="176"/>
      <c r="D13" s="226"/>
      <c r="E13" s="226"/>
      <c r="F13" s="226"/>
      <c r="G13" s="226"/>
      <c r="H13" s="226"/>
    </row>
    <row r="14" customFormat="false" ht="13.5" hidden="false" customHeight="true" outlineLevel="0" collapsed="false">
      <c r="A14" s="215" t="s">
        <v>453</v>
      </c>
      <c r="B14" s="215"/>
      <c r="C14" s="215"/>
      <c r="D14" s="215"/>
      <c r="E14" s="215"/>
      <c r="F14" s="215"/>
      <c r="G14" s="215"/>
      <c r="H14" s="215"/>
    </row>
    <row r="15" customFormat="false" ht="6" hidden="false" customHeight="true" outlineLevel="0" collapsed="false"/>
    <row r="16" customFormat="false" ht="31.5" hidden="false" customHeight="true" outlineLevel="0" collapsed="false">
      <c r="A16" s="218" t="s">
        <v>416</v>
      </c>
      <c r="B16" s="218" t="s">
        <v>417</v>
      </c>
      <c r="C16" s="218" t="s">
        <v>418</v>
      </c>
      <c r="D16" s="218" t="s">
        <v>50</v>
      </c>
      <c r="E16" s="218" t="s">
        <v>419</v>
      </c>
      <c r="F16" s="218" t="s">
        <v>420</v>
      </c>
      <c r="G16" s="218" t="s">
        <v>421</v>
      </c>
      <c r="H16" s="218" t="s">
        <v>422</v>
      </c>
    </row>
    <row r="17" customFormat="false" ht="19.5" hidden="false" customHeight="true" outlineLevel="0" collapsed="false">
      <c r="A17" s="219" t="n">
        <v>1</v>
      </c>
      <c r="B17" s="220"/>
      <c r="C17" s="221" t="str">
        <f aca="false">IFERROR(VLOOKUP(B17,ARTICLES!$A$3:$G$500,2,0),"")</f>
        <v/>
      </c>
      <c r="D17" s="222" t="str">
        <f aca="false">IFERROR(VLOOKUP(B17,ARTICLES!$A$3:$G$500,3,0),"")</f>
        <v/>
      </c>
      <c r="E17" s="223"/>
      <c r="F17" s="223"/>
      <c r="G17" s="188" t="str">
        <f aca="false">IFERROR(VLOOKUP(B17,ARTICLES!$A$3:$G$500,7,0),"")</f>
        <v/>
      </c>
      <c r="H17" s="188" t="str">
        <f aca="false">IFERROR(F17*G17,"")</f>
        <v/>
      </c>
    </row>
    <row r="18" customFormat="false" ht="19.5" hidden="false" customHeight="true" outlineLevel="0" collapsed="false">
      <c r="A18" s="219" t="n">
        <v>2</v>
      </c>
      <c r="B18" s="220"/>
      <c r="C18" s="221" t="str">
        <f aca="false">IFERROR(VLOOKUP(B18,ARTICLES!$A$3:$G$500,2,0),"")</f>
        <v/>
      </c>
      <c r="D18" s="222" t="str">
        <f aca="false">IFERROR(VLOOKUP(B18,ARTICLES!$A$3:$G$500,3,0),"")</f>
        <v/>
      </c>
      <c r="E18" s="223"/>
      <c r="F18" s="223"/>
      <c r="G18" s="188" t="str">
        <f aca="false">IFERROR(VLOOKUP(B18,ARTICLES!$A$3:$G$500,7,0),"")</f>
        <v/>
      </c>
      <c r="H18" s="188" t="str">
        <f aca="false">IFERROR(F18*G18,"")</f>
        <v/>
      </c>
    </row>
    <row r="19" customFormat="false" ht="19.5" hidden="false" customHeight="true" outlineLevel="0" collapsed="false">
      <c r="A19" s="219" t="n">
        <v>3</v>
      </c>
      <c r="B19" s="220"/>
      <c r="C19" s="221" t="str">
        <f aca="false">IFERROR(VLOOKUP(B19,ARTICLES!$A$3:$G$500,2,0),"")</f>
        <v/>
      </c>
      <c r="D19" s="222" t="str">
        <f aca="false">IFERROR(VLOOKUP(B19,ARTICLES!$A$3:$G$500,3,0),"")</f>
        <v/>
      </c>
      <c r="E19" s="223"/>
      <c r="F19" s="223"/>
      <c r="G19" s="188" t="str">
        <f aca="false">IFERROR(VLOOKUP(B19,ARTICLES!$A$3:$G$500,7,0),"")</f>
        <v/>
      </c>
      <c r="H19" s="188" t="str">
        <f aca="false">IFERROR(F19*G19,"")</f>
        <v/>
      </c>
    </row>
    <row r="20" customFormat="false" ht="19.5" hidden="false" customHeight="true" outlineLevel="0" collapsed="false">
      <c r="A20" s="219" t="n">
        <v>4</v>
      </c>
      <c r="B20" s="220"/>
      <c r="C20" s="221" t="str">
        <f aca="false">IFERROR(VLOOKUP(B20,ARTICLES!$A$3:$G$500,2,0),"")</f>
        <v/>
      </c>
      <c r="D20" s="222" t="str">
        <f aca="false">IFERROR(VLOOKUP(B20,ARTICLES!$A$3:$G$500,3,0),"")</f>
        <v/>
      </c>
      <c r="E20" s="223"/>
      <c r="F20" s="223"/>
      <c r="G20" s="188" t="str">
        <f aca="false">IFERROR(VLOOKUP(B20,ARTICLES!$A$3:$G$500,7,0),"")</f>
        <v/>
      </c>
      <c r="H20" s="188" t="str">
        <f aca="false">IFERROR(F20*G20,"")</f>
        <v/>
      </c>
    </row>
    <row r="21" customFormat="false" ht="19.5" hidden="false" customHeight="true" outlineLevel="0" collapsed="false">
      <c r="A21" s="219" t="n">
        <v>5</v>
      </c>
      <c r="B21" s="220"/>
      <c r="C21" s="221" t="str">
        <f aca="false">IFERROR(VLOOKUP(B21,ARTICLES!$A$3:$G$500,2,0),"")</f>
        <v/>
      </c>
      <c r="D21" s="222" t="str">
        <f aca="false">IFERROR(VLOOKUP(B21,ARTICLES!$A$3:$G$500,3,0),"")</f>
        <v/>
      </c>
      <c r="E21" s="223"/>
      <c r="F21" s="223"/>
      <c r="G21" s="188" t="str">
        <f aca="false">IFERROR(VLOOKUP(B21,ARTICLES!$A$3:$G$500,7,0),"")</f>
        <v/>
      </c>
      <c r="H21" s="188" t="str">
        <f aca="false">IFERROR(F21*G21,"")</f>
        <v/>
      </c>
    </row>
    <row r="22" customFormat="false" ht="19.5" hidden="false" customHeight="true" outlineLevel="0" collapsed="false">
      <c r="A22" s="219" t="n">
        <v>6</v>
      </c>
      <c r="B22" s="220"/>
      <c r="C22" s="221" t="str">
        <f aca="false">IFERROR(VLOOKUP(B22,ARTICLES!$A$3:$G$500,2,0),"")</f>
        <v/>
      </c>
      <c r="D22" s="222" t="str">
        <f aca="false">IFERROR(VLOOKUP(B22,ARTICLES!$A$3:$G$500,3,0),"")</f>
        <v/>
      </c>
      <c r="E22" s="223"/>
      <c r="F22" s="223"/>
      <c r="G22" s="188" t="str">
        <f aca="false">IFERROR(VLOOKUP(B22,ARTICLES!$A$3:$G$500,7,0),"")</f>
        <v/>
      </c>
      <c r="H22" s="188" t="str">
        <f aca="false">IFERROR(F22*G22,"")</f>
        <v/>
      </c>
    </row>
    <row r="23" customFormat="false" ht="19.5" hidden="false" customHeight="true" outlineLevel="0" collapsed="false">
      <c r="A23" s="219" t="n">
        <v>7</v>
      </c>
      <c r="B23" s="220"/>
      <c r="C23" s="221" t="str">
        <f aca="false">IFERROR(VLOOKUP(B23,ARTICLES!$A$3:$G$500,2,0),"")</f>
        <v/>
      </c>
      <c r="D23" s="222" t="str">
        <f aca="false">IFERROR(VLOOKUP(B23,ARTICLES!$A$3:$G$500,3,0),"")</f>
        <v/>
      </c>
      <c r="E23" s="223"/>
      <c r="F23" s="223"/>
      <c r="G23" s="188" t="str">
        <f aca="false">IFERROR(VLOOKUP(B23,ARTICLES!$A$3:$G$500,7,0),"")</f>
        <v/>
      </c>
      <c r="H23" s="188" t="str">
        <f aca="false">IFERROR(F23*G23,"")</f>
        <v/>
      </c>
    </row>
    <row r="24" customFormat="false" ht="19.5" hidden="false" customHeight="true" outlineLevel="0" collapsed="false">
      <c r="A24" s="219" t="n">
        <v>8</v>
      </c>
      <c r="B24" s="220"/>
      <c r="C24" s="221" t="str">
        <f aca="false">IFERROR(VLOOKUP(B24,ARTICLES!$A$3:$G$500,2,0),"")</f>
        <v/>
      </c>
      <c r="D24" s="222" t="str">
        <f aca="false">IFERROR(VLOOKUP(B24,ARTICLES!$A$3:$G$500,3,0),"")</f>
        <v/>
      </c>
      <c r="E24" s="223"/>
      <c r="F24" s="223"/>
      <c r="G24" s="188" t="str">
        <f aca="false">IFERROR(VLOOKUP(B24,ARTICLES!$A$3:$G$500,7,0),"")</f>
        <v/>
      </c>
      <c r="H24" s="188" t="str">
        <f aca="false">IFERROR(F24*G24,"")</f>
        <v/>
      </c>
    </row>
    <row r="25" customFormat="false" ht="21.75" hidden="false" customHeight="true" outlineLevel="0" collapsed="false">
      <c r="A25" s="190" t="s">
        <v>423</v>
      </c>
      <c r="B25" s="190"/>
      <c r="C25" s="190"/>
      <c r="D25" s="190"/>
      <c r="E25" s="190"/>
      <c r="F25" s="190"/>
      <c r="G25" s="190"/>
      <c r="H25" s="224" t="n">
        <f aca="false">SUM(H17:H24)</f>
        <v>0</v>
      </c>
    </row>
    <row r="26" customFormat="false" ht="18" hidden="false" customHeight="true" outlineLevel="0" collapsed="false">
      <c r="A26" s="225" t="s">
        <v>454</v>
      </c>
      <c r="B26" s="225"/>
      <c r="C26" s="225"/>
      <c r="D26" s="225"/>
      <c r="E26" s="225"/>
      <c r="F26" s="225"/>
      <c r="G26" s="225"/>
      <c r="H26" s="225"/>
    </row>
    <row r="27" customFormat="false" ht="18" hidden="false" customHeight="true" outlineLevel="0" collapsed="false">
      <c r="A27" s="226"/>
      <c r="B27" s="226"/>
      <c r="C27" s="226"/>
      <c r="D27" s="226"/>
      <c r="E27" s="226"/>
      <c r="F27" s="226"/>
      <c r="G27" s="226"/>
      <c r="H27" s="226"/>
    </row>
    <row r="28" customFormat="false" ht="18" hidden="false" customHeight="true" outlineLevel="0" collapsed="false">
      <c r="A28" s="226"/>
      <c r="B28" s="226"/>
      <c r="C28" s="226"/>
      <c r="D28" s="226"/>
      <c r="E28" s="226"/>
      <c r="F28" s="226"/>
      <c r="G28" s="226"/>
      <c r="H28" s="226"/>
    </row>
    <row r="29" customFormat="false" ht="7.5" hidden="false" customHeight="true" outlineLevel="0" collapsed="false"/>
    <row r="30" customFormat="false" ht="24" hidden="false" customHeight="true" outlineLevel="0" collapsed="false">
      <c r="A30" s="227" t="s">
        <v>455</v>
      </c>
      <c r="B30" s="227"/>
      <c r="C30" s="227" t="s">
        <v>456</v>
      </c>
      <c r="D30" s="227"/>
      <c r="E30" s="227"/>
      <c r="F30" s="227" t="s">
        <v>457</v>
      </c>
      <c r="G30" s="227"/>
      <c r="H30" s="227"/>
    </row>
    <row r="31" customFormat="false" ht="24" hidden="false" customHeight="true" outlineLevel="0" collapsed="false">
      <c r="A31" s="228" t="s">
        <v>429</v>
      </c>
      <c r="B31" s="228"/>
      <c r="C31" s="228" t="s">
        <v>429</v>
      </c>
      <c r="D31" s="228"/>
      <c r="E31" s="228"/>
      <c r="F31" s="228" t="s">
        <v>429</v>
      </c>
      <c r="G31" s="228"/>
      <c r="H31" s="228"/>
    </row>
    <row r="32" customFormat="false" ht="24" hidden="false" customHeight="true" outlineLevel="0" collapsed="false">
      <c r="A32" s="228"/>
      <c r="B32" s="228"/>
      <c r="C32" s="228"/>
      <c r="D32" s="228"/>
      <c r="E32" s="228"/>
      <c r="F32" s="228"/>
      <c r="G32" s="228"/>
      <c r="H32" s="228"/>
    </row>
    <row r="33" customFormat="false" ht="13.5" hidden="false" customHeight="true" outlineLevel="0" collapsed="false">
      <c r="A33" s="215" t="s">
        <v>458</v>
      </c>
      <c r="B33" s="215"/>
      <c r="C33" s="215"/>
      <c r="D33" s="215"/>
      <c r="E33" s="215"/>
      <c r="F33" s="215"/>
      <c r="G33" s="215"/>
      <c r="H33" s="215"/>
    </row>
    <row r="34" customFormat="false" ht="13.5" hidden="false" customHeight="true" outlineLevel="0" collapsed="false">
      <c r="A34" s="90" t="s">
        <v>237</v>
      </c>
      <c r="B34" s="90"/>
      <c r="C34" s="90"/>
      <c r="D34" s="90"/>
      <c r="E34" s="90"/>
      <c r="F34" s="90"/>
      <c r="G34" s="90"/>
      <c r="H34" s="90"/>
    </row>
  </sheetData>
  <mergeCells count="29">
    <mergeCell ref="A1:H1"/>
    <mergeCell ref="A2:H2"/>
    <mergeCell ref="A3:H3"/>
    <mergeCell ref="A5:H5"/>
    <mergeCell ref="B6:C6"/>
    <mergeCell ref="D6:H6"/>
    <mergeCell ref="A7:H7"/>
    <mergeCell ref="B8:C8"/>
    <mergeCell ref="D8:H8"/>
    <mergeCell ref="B9:C9"/>
    <mergeCell ref="D9:H9"/>
    <mergeCell ref="A10:H10"/>
    <mergeCell ref="B11:C11"/>
    <mergeCell ref="D11:H11"/>
    <mergeCell ref="A12:H12"/>
    <mergeCell ref="B13:C13"/>
    <mergeCell ref="D13:H13"/>
    <mergeCell ref="A14:H14"/>
    <mergeCell ref="A25:G25"/>
    <mergeCell ref="A26:H26"/>
    <mergeCell ref="A27:H28"/>
    <mergeCell ref="A30:B30"/>
    <mergeCell ref="C30:E30"/>
    <mergeCell ref="F30:H30"/>
    <mergeCell ref="A31:B32"/>
    <mergeCell ref="C31:E32"/>
    <mergeCell ref="F31:H32"/>
    <mergeCell ref="A33:H33"/>
    <mergeCell ref="A34:H34"/>
  </mergeCells>
  <printOptions headings="false" gridLines="false" gridLinesSet="true" horizontalCentered="false" verticalCentered="false"/>
  <pageMargins left="0.6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522D"/>
    <pageSetUpPr fitToPage="tru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22"/>
    <col collapsed="false" customWidth="true" hidden="false" outlineLevel="0" max="8" min="8" style="0" width="10"/>
  </cols>
  <sheetData>
    <row r="1" customFormat="false" ht="19.5" hidden="false" customHeight="true" outlineLevel="0" collapsed="false">
      <c r="A1" s="210" t="s">
        <v>406</v>
      </c>
      <c r="B1" s="210"/>
      <c r="C1" s="210"/>
      <c r="D1" s="210"/>
      <c r="E1" s="210"/>
      <c r="F1" s="210"/>
      <c r="G1" s="210"/>
      <c r="H1" s="210"/>
    </row>
    <row r="2" customFormat="false" ht="18" hidden="false" customHeight="true" outlineLevel="0" collapsed="false">
      <c r="A2" s="211" t="s">
        <v>3</v>
      </c>
      <c r="B2" s="211"/>
      <c r="C2" s="211"/>
      <c r="D2" s="211"/>
      <c r="E2" s="211"/>
      <c r="F2" s="211"/>
      <c r="G2" s="211"/>
      <c r="H2" s="211"/>
    </row>
    <row r="3" customFormat="false" ht="6" hidden="false" customHeight="true" outlineLevel="0" collapsed="false"/>
    <row r="4" customFormat="false" ht="30" hidden="false" customHeight="true" outlineLevel="0" collapsed="false">
      <c r="A4" s="213" t="s">
        <v>459</v>
      </c>
      <c r="B4" s="213"/>
      <c r="C4" s="213"/>
      <c r="D4" s="213"/>
      <c r="E4" s="213"/>
      <c r="F4" s="213"/>
      <c r="G4" s="213"/>
      <c r="H4" s="213"/>
    </row>
    <row r="5" customFormat="false" ht="6" hidden="false" customHeight="true" outlineLevel="0" collapsed="false"/>
    <row r="6" customFormat="false" ht="21.75" hidden="false" customHeight="true" outlineLevel="0" collapsed="false">
      <c r="B6" s="176" t="s">
        <v>460</v>
      </c>
      <c r="C6" s="176"/>
      <c r="D6" s="217"/>
      <c r="E6" s="217"/>
      <c r="F6" s="217"/>
      <c r="G6" s="217"/>
      <c r="H6" s="217"/>
    </row>
    <row r="7" customFormat="false" ht="13.5" hidden="false" customHeight="true" outlineLevel="0" collapsed="false">
      <c r="A7" s="230" t="s">
        <v>461</v>
      </c>
      <c r="B7" s="230"/>
      <c r="C7" s="230"/>
      <c r="D7" s="230"/>
      <c r="E7" s="230"/>
      <c r="F7" s="230"/>
      <c r="G7" s="230"/>
      <c r="H7" s="230"/>
    </row>
    <row r="8" customFormat="false" ht="21.75" hidden="false" customHeight="true" outlineLevel="0" collapsed="false">
      <c r="B8" s="176" t="s">
        <v>462</v>
      </c>
      <c r="C8" s="176"/>
      <c r="D8" s="216" t="n">
        <f aca="true">TODAY()</f>
        <v>46114</v>
      </c>
      <c r="E8" s="216"/>
      <c r="F8" s="216"/>
      <c r="G8" s="216"/>
      <c r="H8" s="216"/>
    </row>
    <row r="9" customFormat="false" ht="21.75" hidden="false" customHeight="true" outlineLevel="0" collapsed="false">
      <c r="B9" s="176" t="s">
        <v>435</v>
      </c>
      <c r="C9" s="176"/>
      <c r="D9" s="217"/>
      <c r="E9" s="217"/>
      <c r="F9" s="217"/>
      <c r="G9" s="217"/>
      <c r="H9" s="217"/>
    </row>
    <row r="10" customFormat="false" ht="13.5" hidden="false" customHeight="true" outlineLevel="0" collapsed="false">
      <c r="A10" s="215" t="s">
        <v>463</v>
      </c>
      <c r="B10" s="215"/>
      <c r="C10" s="215"/>
      <c r="D10" s="215"/>
      <c r="E10" s="215"/>
      <c r="F10" s="215"/>
      <c r="G10" s="215"/>
      <c r="H10" s="215"/>
    </row>
    <row r="11" customFormat="false" ht="21.75" hidden="false" customHeight="true" outlineLevel="0" collapsed="false">
      <c r="B11" s="176" t="s">
        <v>464</v>
      </c>
      <c r="C11" s="176"/>
      <c r="D11" s="217"/>
      <c r="E11" s="217"/>
      <c r="F11" s="217"/>
      <c r="G11" s="217"/>
      <c r="H11" s="217"/>
    </row>
    <row r="12" customFormat="false" ht="13.5" hidden="false" customHeight="true" outlineLevel="0" collapsed="false">
      <c r="A12" s="215" t="s">
        <v>465</v>
      </c>
      <c r="B12" s="215"/>
      <c r="C12" s="215"/>
      <c r="D12" s="215"/>
      <c r="E12" s="215"/>
      <c r="F12" s="215"/>
      <c r="G12" s="215"/>
      <c r="H12" s="215"/>
    </row>
    <row r="13" customFormat="false" ht="21.75" hidden="false" customHeight="true" outlineLevel="0" collapsed="false">
      <c r="B13" s="176" t="s">
        <v>466</v>
      </c>
      <c r="C13" s="176"/>
      <c r="D13" s="217"/>
      <c r="E13" s="217"/>
      <c r="F13" s="217"/>
      <c r="G13" s="217"/>
      <c r="H13" s="217"/>
    </row>
    <row r="14" customFormat="false" ht="13.5" hidden="false" customHeight="true" outlineLevel="0" collapsed="false">
      <c r="A14" s="215" t="s">
        <v>467</v>
      </c>
      <c r="B14" s="215"/>
      <c r="C14" s="215"/>
      <c r="D14" s="215"/>
      <c r="E14" s="215"/>
      <c r="F14" s="215"/>
      <c r="G14" s="215"/>
      <c r="H14" s="215"/>
    </row>
    <row r="15" customFormat="false" ht="6" hidden="false" customHeight="true" outlineLevel="0" collapsed="false"/>
    <row r="16" customFormat="false" ht="31.5" hidden="false" customHeight="true" outlineLevel="0" collapsed="false">
      <c r="A16" s="218" t="s">
        <v>416</v>
      </c>
      <c r="B16" s="218" t="s">
        <v>47</v>
      </c>
      <c r="C16" s="218" t="s">
        <v>418</v>
      </c>
      <c r="D16" s="218" t="s">
        <v>50</v>
      </c>
      <c r="E16" s="218" t="s">
        <v>468</v>
      </c>
      <c r="F16" s="218" t="s">
        <v>469</v>
      </c>
      <c r="G16" s="218" t="s">
        <v>470</v>
      </c>
      <c r="H16" s="218" t="s">
        <v>471</v>
      </c>
    </row>
    <row r="17" customFormat="false" ht="19.5" hidden="false" customHeight="true" outlineLevel="0" collapsed="false">
      <c r="A17" s="187" t="n">
        <v>1</v>
      </c>
      <c r="B17" s="220"/>
      <c r="C17" s="221" t="str">
        <f aca="false">IFERROR(VLOOKUP(B17,ARTICLES!$A$3:$G$500,2,0),"")</f>
        <v/>
      </c>
      <c r="D17" s="222" t="str">
        <f aca="false">IFERROR(VLOOKUP(B17,ARTICLES!$A$3:$G$500,3,0),"")</f>
        <v/>
      </c>
      <c r="E17" s="223"/>
      <c r="F17" s="231"/>
      <c r="G17" s="221"/>
      <c r="H17" s="178" t="str">
        <f aca="false">IFERROR(IF(B17="","",SUMIFS(MOUVEMENTS!$E$3:$E$500,MOUVEMENTS!$B$3:$B$500,B17,MOUVEMENTS!$D$3:$D$500,"IN")-SUMIFS(MOUVEMENTS!$E$3:$E$500,MOUVEMENTS!$B$3:$B$500,B17,MOUVEMENTS!$D$3:$D$500,"OUT")),"?")</f>
        <v/>
      </c>
    </row>
    <row r="18" customFormat="false" ht="19.5" hidden="false" customHeight="true" outlineLevel="0" collapsed="false">
      <c r="A18" s="187" t="n">
        <v>2</v>
      </c>
      <c r="B18" s="220"/>
      <c r="C18" s="221" t="str">
        <f aca="false">IFERROR(VLOOKUP(B18,ARTICLES!$A$3:$G$500,2,0),"")</f>
        <v/>
      </c>
      <c r="D18" s="222" t="str">
        <f aca="false">IFERROR(VLOOKUP(B18,ARTICLES!$A$3:$G$500,3,0),"")</f>
        <v/>
      </c>
      <c r="E18" s="223"/>
      <c r="F18" s="231"/>
      <c r="G18" s="221"/>
      <c r="H18" s="178" t="str">
        <f aca="false">IFERROR(IF(B18="","",SUMIFS(MOUVEMENTS!$E$3:$E$500,MOUVEMENTS!$B$3:$B$500,B18,MOUVEMENTS!$D$3:$D$500,"IN")-SUMIFS(MOUVEMENTS!$E$3:$E$500,MOUVEMENTS!$B$3:$B$500,B18,MOUVEMENTS!$D$3:$D$500,"OUT")),"?")</f>
        <v/>
      </c>
    </row>
    <row r="19" customFormat="false" ht="19.5" hidden="false" customHeight="true" outlineLevel="0" collapsed="false">
      <c r="A19" s="187" t="n">
        <v>3</v>
      </c>
      <c r="B19" s="220"/>
      <c r="C19" s="221" t="str">
        <f aca="false">IFERROR(VLOOKUP(B19,ARTICLES!$A$3:$G$500,2,0),"")</f>
        <v/>
      </c>
      <c r="D19" s="222" t="str">
        <f aca="false">IFERROR(VLOOKUP(B19,ARTICLES!$A$3:$G$500,3,0),"")</f>
        <v/>
      </c>
      <c r="E19" s="223"/>
      <c r="F19" s="231"/>
      <c r="G19" s="221"/>
      <c r="H19" s="178" t="str">
        <f aca="false">IFERROR(IF(B19="","",SUMIFS(MOUVEMENTS!$E$3:$E$500,MOUVEMENTS!$B$3:$B$500,B19,MOUVEMENTS!$D$3:$D$500,"IN")-SUMIFS(MOUVEMENTS!$E$3:$E$500,MOUVEMENTS!$B$3:$B$500,B19,MOUVEMENTS!$D$3:$D$500,"OUT")),"?")</f>
        <v/>
      </c>
    </row>
    <row r="20" customFormat="false" ht="19.5" hidden="false" customHeight="true" outlineLevel="0" collapsed="false">
      <c r="A20" s="187" t="n">
        <v>4</v>
      </c>
      <c r="B20" s="220"/>
      <c r="C20" s="221" t="str">
        <f aca="false">IFERROR(VLOOKUP(B20,ARTICLES!$A$3:$G$500,2,0),"")</f>
        <v/>
      </c>
      <c r="D20" s="222" t="str">
        <f aca="false">IFERROR(VLOOKUP(B20,ARTICLES!$A$3:$G$500,3,0),"")</f>
        <v/>
      </c>
      <c r="E20" s="223"/>
      <c r="F20" s="231"/>
      <c r="G20" s="221"/>
      <c r="H20" s="178" t="str">
        <f aca="false">IFERROR(IF(B20="","",SUMIFS(MOUVEMENTS!$E$3:$E$500,MOUVEMENTS!$B$3:$B$500,B20,MOUVEMENTS!$D$3:$D$500,"IN")-SUMIFS(MOUVEMENTS!$E$3:$E$500,MOUVEMENTS!$B$3:$B$500,B20,MOUVEMENTS!$D$3:$D$500,"OUT")),"?")</f>
        <v/>
      </c>
    </row>
    <row r="21" customFormat="false" ht="19.5" hidden="false" customHeight="true" outlineLevel="0" collapsed="false">
      <c r="A21" s="187" t="n">
        <v>5</v>
      </c>
      <c r="B21" s="220"/>
      <c r="C21" s="221" t="str">
        <f aca="false">IFERROR(VLOOKUP(B21,ARTICLES!$A$3:$G$500,2,0),"")</f>
        <v/>
      </c>
      <c r="D21" s="222" t="str">
        <f aca="false">IFERROR(VLOOKUP(B21,ARTICLES!$A$3:$G$500,3,0),"")</f>
        <v/>
      </c>
      <c r="E21" s="223"/>
      <c r="F21" s="231"/>
      <c r="G21" s="221"/>
      <c r="H21" s="178" t="str">
        <f aca="false">IFERROR(IF(B21="","",SUMIFS(MOUVEMENTS!$E$3:$E$500,MOUVEMENTS!$B$3:$B$500,B21,MOUVEMENTS!$D$3:$D$500,"IN")-SUMIFS(MOUVEMENTS!$E$3:$E$500,MOUVEMENTS!$B$3:$B$500,B21,MOUVEMENTS!$D$3:$D$500,"OUT")),"?")</f>
        <v/>
      </c>
    </row>
    <row r="22" customFormat="false" ht="19.5" hidden="false" customHeight="true" outlineLevel="0" collapsed="false">
      <c r="A22" s="187" t="n">
        <v>6</v>
      </c>
      <c r="B22" s="220"/>
      <c r="C22" s="221" t="str">
        <f aca="false">IFERROR(VLOOKUP(B22,ARTICLES!$A$3:$G$500,2,0),"")</f>
        <v/>
      </c>
      <c r="D22" s="222" t="str">
        <f aca="false">IFERROR(VLOOKUP(B22,ARTICLES!$A$3:$G$500,3,0),"")</f>
        <v/>
      </c>
      <c r="E22" s="223"/>
      <c r="F22" s="231"/>
      <c r="G22" s="221"/>
      <c r="H22" s="178" t="str">
        <f aca="false">IFERROR(IF(B22="","",SUMIFS(MOUVEMENTS!$E$3:$E$500,MOUVEMENTS!$B$3:$B$500,B22,MOUVEMENTS!$D$3:$D$500,"IN")-SUMIFS(MOUVEMENTS!$E$3:$E$500,MOUVEMENTS!$B$3:$B$500,B22,MOUVEMENTS!$D$3:$D$500,"OUT")),"?")</f>
        <v/>
      </c>
    </row>
    <row r="23" customFormat="false" ht="19.5" hidden="false" customHeight="true" outlineLevel="0" collapsed="false">
      <c r="A23" s="187" t="n">
        <v>7</v>
      </c>
      <c r="B23" s="220"/>
      <c r="C23" s="221" t="str">
        <f aca="false">IFERROR(VLOOKUP(B23,ARTICLES!$A$3:$G$500,2,0),"")</f>
        <v/>
      </c>
      <c r="D23" s="222" t="str">
        <f aca="false">IFERROR(VLOOKUP(B23,ARTICLES!$A$3:$G$500,3,0),"")</f>
        <v/>
      </c>
      <c r="E23" s="223"/>
      <c r="F23" s="231"/>
      <c r="G23" s="221"/>
      <c r="H23" s="178" t="str">
        <f aca="false">IFERROR(IF(B23="","",SUMIFS(MOUVEMENTS!$E$3:$E$500,MOUVEMENTS!$B$3:$B$500,B23,MOUVEMENTS!$D$3:$D$500,"IN")-SUMIFS(MOUVEMENTS!$E$3:$E$500,MOUVEMENTS!$B$3:$B$500,B23,MOUVEMENTS!$D$3:$D$500,"OUT")),"?")</f>
        <v/>
      </c>
    </row>
    <row r="24" customFormat="false" ht="19.5" hidden="false" customHeight="true" outlineLevel="0" collapsed="false">
      <c r="A24" s="187" t="n">
        <v>8</v>
      </c>
      <c r="B24" s="220"/>
      <c r="C24" s="221" t="str">
        <f aca="false">IFERROR(VLOOKUP(B24,ARTICLES!$A$3:$G$500,2,0),"")</f>
        <v/>
      </c>
      <c r="D24" s="222" t="str">
        <f aca="false">IFERROR(VLOOKUP(B24,ARTICLES!$A$3:$G$500,3,0),"")</f>
        <v/>
      </c>
      <c r="E24" s="223"/>
      <c r="F24" s="231"/>
      <c r="G24" s="221"/>
      <c r="H24" s="178" t="str">
        <f aca="false">IFERROR(IF(B24="","",SUMIFS(MOUVEMENTS!$E$3:$E$500,MOUVEMENTS!$B$3:$B$500,B24,MOUVEMENTS!$D$3:$D$500,"IN")-SUMIFS(MOUVEMENTS!$E$3:$E$500,MOUVEMENTS!$B$3:$B$500,B24,MOUVEMENTS!$D$3:$D$500,"OUT")),"?")</f>
        <v/>
      </c>
    </row>
    <row r="25" customFormat="false" ht="6" hidden="false" customHeight="true" outlineLevel="0" collapsed="false">
      <c r="A25" s="232"/>
      <c r="B25" s="232"/>
      <c r="C25" s="232"/>
      <c r="D25" s="232"/>
      <c r="E25" s="232"/>
      <c r="F25" s="232"/>
      <c r="G25" s="232"/>
      <c r="H25" s="232"/>
    </row>
    <row r="26" customFormat="false" ht="21.75" hidden="false" customHeight="true" outlineLevel="0" collapsed="false">
      <c r="A26" s="233" t="s">
        <v>472</v>
      </c>
      <c r="B26" s="233"/>
      <c r="C26" s="233"/>
      <c r="D26" s="233"/>
      <c r="E26" s="233"/>
      <c r="F26" s="233"/>
      <c r="G26" s="233"/>
      <c r="H26" s="233"/>
    </row>
    <row r="27" customFormat="false" ht="21.75" hidden="false" customHeight="true" outlineLevel="0" collapsed="false">
      <c r="A27" s="233"/>
      <c r="B27" s="233"/>
      <c r="C27" s="233"/>
      <c r="D27" s="233"/>
      <c r="E27" s="233"/>
      <c r="F27" s="233"/>
      <c r="G27" s="233"/>
      <c r="H27" s="233"/>
    </row>
    <row r="28" customFormat="false" ht="21.75" hidden="false" customHeight="true" outlineLevel="0" collapsed="false">
      <c r="A28" s="233"/>
      <c r="B28" s="233"/>
      <c r="C28" s="233"/>
      <c r="D28" s="233"/>
      <c r="E28" s="233"/>
      <c r="F28" s="233"/>
      <c r="G28" s="233"/>
      <c r="H28" s="233"/>
    </row>
    <row r="29" customFormat="false" ht="7.5" hidden="false" customHeight="true" outlineLevel="0" collapsed="false"/>
    <row r="30" customFormat="false" ht="24" hidden="false" customHeight="true" outlineLevel="0" collapsed="false">
      <c r="A30" s="227" t="s">
        <v>473</v>
      </c>
      <c r="B30" s="227"/>
      <c r="C30" s="227"/>
      <c r="D30" s="227" t="s">
        <v>474</v>
      </c>
      <c r="E30" s="227"/>
      <c r="F30" s="227"/>
      <c r="G30" s="227" t="s">
        <v>475</v>
      </c>
      <c r="H30" s="227"/>
    </row>
    <row r="31" customFormat="false" ht="24" hidden="false" customHeight="true" outlineLevel="0" collapsed="false">
      <c r="A31" s="228" t="s">
        <v>429</v>
      </c>
      <c r="B31" s="228"/>
      <c r="C31" s="228"/>
      <c r="D31" s="228" t="s">
        <v>429</v>
      </c>
      <c r="E31" s="228"/>
      <c r="F31" s="228"/>
      <c r="G31" s="228" t="s">
        <v>429</v>
      </c>
      <c r="H31" s="228"/>
    </row>
    <row r="32" customFormat="false" ht="24" hidden="false" customHeight="true" outlineLevel="0" collapsed="false">
      <c r="A32" s="228"/>
      <c r="B32" s="228"/>
      <c r="C32" s="228"/>
      <c r="D32" s="228"/>
      <c r="E32" s="228"/>
      <c r="F32" s="228"/>
      <c r="G32" s="228"/>
      <c r="H32" s="228"/>
    </row>
    <row r="33" customFormat="false" ht="13.5" hidden="false" customHeight="true" outlineLevel="0" collapsed="false">
      <c r="A33" s="90" t="s">
        <v>237</v>
      </c>
      <c r="B33" s="90"/>
      <c r="C33" s="90"/>
      <c r="D33" s="90"/>
      <c r="E33" s="90"/>
      <c r="F33" s="90"/>
      <c r="G33" s="90"/>
      <c r="H33" s="90"/>
    </row>
  </sheetData>
  <mergeCells count="26">
    <mergeCell ref="A1:H1"/>
    <mergeCell ref="A2:H2"/>
    <mergeCell ref="A4:H4"/>
    <mergeCell ref="B6:C6"/>
    <mergeCell ref="D6:H6"/>
    <mergeCell ref="A7:H7"/>
    <mergeCell ref="B8:C8"/>
    <mergeCell ref="D8:H8"/>
    <mergeCell ref="B9:C9"/>
    <mergeCell ref="D9:H9"/>
    <mergeCell ref="A10:H10"/>
    <mergeCell ref="B11:C11"/>
    <mergeCell ref="D11:H11"/>
    <mergeCell ref="A12:H12"/>
    <mergeCell ref="B13:C13"/>
    <mergeCell ref="D13:H13"/>
    <mergeCell ref="A14:H14"/>
    <mergeCell ref="A25:H25"/>
    <mergeCell ref="A26:H28"/>
    <mergeCell ref="A30:C30"/>
    <mergeCell ref="D30:F30"/>
    <mergeCell ref="G30:H30"/>
    <mergeCell ref="A31:C32"/>
    <mergeCell ref="D31:F32"/>
    <mergeCell ref="G31:H32"/>
    <mergeCell ref="A33:H33"/>
  </mergeCells>
  <printOptions headings="false" gridLines="false" gridLinesSet="true" horizontalCentered="false" verticalCentered="false"/>
  <pageMargins left="0.6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6E7A"/>
    <pageSetUpPr fitToPage="false"/>
  </sheetPr>
  <dimension ref="A1:B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2"/>
  </cols>
  <sheetData>
    <row r="1" customFormat="false" ht="31.5" hidden="false" customHeight="true" outlineLevel="0" collapsed="false">
      <c r="A1" s="234" t="s">
        <v>476</v>
      </c>
      <c r="B1" s="234"/>
    </row>
    <row r="2" customFormat="false" ht="24" hidden="false" customHeight="true" outlineLevel="0" collapsed="false">
      <c r="A2" s="235" t="s">
        <v>477</v>
      </c>
      <c r="B2" s="236" t="s">
        <v>478</v>
      </c>
    </row>
    <row r="3" customFormat="false" ht="18" hidden="false" customHeight="true" outlineLevel="0" collapsed="false">
      <c r="A3" s="237" t="s">
        <v>479</v>
      </c>
      <c r="B3" s="238" t="s">
        <v>480</v>
      </c>
    </row>
    <row r="4" customFormat="false" ht="18" hidden="false" customHeight="true" outlineLevel="0" collapsed="false">
      <c r="A4" s="237" t="s">
        <v>479</v>
      </c>
      <c r="B4" s="239" t="s">
        <v>481</v>
      </c>
    </row>
    <row r="5" customFormat="false" ht="18" hidden="false" customHeight="true" outlineLevel="0" collapsed="false">
      <c r="A5" s="237" t="s">
        <v>479</v>
      </c>
      <c r="B5" s="238" t="s">
        <v>482</v>
      </c>
    </row>
    <row r="6" customFormat="false" ht="18" hidden="false" customHeight="true" outlineLevel="0" collapsed="false">
      <c r="A6" s="237" t="s">
        <v>479</v>
      </c>
      <c r="B6" s="239" t="s">
        <v>483</v>
      </c>
    </row>
    <row r="7" customFormat="false" ht="18" hidden="false" customHeight="true" outlineLevel="0" collapsed="false">
      <c r="A7" s="237" t="s">
        <v>479</v>
      </c>
      <c r="B7" s="238" t="s">
        <v>484</v>
      </c>
    </row>
    <row r="8" customFormat="false" ht="18" hidden="false" customHeight="true" outlineLevel="0" collapsed="false">
      <c r="A8" s="237" t="s">
        <v>479</v>
      </c>
      <c r="B8" s="239" t="s">
        <v>485</v>
      </c>
    </row>
    <row r="9" customFormat="false" ht="18" hidden="false" customHeight="true" outlineLevel="0" collapsed="false">
      <c r="A9" s="237" t="s">
        <v>479</v>
      </c>
      <c r="B9" s="238" t="s">
        <v>486</v>
      </c>
    </row>
    <row r="10" customFormat="false" ht="18" hidden="false" customHeight="true" outlineLevel="0" collapsed="false">
      <c r="A10" s="237" t="s">
        <v>479</v>
      </c>
      <c r="B10" s="239" t="s">
        <v>487</v>
      </c>
    </row>
    <row r="11" customFormat="false" ht="18" hidden="false" customHeight="true" outlineLevel="0" collapsed="false">
      <c r="A11" s="237"/>
      <c r="B11" s="238"/>
    </row>
    <row r="12" customFormat="false" ht="24" hidden="false" customHeight="true" outlineLevel="0" collapsed="false">
      <c r="A12" s="235" t="s">
        <v>477</v>
      </c>
      <c r="B12" s="236" t="s">
        <v>488</v>
      </c>
    </row>
    <row r="13" customFormat="false" ht="18" hidden="false" customHeight="true" outlineLevel="0" collapsed="false">
      <c r="A13" s="237" t="s">
        <v>479</v>
      </c>
      <c r="B13" s="238" t="s">
        <v>489</v>
      </c>
    </row>
    <row r="14" customFormat="false" ht="18" hidden="false" customHeight="true" outlineLevel="0" collapsed="false">
      <c r="A14" s="237" t="s">
        <v>479</v>
      </c>
      <c r="B14" s="239" t="s">
        <v>490</v>
      </c>
    </row>
    <row r="15" customFormat="false" ht="18" hidden="false" customHeight="true" outlineLevel="0" collapsed="false">
      <c r="A15" s="237" t="s">
        <v>479</v>
      </c>
      <c r="B15" s="238" t="s">
        <v>491</v>
      </c>
    </row>
    <row r="16" customFormat="false" ht="18" hidden="false" customHeight="true" outlineLevel="0" collapsed="false">
      <c r="A16" s="237"/>
      <c r="B16" s="239"/>
    </row>
    <row r="17" customFormat="false" ht="24" hidden="false" customHeight="true" outlineLevel="0" collapsed="false">
      <c r="A17" s="235" t="s">
        <v>477</v>
      </c>
      <c r="B17" s="236" t="s">
        <v>492</v>
      </c>
    </row>
    <row r="18" customFormat="false" ht="18" hidden="false" customHeight="true" outlineLevel="0" collapsed="false">
      <c r="A18" s="237" t="s">
        <v>493</v>
      </c>
      <c r="B18" s="239" t="s">
        <v>494</v>
      </c>
    </row>
    <row r="19" customFormat="false" ht="18" hidden="false" customHeight="true" outlineLevel="0" collapsed="false">
      <c r="A19" s="237" t="s">
        <v>493</v>
      </c>
      <c r="B19" s="238" t="s">
        <v>495</v>
      </c>
    </row>
    <row r="20" customFormat="false" ht="18" hidden="false" customHeight="true" outlineLevel="0" collapsed="false">
      <c r="A20" s="237" t="s">
        <v>493</v>
      </c>
      <c r="B20" s="239" t="s">
        <v>496</v>
      </c>
    </row>
    <row r="21" customFormat="false" ht="18" hidden="false" customHeight="true" outlineLevel="0" collapsed="false">
      <c r="A21" s="237"/>
      <c r="B21" s="238"/>
    </row>
    <row r="22" customFormat="false" ht="24" hidden="false" customHeight="true" outlineLevel="0" collapsed="false">
      <c r="A22" s="235" t="s">
        <v>477</v>
      </c>
      <c r="B22" s="236" t="s">
        <v>497</v>
      </c>
    </row>
    <row r="23" customFormat="false" ht="18" hidden="false" customHeight="true" outlineLevel="0" collapsed="false">
      <c r="A23" s="237" t="s">
        <v>498</v>
      </c>
      <c r="B23" s="238" t="s">
        <v>499</v>
      </c>
    </row>
    <row r="24" customFormat="false" ht="18" hidden="false" customHeight="true" outlineLevel="0" collapsed="false">
      <c r="A24" s="237" t="s">
        <v>500</v>
      </c>
      <c r="B24" s="239" t="s">
        <v>501</v>
      </c>
    </row>
    <row r="25" customFormat="false" ht="18" hidden="false" customHeight="true" outlineLevel="0" collapsed="false">
      <c r="A25" s="237" t="s">
        <v>502</v>
      </c>
      <c r="B25" s="238" t="s">
        <v>503</v>
      </c>
    </row>
    <row r="26" customFormat="false" ht="18" hidden="false" customHeight="true" outlineLevel="0" collapsed="false">
      <c r="A26" s="237" t="s">
        <v>504</v>
      </c>
      <c r="B26" s="239" t="s">
        <v>505</v>
      </c>
    </row>
    <row r="27" customFormat="false" ht="18" hidden="false" customHeight="true" outlineLevel="0" collapsed="false">
      <c r="A27" s="237"/>
      <c r="B27" s="238"/>
    </row>
    <row r="28" customFormat="false" ht="24" hidden="false" customHeight="true" outlineLevel="0" collapsed="false">
      <c r="A28" s="235" t="s">
        <v>477</v>
      </c>
      <c r="B28" s="236" t="s">
        <v>506</v>
      </c>
    </row>
    <row r="29" customFormat="false" ht="18" hidden="false" customHeight="true" outlineLevel="0" collapsed="false">
      <c r="A29" s="237" t="s">
        <v>507</v>
      </c>
      <c r="B29" s="238" t="s">
        <v>508</v>
      </c>
    </row>
    <row r="30" customFormat="false" ht="18" hidden="false" customHeight="true" outlineLevel="0" collapsed="false">
      <c r="A30" s="237" t="s">
        <v>509</v>
      </c>
      <c r="B30" s="239" t="s">
        <v>510</v>
      </c>
    </row>
    <row r="31" customFormat="false" ht="18" hidden="false" customHeight="true" outlineLevel="0" collapsed="false">
      <c r="A31" s="237"/>
      <c r="B31" s="238"/>
    </row>
    <row r="32" customFormat="false" ht="24" hidden="false" customHeight="true" outlineLevel="0" collapsed="false">
      <c r="A32" s="235" t="s">
        <v>477</v>
      </c>
      <c r="B32" s="236" t="s">
        <v>511</v>
      </c>
    </row>
    <row r="33" customFormat="false" ht="18" hidden="false" customHeight="true" outlineLevel="0" collapsed="false">
      <c r="A33" s="237" t="s">
        <v>512</v>
      </c>
      <c r="B33" s="238" t="s">
        <v>513</v>
      </c>
    </row>
    <row r="34" customFormat="false" ht="18" hidden="false" customHeight="true" outlineLevel="0" collapsed="false">
      <c r="A34" s="237" t="s">
        <v>514</v>
      </c>
      <c r="B34" s="239" t="s">
        <v>515</v>
      </c>
    </row>
    <row r="35" customFormat="false" ht="18" hidden="false" customHeight="true" outlineLevel="0" collapsed="false">
      <c r="A35" s="237" t="s">
        <v>516</v>
      </c>
      <c r="B35" s="238" t="s">
        <v>517</v>
      </c>
    </row>
    <row r="36" customFormat="false" ht="18" hidden="false" customHeight="true" outlineLevel="0" collapsed="false">
      <c r="A36" s="237" t="s">
        <v>518</v>
      </c>
      <c r="B36" s="239" t="s">
        <v>519</v>
      </c>
    </row>
    <row r="37" customFormat="false" ht="18" hidden="false" customHeight="true" outlineLevel="0" collapsed="false">
      <c r="A37" s="237" t="s">
        <v>520</v>
      </c>
      <c r="B37" s="238" t="s">
        <v>521</v>
      </c>
    </row>
    <row r="38" customFormat="false" ht="18" hidden="false" customHeight="true" outlineLevel="0" collapsed="false">
      <c r="A38" s="237" t="s">
        <v>522</v>
      </c>
      <c r="B38" s="239" t="s">
        <v>523</v>
      </c>
    </row>
    <row r="39" customFormat="false" ht="18" hidden="false" customHeight="true" outlineLevel="0" collapsed="false">
      <c r="A39" s="237"/>
      <c r="B39" s="238"/>
    </row>
    <row r="40" customFormat="false" ht="24" hidden="false" customHeight="true" outlineLevel="0" collapsed="false">
      <c r="A40" s="235" t="s">
        <v>477</v>
      </c>
      <c r="B40" s="236" t="s">
        <v>524</v>
      </c>
    </row>
    <row r="41" customFormat="false" ht="18" hidden="false" customHeight="true" outlineLevel="0" collapsed="false">
      <c r="A41" s="237" t="s">
        <v>525</v>
      </c>
      <c r="B41" s="238" t="s">
        <v>526</v>
      </c>
    </row>
    <row r="42" customFormat="false" ht="18" hidden="false" customHeight="true" outlineLevel="0" collapsed="false">
      <c r="A42" s="237" t="s">
        <v>525</v>
      </c>
      <c r="B42" s="239" t="s">
        <v>527</v>
      </c>
    </row>
    <row r="43" customFormat="false" ht="18" hidden="false" customHeight="true" outlineLevel="0" collapsed="false">
      <c r="A43" s="237" t="s">
        <v>525</v>
      </c>
      <c r="B43" s="238" t="s">
        <v>528</v>
      </c>
    </row>
    <row r="44" customFormat="false" ht="18" hidden="false" customHeight="true" outlineLevel="0" collapsed="false">
      <c r="A44" s="237" t="s">
        <v>525</v>
      </c>
      <c r="B44" s="239" t="s">
        <v>529</v>
      </c>
    </row>
    <row r="46" customFormat="false" ht="25.5" hidden="false" customHeight="true" outlineLevel="0" collapsed="false">
      <c r="A46" s="235" t="s">
        <v>477</v>
      </c>
      <c r="B46" s="236" t="s">
        <v>530</v>
      </c>
    </row>
    <row r="47" customFormat="false" ht="19.5" hidden="false" customHeight="true" outlineLevel="0" collapsed="false">
      <c r="A47" s="240" t="s">
        <v>228</v>
      </c>
      <c r="B47" s="241" t="s">
        <v>531</v>
      </c>
    </row>
    <row r="48" customFormat="false" ht="19.5" hidden="false" customHeight="true" outlineLevel="0" collapsed="false">
      <c r="A48" s="240" t="s">
        <v>228</v>
      </c>
      <c r="B48" s="242" t="s">
        <v>532</v>
      </c>
    </row>
    <row r="49" customFormat="false" ht="19.5" hidden="false" customHeight="true" outlineLevel="0" collapsed="false">
      <c r="A49" s="240" t="s">
        <v>228</v>
      </c>
      <c r="B49" s="241" t="s">
        <v>533</v>
      </c>
    </row>
    <row r="50" customFormat="false" ht="19.5" hidden="false" customHeight="true" outlineLevel="0" collapsed="false">
      <c r="A50" s="240" t="s">
        <v>228</v>
      </c>
      <c r="B50" s="242" t="s">
        <v>534</v>
      </c>
    </row>
    <row r="51" customFormat="false" ht="19.5" hidden="false" customHeight="true" outlineLevel="0" collapsed="false">
      <c r="A51" s="237"/>
      <c r="B51" s="238"/>
    </row>
    <row r="52" customFormat="false" ht="25.5" hidden="false" customHeight="true" outlineLevel="0" collapsed="false">
      <c r="A52" s="235" t="s">
        <v>477</v>
      </c>
      <c r="B52" s="236" t="s">
        <v>535</v>
      </c>
    </row>
    <row r="53" customFormat="false" ht="19.5" hidden="false" customHeight="true" outlineLevel="0" collapsed="false">
      <c r="A53" s="237" t="s">
        <v>498</v>
      </c>
      <c r="B53" s="238" t="s">
        <v>536</v>
      </c>
    </row>
    <row r="54" customFormat="false" ht="19.5" hidden="false" customHeight="true" outlineLevel="0" collapsed="false">
      <c r="A54" s="237" t="s">
        <v>500</v>
      </c>
      <c r="B54" s="239" t="s">
        <v>537</v>
      </c>
    </row>
    <row r="55" customFormat="false" ht="19.5" hidden="false" customHeight="true" outlineLevel="0" collapsed="false">
      <c r="A55" s="237" t="s">
        <v>502</v>
      </c>
      <c r="B55" s="238" t="s">
        <v>538</v>
      </c>
    </row>
    <row r="56" customFormat="false" ht="19.5" hidden="false" customHeight="true" outlineLevel="0" collapsed="false">
      <c r="A56" s="237" t="s">
        <v>504</v>
      </c>
      <c r="B56" s="239" t="s">
        <v>539</v>
      </c>
    </row>
    <row r="57" customFormat="false" ht="19.5" hidden="false" customHeight="true" outlineLevel="0" collapsed="false">
      <c r="A57" s="237" t="s">
        <v>540</v>
      </c>
      <c r="B57" s="238" t="s">
        <v>541</v>
      </c>
    </row>
    <row r="58" customFormat="false" ht="19.5" hidden="false" customHeight="true" outlineLevel="0" collapsed="false">
      <c r="A58" s="237" t="s">
        <v>542</v>
      </c>
      <c r="B58" s="239" t="s">
        <v>543</v>
      </c>
    </row>
    <row r="59" customFormat="false" ht="19.5" hidden="false" customHeight="true" outlineLevel="0" collapsed="false">
      <c r="A59" s="237" t="s">
        <v>544</v>
      </c>
      <c r="B59" s="238" t="s">
        <v>545</v>
      </c>
    </row>
    <row r="62" customFormat="false" ht="15" hidden="false" customHeight="false" outlineLevel="0" collapsed="false">
      <c r="A62" s="23" t="s">
        <v>546</v>
      </c>
    </row>
    <row r="63" customFormat="false" ht="15" hidden="false" customHeight="false" outlineLevel="0" collapsed="false">
      <c r="A63" s="243" t="s">
        <v>547</v>
      </c>
      <c r="B63" s="244" t="s">
        <v>548</v>
      </c>
    </row>
    <row r="64" customFormat="false" ht="15" hidden="false" customHeight="false" outlineLevel="0" collapsed="false">
      <c r="A64" s="243" t="s">
        <v>549</v>
      </c>
      <c r="B64" s="244" t="s">
        <v>550</v>
      </c>
    </row>
    <row r="65" customFormat="false" ht="15" hidden="false" customHeight="false" outlineLevel="0" collapsed="false">
      <c r="A65" s="245" t="s">
        <v>551</v>
      </c>
    </row>
    <row r="67" customFormat="false" ht="15" hidden="false" customHeight="false" outlineLevel="0" collapsed="false">
      <c r="A67" s="91" t="s">
        <v>552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E342E"/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59" t="s">
        <v>553</v>
      </c>
      <c r="B1" s="59"/>
    </row>
    <row r="2" customFormat="false" ht="27.75" hidden="false" customHeight="true" outlineLevel="0" collapsed="false">
      <c r="A2" s="246" t="s">
        <v>554</v>
      </c>
      <c r="B2" s="246"/>
    </row>
    <row r="3" customFormat="false" ht="27.75" hidden="false" customHeight="true" outlineLevel="0" collapsed="false">
      <c r="A3" s="247" t="s">
        <v>555</v>
      </c>
      <c r="B3" s="248" t="s">
        <v>556</v>
      </c>
    </row>
    <row r="4" customFormat="false" ht="279.75" hidden="false" customHeight="true" outlineLevel="0" collapsed="false">
      <c r="A4" s="247" t="s">
        <v>557</v>
      </c>
      <c r="B4" s="248" t="s">
        <v>558</v>
      </c>
    </row>
    <row r="5" customFormat="false" ht="69.75" hidden="false" customHeight="true" outlineLevel="0" collapsed="false">
      <c r="A5" s="247" t="s">
        <v>559</v>
      </c>
      <c r="B5" s="248" t="s">
        <v>560</v>
      </c>
    </row>
    <row r="6" customFormat="false" ht="294" hidden="false" customHeight="true" outlineLevel="0" collapsed="false">
      <c r="A6" s="247" t="s">
        <v>561</v>
      </c>
      <c r="B6" s="248" t="s">
        <v>562</v>
      </c>
    </row>
    <row r="7" customFormat="false" ht="307.5" hidden="false" customHeight="true" outlineLevel="0" collapsed="false">
      <c r="A7" s="247" t="s">
        <v>563</v>
      </c>
      <c r="B7" s="248" t="s">
        <v>564</v>
      </c>
    </row>
    <row r="8" customFormat="false" ht="153.75" hidden="false" customHeight="true" outlineLevel="0" collapsed="false">
      <c r="A8" s="247" t="s">
        <v>565</v>
      </c>
      <c r="B8" s="248" t="s">
        <v>566</v>
      </c>
    </row>
    <row r="9" customFormat="false" ht="420" hidden="false" customHeight="true" outlineLevel="0" collapsed="false">
      <c r="A9" s="247" t="s">
        <v>567</v>
      </c>
      <c r="B9" s="248" t="s">
        <v>568</v>
      </c>
    </row>
    <row r="10" customFormat="false" ht="27.75" hidden="false" customHeight="true" outlineLevel="0" collapsed="false">
      <c r="A10" s="246" t="s">
        <v>569</v>
      </c>
      <c r="B10" s="246"/>
    </row>
    <row r="11" customFormat="false" ht="139.5" hidden="false" customHeight="true" outlineLevel="0" collapsed="false">
      <c r="A11" s="247" t="s">
        <v>570</v>
      </c>
      <c r="B11" s="248" t="s">
        <v>571</v>
      </c>
    </row>
    <row r="12" customFormat="false" ht="27.75" hidden="false" customHeight="true" outlineLevel="0" collapsed="false">
      <c r="A12" s="246" t="s">
        <v>572</v>
      </c>
      <c r="B12" s="246"/>
    </row>
    <row r="13" customFormat="false" ht="69.75" hidden="false" customHeight="true" outlineLevel="0" collapsed="false">
      <c r="A13" s="247" t="s">
        <v>573</v>
      </c>
      <c r="B13" s="248" t="s">
        <v>574</v>
      </c>
    </row>
    <row r="14" customFormat="false" ht="27.75" hidden="false" customHeight="true" outlineLevel="0" collapsed="false">
      <c r="A14" s="246" t="s">
        <v>575</v>
      </c>
      <c r="B14" s="246"/>
    </row>
    <row r="15" customFormat="false" ht="405.75" hidden="false" customHeight="true" outlineLevel="0" collapsed="false">
      <c r="A15" s="247" t="s">
        <v>576</v>
      </c>
      <c r="B15" s="248" t="s">
        <v>577</v>
      </c>
    </row>
    <row r="16" customFormat="false" ht="420" hidden="false" customHeight="true" outlineLevel="0" collapsed="false">
      <c r="A16" s="247" t="s">
        <v>578</v>
      </c>
      <c r="B16" s="248" t="s">
        <v>579</v>
      </c>
    </row>
    <row r="17" customFormat="false" ht="363.75" hidden="false" customHeight="true" outlineLevel="0" collapsed="false">
      <c r="A17" s="247" t="s">
        <v>580</v>
      </c>
      <c r="B17" s="248" t="s">
        <v>581</v>
      </c>
    </row>
    <row r="18" customFormat="false" ht="420" hidden="false" customHeight="true" outlineLevel="0" collapsed="false">
      <c r="A18" s="247" t="s">
        <v>582</v>
      </c>
      <c r="B18" s="248" t="s">
        <v>583</v>
      </c>
    </row>
    <row r="19" customFormat="false" ht="420" hidden="false" customHeight="true" outlineLevel="0" collapsed="false">
      <c r="A19" s="247" t="s">
        <v>584</v>
      </c>
      <c r="B19" s="248" t="s">
        <v>585</v>
      </c>
    </row>
    <row r="20" customFormat="false" ht="27.75" hidden="false" customHeight="true" outlineLevel="0" collapsed="false">
      <c r="A20" s="246" t="s">
        <v>586</v>
      </c>
      <c r="B20" s="246"/>
    </row>
    <row r="21" customFormat="false" ht="27.75" hidden="false" customHeight="true" outlineLevel="0" collapsed="false">
      <c r="A21" s="247" t="s">
        <v>587</v>
      </c>
      <c r="B21" s="248" t="s">
        <v>588</v>
      </c>
    </row>
    <row r="22" customFormat="false" ht="55.5" hidden="false" customHeight="true" outlineLevel="0" collapsed="false">
      <c r="A22" s="247" t="s">
        <v>589</v>
      </c>
      <c r="B22" s="248" t="s">
        <v>590</v>
      </c>
    </row>
    <row r="23" customFormat="false" ht="84" hidden="false" customHeight="true" outlineLevel="0" collapsed="false">
      <c r="A23" s="247" t="s">
        <v>591</v>
      </c>
      <c r="B23" s="248" t="s">
        <v>592</v>
      </c>
    </row>
    <row r="24" customFormat="false" ht="69.75" hidden="false" customHeight="true" outlineLevel="0" collapsed="false">
      <c r="A24" s="247" t="s">
        <v>593</v>
      </c>
      <c r="B24" s="248" t="s">
        <v>594</v>
      </c>
    </row>
    <row r="25" customFormat="false" ht="84" hidden="false" customHeight="true" outlineLevel="0" collapsed="false">
      <c r="A25" s="247" t="s">
        <v>595</v>
      </c>
      <c r="B25" s="248" t="s">
        <v>596</v>
      </c>
    </row>
    <row r="26" customFormat="false" ht="321.75" hidden="false" customHeight="true" outlineLevel="0" collapsed="false">
      <c r="A26" s="247" t="s">
        <v>597</v>
      </c>
      <c r="B26" s="248" t="s">
        <v>598</v>
      </c>
    </row>
    <row r="28" customFormat="false" ht="27.75" hidden="false" customHeight="true" outlineLevel="0" collapsed="false">
      <c r="A28" s="249" t="s">
        <v>599</v>
      </c>
      <c r="B28" s="249"/>
    </row>
    <row r="29" customFormat="false" ht="499.5" hidden="false" customHeight="true" outlineLevel="0" collapsed="false">
      <c r="A29" s="250" t="s">
        <v>600</v>
      </c>
      <c r="B29" s="251" t="s">
        <v>601</v>
      </c>
    </row>
  </sheetData>
  <mergeCells count="7">
    <mergeCell ref="A1:B1"/>
    <mergeCell ref="A2:B2"/>
    <mergeCell ref="A10:B10"/>
    <mergeCell ref="A12:B12"/>
    <mergeCell ref="A14:B14"/>
    <mergeCell ref="A20:B20"/>
    <mergeCell ref="A28:B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63238"/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22"/>
    <col collapsed="false" customWidth="true" hidden="false" outlineLevel="0" max="4" min="4" style="0" width="58"/>
    <col collapsed="false" customWidth="true" hidden="false" outlineLevel="0" max="5" min="5" style="0" width="20"/>
  </cols>
  <sheetData>
    <row r="1" customFormat="false" ht="27.75" hidden="false" customHeight="true" outlineLevel="0" collapsed="false">
      <c r="A1" s="252" t="s">
        <v>602</v>
      </c>
      <c r="B1" s="252"/>
      <c r="C1" s="252"/>
      <c r="D1" s="252"/>
      <c r="E1" s="252"/>
    </row>
    <row r="2" customFormat="false" ht="15" hidden="false" customHeight="false" outlineLevel="0" collapsed="false">
      <c r="A2" s="253" t="s">
        <v>603</v>
      </c>
      <c r="B2" s="253"/>
      <c r="C2" s="253"/>
      <c r="D2" s="253"/>
      <c r="E2" s="253"/>
    </row>
    <row r="3" customFormat="false" ht="24" hidden="false" customHeight="true" outlineLevel="0" collapsed="false">
      <c r="A3" s="254" t="s">
        <v>604</v>
      </c>
      <c r="B3" s="254" t="s">
        <v>605</v>
      </c>
      <c r="C3" s="254" t="s">
        <v>606</v>
      </c>
      <c r="D3" s="254" t="s">
        <v>607</v>
      </c>
      <c r="E3" s="254" t="s">
        <v>608</v>
      </c>
    </row>
    <row r="4" customFormat="false" ht="16.5" hidden="false" customHeight="true" outlineLevel="0" collapsed="false">
      <c r="A4" s="255" t="s">
        <v>609</v>
      </c>
      <c r="B4" s="256" t="s">
        <v>610</v>
      </c>
      <c r="C4" s="256" t="s">
        <v>611</v>
      </c>
      <c r="D4" s="257" t="s">
        <v>612</v>
      </c>
      <c r="E4" s="256" t="s">
        <v>613</v>
      </c>
    </row>
    <row r="5" customFormat="false" ht="16.5" hidden="false" customHeight="true" outlineLevel="0" collapsed="false">
      <c r="A5" s="258" t="s">
        <v>614</v>
      </c>
      <c r="B5" s="259" t="s">
        <v>610</v>
      </c>
      <c r="C5" s="259" t="s">
        <v>611</v>
      </c>
      <c r="D5" s="260" t="s">
        <v>615</v>
      </c>
      <c r="E5" s="259" t="s">
        <v>613</v>
      </c>
    </row>
    <row r="6" customFormat="false" ht="16.5" hidden="false" customHeight="true" outlineLevel="0" collapsed="false">
      <c r="A6" s="255" t="s">
        <v>616</v>
      </c>
      <c r="B6" s="256" t="s">
        <v>610</v>
      </c>
      <c r="C6" s="256" t="s">
        <v>617</v>
      </c>
      <c r="D6" s="257" t="s">
        <v>618</v>
      </c>
      <c r="E6" s="256" t="s">
        <v>613</v>
      </c>
    </row>
    <row r="7" customFormat="false" ht="16.5" hidden="false" customHeight="true" outlineLevel="0" collapsed="false">
      <c r="A7" s="258" t="s">
        <v>619</v>
      </c>
      <c r="B7" s="259" t="s">
        <v>610</v>
      </c>
      <c r="C7" s="259" t="s">
        <v>617</v>
      </c>
      <c r="D7" s="260" t="s">
        <v>620</v>
      </c>
      <c r="E7" s="259" t="s">
        <v>613</v>
      </c>
    </row>
    <row r="8" customFormat="false" ht="16.5" hidden="false" customHeight="true" outlineLevel="0" collapsed="false">
      <c r="A8" s="255" t="s">
        <v>621</v>
      </c>
      <c r="B8" s="256" t="s">
        <v>610</v>
      </c>
      <c r="C8" s="256" t="s">
        <v>617</v>
      </c>
      <c r="D8" s="257" t="s">
        <v>622</v>
      </c>
      <c r="E8" s="256" t="s">
        <v>613</v>
      </c>
    </row>
    <row r="9" customFormat="false" ht="16.5" hidden="false" customHeight="true" outlineLevel="0" collapsed="false">
      <c r="A9" s="258" t="s">
        <v>623</v>
      </c>
      <c r="B9" s="259" t="s">
        <v>610</v>
      </c>
      <c r="C9" s="259" t="s">
        <v>624</v>
      </c>
      <c r="D9" s="260" t="s">
        <v>625</v>
      </c>
      <c r="E9" s="259" t="s">
        <v>613</v>
      </c>
    </row>
    <row r="10" customFormat="false" ht="16.5" hidden="false" customHeight="true" outlineLevel="0" collapsed="false">
      <c r="A10" s="255" t="s">
        <v>626</v>
      </c>
      <c r="B10" s="256"/>
      <c r="C10" s="256"/>
      <c r="D10" s="257"/>
      <c r="E10" s="256"/>
    </row>
    <row r="12" customFormat="false" ht="24" hidden="false" customHeight="true" outlineLevel="0" collapsed="false">
      <c r="A12" s="261" t="s">
        <v>627</v>
      </c>
      <c r="B12" s="261"/>
      <c r="C12" s="261"/>
      <c r="D12" s="261"/>
      <c r="E12" s="261"/>
    </row>
  </sheetData>
  <mergeCells count="3">
    <mergeCell ref="A1:E1"/>
    <mergeCell ref="A2:E2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2026-04-01T08:33:29Z</dcterms:created>
  <dc:creator>openpyxl</dc:creator>
  <dc:description/>
  <dc:language>en-US</dc:language>
  <cp:lastModifiedBy/>
  <dcterms:modified xsi:type="dcterms:W3CDTF">2026-04-02T21:31:45Z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