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CCUEIL" sheetId="1" state="visible" r:id="rId1"/>
    <sheet xmlns:r="http://schemas.openxmlformats.org/officeDocument/2006/relationships" name="ARTICLES" sheetId="2" state="visible" r:id="rId2"/>
    <sheet xmlns:r="http://schemas.openxmlformats.org/officeDocument/2006/relationships" name="FOURNISSEURS" sheetId="3" state="visible" r:id="rId3"/>
    <sheet xmlns:r="http://schemas.openxmlformats.org/officeDocument/2006/relationships" name="CONVENTIONS" sheetId="4" state="visible" r:id="rId4"/>
    <sheet xmlns:r="http://schemas.openxmlformats.org/officeDocument/2006/relationships" name="MOUVEMENTS" sheetId="5" state="visible" r:id="rId5"/>
    <sheet xmlns:r="http://schemas.openxmlformats.org/officeDocument/2006/relationships" name="TABLEAU DE BORD" sheetId="6" state="visible" r:id="rId6"/>
    <sheet xmlns:r="http://schemas.openxmlformats.org/officeDocument/2006/relationships" name="ALERTE_DASHBOARD" sheetId="7" state="visible" r:id="rId7"/>
    <sheet xmlns:r="http://schemas.openxmlformats.org/officeDocument/2006/relationships" name="INVENTAIRE" sheetId="8" state="visible" r:id="rId8"/>
    <sheet xmlns:r="http://schemas.openxmlformats.org/officeDocument/2006/relationships" name="RAPPORTS" sheetId="9" state="visible" r:id="rId9"/>
    <sheet xmlns:r="http://schemas.openxmlformats.org/officeDocument/2006/relationships" name="CALCULS_EOQ" sheetId="10" state="visible" r:id="rId10"/>
    <sheet xmlns:r="http://schemas.openxmlformats.org/officeDocument/2006/relationships" name="HISTORIQUE" sheetId="11" state="visible" r:id="rId11"/>
    <sheet xmlns:r="http://schemas.openxmlformats.org/officeDocument/2006/relationships" name="BON_RECEPTION" sheetId="12" state="visible" r:id="rId12"/>
    <sheet xmlns:r="http://schemas.openxmlformats.org/officeDocument/2006/relationships" name="BON_SORTIE" sheetId="13" state="visible" r:id="rId13"/>
    <sheet xmlns:r="http://schemas.openxmlformats.org/officeDocument/2006/relationships" name="BON_COMMANDE" sheetId="14" state="visible" r:id="rId14"/>
    <sheet xmlns:r="http://schemas.openxmlformats.org/officeDocument/2006/relationships" name="DA_DEMANDE_ACHAT" sheetId="15" state="visible" r:id="rId15"/>
    <sheet xmlns:r="http://schemas.openxmlformats.org/officeDocument/2006/relationships" name="GUIDE" sheetId="16" state="visible" r:id="rId16"/>
    <sheet xmlns:r="http://schemas.openxmlformats.org/officeDocument/2006/relationships" name="VBA_MODULES" sheetId="17" state="visible" r:id="rId17"/>
    <sheet xmlns:r="http://schemas.openxmlformats.org/officeDocument/2006/relationships" name="AUDIT_LOG" sheetId="18" state="visible" r:id="rId1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#,##0\ [$DA]"/>
    <numFmt numFmtId="165" formatCode="dd/mm/yyyy"/>
    <numFmt numFmtId="166" formatCode="0.0%"/>
    <numFmt numFmtId="167" formatCode="#,##0 [$DA]"/>
    <numFmt numFmtId="168" formatCode="DD/MM/YYYY"/>
    <numFmt numFmtId="169" formatCode="DD/MM/YYYY HH:MM:SS"/>
  </numFmts>
  <fonts count="6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FreeSans"/>
      <family val="2"/>
      <b val="1"/>
      <color rgb="FFFFFFFF"/>
      <sz val="16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FFFFFF"/>
      <sz val="10"/>
    </font>
    <font>
      <name val="FreeSans"/>
      <family val="2"/>
      <b val="1"/>
      <color rgb="FF000000"/>
      <sz val="10"/>
    </font>
    <font>
      <name val="FreeSans"/>
      <family val="2"/>
      <color theme="1"/>
      <sz val="11"/>
    </font>
    <font>
      <name val="FreeSans"/>
      <family val="2"/>
      <b val="1"/>
      <color rgb="FFFFFFF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000000"/>
      <sz val="10"/>
    </font>
    <font>
      <name val="FreeSans"/>
      <family val="2"/>
      <i val="1"/>
      <color rgb="FF555555"/>
      <sz val="9"/>
    </font>
    <font>
      <name val="Calibri"/>
      <charset val="1"/>
      <family val="0"/>
      <i val="1"/>
      <color rgb="FF555555"/>
      <sz val="9"/>
    </font>
    <font>
      <name val="Calibri"/>
      <charset val="1"/>
      <family val="0"/>
      <b val="1"/>
      <color rgb="FFFFFFFF"/>
      <sz val="13"/>
    </font>
    <font>
      <name val="FreeSans"/>
      <family val="2"/>
      <b val="1"/>
      <color rgb="FFFFFFFF"/>
      <sz val="13"/>
    </font>
    <font>
      <name val="Calibri"/>
      <charset val="1"/>
      <family val="0"/>
      <b val="1"/>
      <color rgb="FFFFFFFF"/>
      <sz val="10"/>
    </font>
    <font>
      <name val="FreeSans"/>
      <family val="2"/>
      <b val="1"/>
      <color rgb="FFFFFFFF"/>
      <sz val="10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color rgb="FF000000"/>
      <sz val="11"/>
    </font>
    <font>
      <name val="FreeSans"/>
      <family val="2"/>
      <color rgb="FF000000"/>
      <sz val="11"/>
    </font>
    <font>
      <name val="Calibri"/>
      <charset val="1"/>
      <family val="0"/>
      <i val="1"/>
      <color rgb="FF444444"/>
      <sz val="9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1F6B2E"/>
      <sz val="11"/>
    </font>
    <font>
      <name val="FreeSans"/>
      <family val="2"/>
      <i val="1"/>
      <color rgb="FF000000"/>
      <sz val="9"/>
    </font>
    <font>
      <name val="Calibri"/>
      <charset val="1"/>
      <family val="0"/>
      <i val="1"/>
      <color rgb="FF000000"/>
      <sz val="9"/>
    </font>
    <font>
      <name val="Calibri"/>
      <charset val="1"/>
      <family val="0"/>
      <b val="1"/>
      <color rgb="FF7B3F00"/>
      <sz val="11"/>
    </font>
    <font>
      <name val="Calibri"/>
      <charset val="1"/>
      <family val="0"/>
      <b val="1"/>
      <color rgb="FF000000"/>
      <sz val="12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FFFFFF"/>
      <sz val="14"/>
    </font>
    <font>
      <name val="FreeSans"/>
      <family val="2"/>
      <b val="1"/>
      <color rgb="FFFFFFFF"/>
      <sz val="14"/>
    </font>
    <font>
      <name val="FreeSans"/>
      <family val="2"/>
      <color rgb="FF000000"/>
      <sz val="10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b val="1"/>
      <color rgb="008B0000"/>
      <sz val="10"/>
    </font>
    <font>
      <name val="Calibri"/>
      <b val="1"/>
      <color rgb="008B0000"/>
      <sz val="14"/>
    </font>
    <font>
      <name val="Calibri"/>
      <b val="1"/>
      <color rgb="007B3F00"/>
      <sz val="10"/>
    </font>
    <font>
      <name val="Calibri"/>
      <b val="1"/>
      <color rgb="007B3F00"/>
      <sz val="14"/>
    </font>
    <font>
      <name val="Calibri"/>
      <b val="1"/>
      <color rgb="00000000"/>
      <sz val="14"/>
    </font>
    <font>
      <name val="Calibri"/>
      <b val="1"/>
      <color rgb="00FFFFFF"/>
      <sz val="10"/>
    </font>
    <font>
      <name val="Calibri"/>
      <i val="1"/>
      <color rgb="00000000"/>
      <sz val="9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8B0000"/>
      <sz val="22"/>
    </font>
    <font>
      <name val="Calibri"/>
      <b val="1"/>
      <color rgb="007B3F00"/>
      <sz val="22"/>
    </font>
    <font>
      <name val="Calibri"/>
      <b val="1"/>
      <color rgb="00806000"/>
      <sz val="22"/>
    </font>
    <font>
      <name val="Calibri"/>
      <b val="1"/>
      <color rgb="001F6B2E"/>
      <sz val="22"/>
    </font>
    <font>
      <name val="Calibri"/>
      <b val="1"/>
      <color rgb="00000000"/>
      <sz val="9"/>
    </font>
    <font>
      <name val="Calibri"/>
      <b val="1"/>
      <color rgb="00000000"/>
      <sz val="12"/>
    </font>
    <font>
      <name val="Calibri"/>
      <i val="1"/>
      <color rgb="00000000"/>
      <sz val="10"/>
    </font>
    <font>
      <name val="Calibri"/>
      <b val="1"/>
      <color rgb="00FFFFFF"/>
      <sz val="16"/>
    </font>
    <font>
      <name val="Calibri"/>
      <i val="1"/>
      <color rgb="00888888"/>
      <sz val="9"/>
    </font>
    <font>
      <name val="Calibri"/>
      <b val="1"/>
      <color rgb="00FFFFFF"/>
      <sz val="9"/>
    </font>
    <font>
      <name val="Calibri"/>
      <i val="1"/>
      <color rgb="00AAAAAA"/>
      <sz val="8"/>
    </font>
    <font>
      <name val="Calibri"/>
      <i val="1"/>
      <color rgb="00888888"/>
      <sz val="8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color rgb="00000000"/>
      <sz val="9"/>
    </font>
    <font>
      <name val="Calibri"/>
      <b val="1"/>
      <color rgb="00FFFFFF"/>
      <sz val="13"/>
    </font>
    <font>
      <name val="Courier New"/>
      <color rgb="00000000"/>
      <sz val="9"/>
    </font>
    <font>
      <name val="Calibri"/>
      <color rgb="00000000"/>
      <sz val="10"/>
    </font>
    <font>
      <name val="Calibri"/>
      <i val="1"/>
      <color rgb="00444444"/>
      <sz val="9"/>
    </font>
    <font>
      <name val="Courier New"/>
      <sz val="9"/>
    </font>
    <font>
      <name val="Calibri"/>
      <i val="1"/>
      <color rgb="00555555"/>
      <sz val="8"/>
    </font>
    <font>
      <name val="Courier New"/>
      <b val="1"/>
      <color rgb="00000000"/>
      <sz val="10"/>
    </font>
    <font>
      <name val="Calibri"/>
      <i val="1"/>
      <color rgb="00555555"/>
      <sz val="9"/>
    </font>
  </fonts>
  <fills count="36">
    <fill>
      <patternFill/>
    </fill>
    <fill>
      <patternFill patternType="gray125"/>
    </fill>
    <fill>
      <patternFill patternType="solid">
        <fgColor rgb="FF1F6B2E"/>
        <bgColor rgb="FF27500A"/>
      </patternFill>
    </fill>
    <fill>
      <patternFill patternType="solid">
        <fgColor rgb="FF27500A"/>
        <bgColor rgb="FF1F6B2E"/>
      </patternFill>
    </fill>
    <fill>
      <patternFill patternType="solid">
        <fgColor rgb="FFEAF3DE"/>
        <bgColor rgb="FFFAEEDA"/>
      </patternFill>
    </fill>
    <fill>
      <patternFill patternType="solid">
        <fgColor rgb="FF0C3547"/>
        <bgColor rgb="FF003300"/>
      </patternFill>
    </fill>
    <fill>
      <patternFill patternType="solid">
        <fgColor rgb="FFE6F1FB"/>
        <bgColor rgb="FFEAF3DE"/>
      </patternFill>
    </fill>
    <fill>
      <patternFill patternType="solid">
        <fgColor rgb="FFFFF2CC"/>
        <bgColor rgb="FFFAEEDA"/>
      </patternFill>
    </fill>
    <fill>
      <patternFill patternType="solid">
        <fgColor rgb="FFFCEBEB"/>
        <bgColor rgb="FFFAEEDA"/>
      </patternFill>
    </fill>
    <fill>
      <patternFill patternType="solid">
        <fgColor rgb="FFFAEEDA"/>
        <bgColor rgb="FFFCEBEB"/>
      </patternFill>
    </fill>
    <fill>
      <patternFill patternType="solid">
        <fgColor rgb="FFF7F7F5"/>
        <bgColor rgb="FFFFFFFF"/>
      </patternFill>
    </fill>
    <fill>
      <patternFill patternType="solid">
        <fgColor rgb="FFFFFFFF"/>
        <bgColor rgb="FFF7F7F5"/>
      </patternFill>
    </fill>
    <fill>
      <patternFill patternType="solid">
        <fgColor rgb="FF2F4858"/>
        <bgColor rgb="FF444444"/>
      </patternFill>
    </fill>
    <fill>
      <patternFill patternType="solid">
        <fgColor rgb="FF7B3F00"/>
        <bgColor rgb="FF444444"/>
      </patternFill>
    </fill>
    <fill>
      <patternFill patternType="solid">
        <fgColor rgb="FFD5F0C0"/>
        <bgColor rgb="FFEAF3DE"/>
      </patternFill>
    </fill>
    <fill>
      <patternFill patternType="solid">
        <fgColor rgb="00E6F1FB"/>
      </patternFill>
    </fill>
    <fill>
      <patternFill patternType="solid">
        <fgColor rgb="00FFF2CC"/>
      </patternFill>
    </fill>
    <fill>
      <patternFill patternType="solid">
        <fgColor rgb="00FCEBEB"/>
      </patternFill>
    </fill>
    <fill>
      <patternFill patternType="solid">
        <fgColor rgb="00FFD0D0"/>
      </patternFill>
    </fill>
    <fill>
      <patternFill patternType="solid">
        <fgColor rgb="00FAEEDA"/>
      </patternFill>
    </fill>
    <fill>
      <patternFill patternType="solid">
        <fgColor rgb="00FFE5B4"/>
      </patternFill>
    </fill>
    <fill>
      <patternFill patternType="solid">
        <fgColor rgb="00FFFACD"/>
      </patternFill>
    </fill>
    <fill>
      <patternFill patternType="solid">
        <fgColor rgb="002F4858"/>
      </patternFill>
    </fill>
    <fill>
      <patternFill patternType="solid">
        <fgColor rgb="008B0000"/>
      </patternFill>
    </fill>
    <fill>
      <patternFill patternType="solid">
        <fgColor rgb="00A93226"/>
      </patternFill>
    </fill>
    <fill>
      <patternFill patternType="solid">
        <fgColor rgb="00F7F7F5"/>
      </patternFill>
    </fill>
    <fill>
      <patternFill patternType="solid">
        <fgColor rgb="007B3F00"/>
      </patternFill>
    </fill>
    <fill>
      <patternFill patternType="solid">
        <fgColor rgb="00806000"/>
      </patternFill>
    </fill>
    <fill>
      <patternFill patternType="solid">
        <fgColor rgb="001F6B2E"/>
      </patternFill>
    </fill>
    <fill>
      <patternFill patternType="solid">
        <fgColor rgb="00EAF3DE"/>
      </patternFill>
    </fill>
    <fill>
      <patternFill patternType="solid">
        <fgColor rgb="00FFFFFF"/>
      </patternFill>
    </fill>
    <fill>
      <patternFill patternType="solid">
        <fgColor rgb="000C3547"/>
      </patternFill>
    </fill>
    <fill>
      <patternFill patternType="solid">
        <fgColor rgb="004A235A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F5F5F5"/>
      </patternFill>
    </fill>
  </fills>
  <borders count="30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/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medium">
        <color rgb="00666666"/>
      </left>
      <right style="medium">
        <color rgb="00666666"/>
      </right>
      <top style="medium">
        <color rgb="00666666"/>
      </top>
      <bottom style="medium">
        <color rgb="00666666"/>
      </bottom>
    </border>
    <border>
      <left/>
      <right/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 style="thin">
        <color rgb="00C8C8C8"/>
      </bottom>
      <diagonal/>
    </border>
    <border>
      <left/>
      <right/>
      <top style="thin">
        <color rgb="00C8C8C8"/>
      </top>
      <bottom style="thin">
        <color rgb="00C8C8C8"/>
      </bottom>
      <diagonal/>
    </border>
    <border>
      <left/>
      <right/>
      <top style="medium">
        <color rgb="00666666"/>
      </top>
      <bottom/>
      <diagonal/>
    </border>
    <border>
      <left/>
      <right style="medium">
        <color rgb="00666666"/>
      </right>
      <top style="medium">
        <color rgb="00666666"/>
      </top>
      <bottom/>
      <diagonal/>
    </border>
    <border>
      <left/>
      <right/>
      <top style="medium">
        <color rgb="00666666"/>
      </top>
      <bottom style="medium">
        <color rgb="00666666"/>
      </bottom>
      <diagonal/>
    </border>
    <border>
      <left/>
      <right style="medium">
        <color rgb="00666666"/>
      </right>
      <top style="medium">
        <color rgb="00666666"/>
      </top>
      <bottom style="medium">
        <color rgb="00666666"/>
      </bottom>
      <diagonal/>
    </border>
    <border>
      <left style="medium">
        <color rgb="00666666"/>
      </left>
      <right/>
      <top/>
      <bottom/>
      <diagonal/>
    </border>
    <border>
      <left/>
      <right style="medium">
        <color rgb="00666666"/>
      </right>
      <top/>
      <bottom/>
      <diagonal/>
    </border>
    <border>
      <left style="medium">
        <color rgb="00666666"/>
      </left>
      <right/>
      <top/>
      <bottom style="medium">
        <color rgb="00666666"/>
      </bottom>
      <diagonal/>
    </border>
    <border>
      <left/>
      <right/>
      <top/>
      <bottom style="medium">
        <color rgb="00666666"/>
      </bottom>
      <diagonal/>
    </border>
    <border>
      <left/>
      <right style="medium">
        <color rgb="00666666"/>
      </right>
      <top/>
      <bottom style="medium">
        <color rgb="00666666"/>
      </bottom>
      <diagonal/>
    </border>
    <border>
      <left style="thin">
        <color rgb="00C8C8C8"/>
      </left>
      <right/>
      <top/>
      <bottom/>
      <diagonal/>
    </border>
    <border>
      <left/>
      <right style="thin">
        <color rgb="00C8C8C8"/>
      </right>
      <top/>
      <bottom/>
      <diagonal/>
    </border>
    <border>
      <left style="thin">
        <color rgb="00C8C8C8"/>
      </left>
      <right/>
      <top/>
      <bottom style="thin">
        <color rgb="00C8C8C8"/>
      </bottom>
      <diagonal/>
    </border>
    <border>
      <left/>
      <right/>
      <top/>
      <bottom style="thin">
        <color rgb="00C8C8C8"/>
      </bottom>
      <diagonal/>
    </border>
    <border>
      <left/>
      <right style="thin">
        <color rgb="00C8C8C8"/>
      </right>
      <top/>
      <bottom style="thin">
        <color rgb="00C8C8C8"/>
      </bottom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medium">
        <color rgb="0000000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right" vertical="center"/>
    </xf>
    <xf numFmtId="0" fontId="19" fillId="8" borderId="1" applyAlignment="1" pivotButton="0" quotePrefix="0" xfId="0">
      <alignment horizontal="center" vertical="center"/>
    </xf>
    <xf numFmtId="3" fontId="19" fillId="8" borderId="1" applyAlignment="1" pivotButton="0" quotePrefix="0" xfId="0">
      <alignment horizontal="center" vertical="center"/>
    </xf>
    <xf numFmtId="164" fontId="19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/>
    </xf>
    <xf numFmtId="0" fontId="20" fillId="9" borderId="1" applyAlignment="1" pivotButton="0" quotePrefix="0" xfId="0">
      <alignment horizontal="right" vertical="center"/>
    </xf>
    <xf numFmtId="0" fontId="19" fillId="9" borderId="1" applyAlignment="1" pivotButton="0" quotePrefix="0" xfId="0">
      <alignment horizontal="center" vertical="center"/>
    </xf>
    <xf numFmtId="3" fontId="19" fillId="9" borderId="1" applyAlignment="1" pivotButton="0" quotePrefix="0" xfId="0">
      <alignment horizontal="center" vertical="center"/>
    </xf>
    <xf numFmtId="164" fontId="19" fillId="9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right" vertical="center"/>
    </xf>
    <xf numFmtId="0" fontId="19" fillId="4" borderId="1" applyAlignment="1" pivotButton="0" quotePrefix="0" xfId="0">
      <alignment horizontal="center" vertical="center"/>
    </xf>
    <xf numFmtId="3" fontId="19" fillId="4" borderId="1" applyAlignment="1" pivotButton="0" quotePrefix="0" xfId="0">
      <alignment horizontal="center" vertical="center"/>
    </xf>
    <xf numFmtId="164" fontId="19" fillId="4" borderId="1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22" fillId="5" borderId="0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10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4" fontId="0" fillId="7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/>
    </xf>
    <xf numFmtId="165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26" fillId="9" borderId="1" applyAlignment="1" pivotButton="0" quotePrefix="0" xfId="0">
      <alignment horizontal="center" vertical="center"/>
    </xf>
    <xf numFmtId="3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left" vertical="center"/>
    </xf>
    <xf numFmtId="0" fontId="25" fillId="9" borderId="1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16" fillId="12" borderId="2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18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3" fontId="18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25" fillId="6" borderId="1" applyAlignment="1" pivotButton="0" quotePrefix="0" xfId="0">
      <alignment horizontal="right" vertical="center"/>
    </xf>
    <xf numFmtId="0" fontId="18" fillId="7" borderId="1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center"/>
    </xf>
    <xf numFmtId="0" fontId="0" fillId="6" borderId="1" applyAlignment="1" pivotButton="0" quotePrefix="0" xfId="0">
      <alignment horizontal="general" vertical="bottom"/>
    </xf>
    <xf numFmtId="164" fontId="18" fillId="6" borderId="1" applyAlignment="1" pivotButton="0" quotePrefix="0" xfId="0">
      <alignment horizontal="center" vertical="center"/>
    </xf>
    <xf numFmtId="0" fontId="14" fillId="13" borderId="0" applyAlignment="1" pivotButton="0" quotePrefix="0" xfId="0">
      <alignment horizontal="center" vertical="center"/>
    </xf>
    <xf numFmtId="0" fontId="16" fillId="13" borderId="2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/>
    </xf>
    <xf numFmtId="3" fontId="0" fillId="11" borderId="1" applyAlignment="1" pivotButton="0" quotePrefix="0" xfId="0">
      <alignment horizontal="center" vertical="center"/>
    </xf>
    <xf numFmtId="166" fontId="0" fillId="11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166" fontId="0" fillId="10" borderId="1" applyAlignment="1" pivotButton="0" quotePrefix="0" xfId="0">
      <alignment horizontal="center" vertical="center"/>
    </xf>
    <xf numFmtId="0" fontId="25" fillId="6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left" vertical="center"/>
    </xf>
    <xf numFmtId="3" fontId="27" fillId="7" borderId="1" applyAlignment="1" pivotButton="0" quotePrefix="0" xfId="0">
      <alignment horizontal="center" vertical="center"/>
    </xf>
    <xf numFmtId="4" fontId="27" fillId="7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3" fontId="27" fillId="14" borderId="1" applyAlignment="1" pivotButton="0" quotePrefix="0" xfId="0">
      <alignment horizontal="center" vertical="center"/>
    </xf>
    <xf numFmtId="0" fontId="25" fillId="6" borderId="0" applyAlignment="1" pivotButton="0" quotePrefix="0" xfId="0">
      <alignment horizontal="center" vertical="center" wrapText="1"/>
    </xf>
    <xf numFmtId="0" fontId="29" fillId="5" borderId="0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center" wrapText="1"/>
    </xf>
    <xf numFmtId="0" fontId="28" fillId="1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  <xf numFmtId="0" fontId="32" fillId="15" borderId="6" applyAlignment="1" pivotButton="0" quotePrefix="0" xfId="0">
      <alignment horizontal="right" vertical="center"/>
    </xf>
    <xf numFmtId="167" fontId="33" fillId="16" borderId="6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4" fillId="17" borderId="6" applyAlignment="1" pivotButton="0" quotePrefix="0" xfId="0">
      <alignment horizontal="right" vertical="center"/>
    </xf>
    <xf numFmtId="0" fontId="35" fillId="18" borderId="6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36" fillId="19" borderId="6" applyAlignment="1" pivotButton="0" quotePrefix="0" xfId="0">
      <alignment horizontal="right" vertical="center"/>
    </xf>
    <xf numFmtId="0" fontId="37" fillId="20" borderId="6" applyAlignment="1" pivotButton="0" quotePrefix="0" xfId="0">
      <alignment horizontal="center" vertical="center"/>
    </xf>
    <xf numFmtId="0" fontId="32" fillId="19" borderId="6" applyAlignment="1" pivotButton="0" quotePrefix="0" xfId="0">
      <alignment horizontal="right" vertical="center"/>
    </xf>
    <xf numFmtId="0" fontId="38" fillId="21" borderId="6" applyAlignment="1" pivotButton="0" quotePrefix="0" xfId="0">
      <alignment horizontal="center" vertical="center"/>
    </xf>
    <xf numFmtId="0" fontId="39" fillId="22" borderId="0" applyAlignment="1" pivotButton="0" quotePrefix="0" xfId="0">
      <alignment horizontal="center" vertical="center"/>
    </xf>
    <xf numFmtId="0" fontId="32" fillId="15" borderId="6" applyAlignment="1" pivotButton="0" quotePrefix="0" xfId="0">
      <alignment horizontal="left" vertical="center"/>
    </xf>
    <xf numFmtId="0" fontId="40" fillId="0" borderId="6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right" vertical="center"/>
    </xf>
    <xf numFmtId="0" fontId="19" fillId="8" borderId="1" applyAlignment="1" pivotButton="0" quotePrefix="0" xfId="0">
      <alignment horizontal="center" vertical="center"/>
    </xf>
    <xf numFmtId="3" fontId="19" fillId="8" borderId="1" applyAlignment="1" pivotButton="0" quotePrefix="0" xfId="0">
      <alignment horizontal="center" vertical="center"/>
    </xf>
    <xf numFmtId="164" fontId="19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/>
    </xf>
    <xf numFmtId="0" fontId="20" fillId="9" borderId="1" applyAlignment="1" pivotButton="0" quotePrefix="0" xfId="0">
      <alignment horizontal="right" vertical="center"/>
    </xf>
    <xf numFmtId="0" fontId="19" fillId="9" borderId="1" applyAlignment="1" pivotButton="0" quotePrefix="0" xfId="0">
      <alignment horizontal="center" vertical="center"/>
    </xf>
    <xf numFmtId="3" fontId="19" fillId="9" borderId="1" applyAlignment="1" pivotButton="0" quotePrefix="0" xfId="0">
      <alignment horizontal="center" vertical="center"/>
    </xf>
    <xf numFmtId="164" fontId="19" fillId="9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right" vertical="center"/>
    </xf>
    <xf numFmtId="0" fontId="19" fillId="4" borderId="1" applyAlignment="1" pivotButton="0" quotePrefix="0" xfId="0">
      <alignment horizontal="center" vertical="center"/>
    </xf>
    <xf numFmtId="3" fontId="19" fillId="4" borderId="1" applyAlignment="1" pivotButton="0" quotePrefix="0" xfId="0">
      <alignment horizontal="center" vertical="center"/>
    </xf>
    <xf numFmtId="164" fontId="19" fillId="4" borderId="1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22" fillId="5" borderId="0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10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4" fontId="0" fillId="7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/>
    </xf>
    <xf numFmtId="165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26" fillId="9" borderId="1" applyAlignment="1" pivotButton="0" quotePrefix="0" xfId="0">
      <alignment horizontal="center" vertical="center"/>
    </xf>
    <xf numFmtId="3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left" vertical="center"/>
    </xf>
    <xf numFmtId="0" fontId="25" fillId="9" borderId="1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16" fillId="12" borderId="2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18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3" fontId="18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25" fillId="6" borderId="1" applyAlignment="1" pivotButton="0" quotePrefix="0" xfId="0">
      <alignment horizontal="right" vertical="center"/>
    </xf>
    <xf numFmtId="0" fontId="18" fillId="7" borderId="1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6" borderId="1" applyAlignment="1" pivotButton="0" quotePrefix="0" xfId="0">
      <alignment horizontal="general" vertical="bottom"/>
    </xf>
    <xf numFmtId="164" fontId="18" fillId="6" borderId="1" applyAlignment="1" pivotButton="0" quotePrefix="0" xfId="0">
      <alignment horizontal="center" vertical="center"/>
    </xf>
    <xf numFmtId="0" fontId="41" fillId="23" borderId="0" applyAlignment="1" pivotButton="0" quotePrefix="0" xfId="0">
      <alignment horizontal="center" vertical="center"/>
    </xf>
    <xf numFmtId="0" fontId="42" fillId="24" borderId="0" applyAlignment="1" pivotButton="0" quotePrefix="0" xfId="0">
      <alignment horizontal="center" vertical="center"/>
    </xf>
    <xf numFmtId="0" fontId="43" fillId="25" borderId="0" applyAlignment="1" pivotButton="0" quotePrefix="0" xfId="0">
      <alignment horizontal="center" vertical="center"/>
    </xf>
    <xf numFmtId="0" fontId="44" fillId="23" borderId="0" applyAlignment="1" pivotButton="0" quotePrefix="0" xfId="0">
      <alignment horizontal="center" vertical="center"/>
    </xf>
    <xf numFmtId="0" fontId="39" fillId="23" borderId="7" applyAlignment="1" pivotButton="0" quotePrefix="0" xfId="0">
      <alignment horizontal="center" vertical="center"/>
    </xf>
    <xf numFmtId="0" fontId="39" fillId="26" borderId="7" applyAlignment="1" pivotButton="0" quotePrefix="0" xfId="0">
      <alignment horizontal="center" vertical="center"/>
    </xf>
    <xf numFmtId="0" fontId="39" fillId="27" borderId="7" applyAlignment="1" pivotButton="0" quotePrefix="0" xfId="0">
      <alignment horizontal="center" vertical="center"/>
    </xf>
    <xf numFmtId="0" fontId="39" fillId="28" borderId="7" applyAlignment="1" pivotButton="0" quotePrefix="0" xfId="0">
      <alignment horizontal="center" vertical="center"/>
    </xf>
    <xf numFmtId="0" fontId="45" fillId="18" borderId="7" applyAlignment="1" pivotButton="0" quotePrefix="0" xfId="0">
      <alignment horizontal="center" vertical="center"/>
    </xf>
    <xf numFmtId="0" fontId="46" fillId="20" borderId="7" applyAlignment="1" pivotButton="0" quotePrefix="0" xfId="0">
      <alignment horizontal="center" vertical="center"/>
    </xf>
    <xf numFmtId="0" fontId="47" fillId="21" borderId="7" applyAlignment="1" pivotButton="0" quotePrefix="0" xfId="0">
      <alignment horizontal="center" vertical="center"/>
    </xf>
    <xf numFmtId="0" fontId="48" fillId="29" borderId="7" applyAlignment="1" pivotButton="0" quotePrefix="0" xfId="0">
      <alignment horizontal="center" vertical="center"/>
    </xf>
    <xf numFmtId="0" fontId="40" fillId="25" borderId="6" applyAlignment="1" pivotButton="0" quotePrefix="0" xfId="0">
      <alignment horizontal="center" vertical="center"/>
    </xf>
    <xf numFmtId="0" fontId="39" fillId="23" borderId="7" applyAlignment="1" pivotButton="0" quotePrefix="0" xfId="0">
      <alignment horizontal="center" vertical="center" wrapText="1"/>
    </xf>
    <xf numFmtId="0" fontId="33" fillId="0" borderId="6" applyAlignment="1" pivotButton="0" quotePrefix="0" xfId="0">
      <alignment horizontal="center" vertical="center"/>
    </xf>
    <xf numFmtId="0" fontId="0" fillId="30" borderId="6" applyAlignment="1" pivotButton="0" quotePrefix="0" xfId="0">
      <alignment horizontal="left" vertical="center"/>
    </xf>
    <xf numFmtId="0" fontId="0" fillId="30" borderId="6" applyAlignment="1" pivotButton="0" quotePrefix="0" xfId="0">
      <alignment horizontal="center" vertical="center"/>
    </xf>
    <xf numFmtId="3" fontId="33" fillId="0" borderId="6" applyAlignment="1" pivotButton="0" quotePrefix="0" xfId="0">
      <alignment horizontal="center" vertical="center"/>
    </xf>
    <xf numFmtId="3" fontId="0" fillId="30" borderId="6" applyAlignment="1" pivotButton="0" quotePrefix="0" xfId="0">
      <alignment horizontal="center" vertical="center"/>
    </xf>
    <xf numFmtId="4" fontId="0" fillId="30" borderId="6" applyAlignment="1" pivotButton="0" quotePrefix="0" xfId="0">
      <alignment horizontal="center" vertical="center"/>
    </xf>
    <xf numFmtId="167" fontId="0" fillId="30" borderId="6" applyAlignment="1" pivotButton="0" quotePrefix="0" xfId="0">
      <alignment horizontal="center" vertical="center"/>
    </xf>
    <xf numFmtId="0" fontId="49" fillId="0" borderId="6" applyAlignment="1" pivotButton="0" quotePrefix="0" xfId="0">
      <alignment horizontal="center" vertical="center"/>
    </xf>
    <xf numFmtId="0" fontId="40" fillId="0" borderId="6" applyAlignment="1" pivotButton="0" quotePrefix="0" xfId="0">
      <alignment horizontal="left" vertical="center" wrapText="1"/>
    </xf>
    <xf numFmtId="0" fontId="0" fillId="25" borderId="6" applyAlignment="1" pivotButton="0" quotePrefix="0" xfId="0">
      <alignment horizontal="left" vertical="center"/>
    </xf>
    <xf numFmtId="0" fontId="0" fillId="25" borderId="6" applyAlignment="1" pivotButton="0" quotePrefix="0" xfId="0">
      <alignment horizontal="center" vertical="center"/>
    </xf>
    <xf numFmtId="3" fontId="0" fillId="25" borderId="6" applyAlignment="1" pivotButton="0" quotePrefix="0" xfId="0">
      <alignment horizontal="center" vertical="center"/>
    </xf>
    <xf numFmtId="4" fontId="0" fillId="25" borderId="6" applyAlignment="1" pivotButton="0" quotePrefix="0" xfId="0">
      <alignment horizontal="center" vertical="center"/>
    </xf>
    <xf numFmtId="167" fontId="0" fillId="25" borderId="6" applyAlignment="1" pivotButton="0" quotePrefix="0" xfId="0">
      <alignment horizontal="center" vertical="center"/>
    </xf>
    <xf numFmtId="0" fontId="40" fillId="15" borderId="0" applyAlignment="1" pivotButton="0" quotePrefix="0" xfId="0">
      <alignment horizontal="center" vertical="center"/>
    </xf>
    <xf numFmtId="0" fontId="14" fillId="13" borderId="0" applyAlignment="1" pivotButton="0" quotePrefix="0" xfId="0">
      <alignment horizontal="center" vertical="center"/>
    </xf>
    <xf numFmtId="0" fontId="16" fillId="13" borderId="2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/>
    </xf>
    <xf numFmtId="3" fontId="0" fillId="11" borderId="1" applyAlignment="1" pivotButton="0" quotePrefix="0" xfId="0">
      <alignment horizontal="center" vertical="center"/>
    </xf>
    <xf numFmtId="166" fontId="0" fillId="11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166" fontId="0" fillId="10" borderId="1" applyAlignment="1" pivotButton="0" quotePrefix="0" xfId="0">
      <alignment horizontal="center" vertical="center"/>
    </xf>
    <xf numFmtId="0" fontId="25" fillId="6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left" vertical="center"/>
    </xf>
    <xf numFmtId="3" fontId="27" fillId="7" borderId="1" applyAlignment="1" pivotButton="0" quotePrefix="0" xfId="0">
      <alignment horizontal="center" vertical="center"/>
    </xf>
    <xf numFmtId="4" fontId="27" fillId="7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3" fontId="27" fillId="14" borderId="1" applyAlignment="1" pivotButton="0" quotePrefix="0" xfId="0">
      <alignment horizontal="center" vertical="center"/>
    </xf>
    <xf numFmtId="0" fontId="25" fillId="6" borderId="0" applyAlignment="1" pivotButton="0" quotePrefix="0" xfId="0">
      <alignment horizontal="center" vertical="center" wrapText="1"/>
    </xf>
    <xf numFmtId="0" fontId="50" fillId="30" borderId="7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51" fillId="0" borderId="6" applyAlignment="1" pivotButton="0" quotePrefix="0" xfId="0">
      <alignment horizontal="center" vertical="center"/>
    </xf>
    <xf numFmtId="0" fontId="52" fillId="28" borderId="7" applyAlignment="1" pivotButton="0" quotePrefix="0" xfId="0">
      <alignment horizontal="center" vertical="center"/>
    </xf>
    <xf numFmtId="0" fontId="33" fillId="16" borderId="7" applyAlignment="1" pivotButton="0" quotePrefix="0" xfId="0">
      <alignment horizontal="center" vertical="center"/>
    </xf>
    <xf numFmtId="168" fontId="33" fillId="16" borderId="7" applyAlignment="1" pivotButton="0" quotePrefix="0" xfId="0">
      <alignment horizontal="center" vertical="center"/>
    </xf>
    <xf numFmtId="0" fontId="39" fillId="28" borderId="7" applyAlignment="1" pivotButton="0" quotePrefix="0" xfId="0">
      <alignment horizontal="center" vertical="center" wrapText="1"/>
    </xf>
    <xf numFmtId="0" fontId="40" fillId="29" borderId="6" applyAlignment="1" pivotButton="0" quotePrefix="0" xfId="0">
      <alignment horizontal="center" vertical="center"/>
    </xf>
    <xf numFmtId="0" fontId="0" fillId="29" borderId="6" applyAlignment="1" pivotButton="0" quotePrefix="0" xfId="0">
      <alignment horizontal="left" vertical="center"/>
    </xf>
    <xf numFmtId="0" fontId="0" fillId="29" borderId="6" applyAlignment="1" pivotButton="0" quotePrefix="0" xfId="0">
      <alignment horizontal="center" vertical="center"/>
    </xf>
    <xf numFmtId="3" fontId="0" fillId="16" borderId="7" applyAlignment="1" pivotButton="0" quotePrefix="0" xfId="0">
      <alignment horizontal="center" vertical="center"/>
    </xf>
    <xf numFmtId="3" fontId="0" fillId="29" borderId="6" applyAlignment="1" pivotButton="0" quotePrefix="0" xfId="0">
      <alignment horizontal="center" vertical="center"/>
    </xf>
    <xf numFmtId="167" fontId="0" fillId="29" borderId="6" applyAlignment="1" pivotButton="0" quotePrefix="0" xfId="0">
      <alignment horizontal="center" vertical="center"/>
    </xf>
    <xf numFmtId="0" fontId="40" fillId="30" borderId="6" applyAlignment="1" pivotButton="0" quotePrefix="0" xfId="0">
      <alignment horizontal="center" vertical="center"/>
    </xf>
    <xf numFmtId="0" fontId="44" fillId="28" borderId="7" applyAlignment="1" pivotButton="0" quotePrefix="0" xfId="0">
      <alignment horizontal="center" vertical="center"/>
    </xf>
    <xf numFmtId="167" fontId="50" fillId="16" borderId="7" applyAlignment="1" pivotButton="0" quotePrefix="0" xfId="0">
      <alignment horizontal="center" vertical="center"/>
    </xf>
    <xf numFmtId="0" fontId="53" fillId="25" borderId="7" applyAlignment="1" pivotButton="0" quotePrefix="0" xfId="0">
      <alignment horizontal="center" vertical="center" wrapText="1"/>
    </xf>
    <xf numFmtId="0" fontId="0" fillId="30" borderId="7" pivotButton="0" quotePrefix="0" xfId="0"/>
    <xf numFmtId="0" fontId="54" fillId="31" borderId="7" applyAlignment="1" pivotButton="0" quotePrefix="0" xfId="0">
      <alignment horizontal="center" vertical="center" wrapText="1"/>
    </xf>
    <xf numFmtId="0" fontId="55" fillId="30" borderId="7" applyAlignment="1" pivotButton="0" quotePrefix="0" xfId="0">
      <alignment horizontal="center" vertical="center" wrapText="1"/>
    </xf>
    <xf numFmtId="0" fontId="56" fillId="25" borderId="0" applyAlignment="1" pivotButton="0" quotePrefix="0" xfId="0">
      <alignment horizontal="center" vertical="center"/>
    </xf>
    <xf numFmtId="0" fontId="41" fillId="31" borderId="0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center" wrapText="1"/>
    </xf>
    <xf numFmtId="0" fontId="28" fillId="10" borderId="1" applyAlignment="1" pivotButton="0" quotePrefix="0" xfId="0">
      <alignment horizontal="left" vertical="center" wrapText="1"/>
    </xf>
    <xf numFmtId="0" fontId="39" fillId="31" borderId="6" applyAlignment="1" pivotButton="0" quotePrefix="0" xfId="0">
      <alignment horizontal="center" vertical="center"/>
    </xf>
    <xf numFmtId="0" fontId="39" fillId="31" borderId="6" applyAlignment="1" pivotButton="0" quotePrefix="0" xfId="0">
      <alignment horizontal="left" vertical="center" wrapText="1"/>
    </xf>
    <xf numFmtId="0" fontId="39" fillId="29" borderId="6" applyAlignment="1" pivotButton="0" quotePrefix="0" xfId="0">
      <alignment horizontal="center" vertical="center"/>
    </xf>
    <xf numFmtId="0" fontId="39" fillId="30" borderId="6" applyAlignment="1" pivotButton="0" quotePrefix="0" xfId="0">
      <alignment horizontal="left" vertical="center" wrapText="1"/>
    </xf>
    <xf numFmtId="0" fontId="39" fillId="25" borderId="6" applyAlignment="1" pivotButton="0" quotePrefix="0" xfId="0">
      <alignment horizontal="left" vertical="center" wrapText="1"/>
    </xf>
    <xf numFmtId="0" fontId="32" fillId="30" borderId="6" applyAlignment="1" pivotButton="0" quotePrefix="0" xfId="0">
      <alignment horizontal="center" vertical="center"/>
    </xf>
    <xf numFmtId="0" fontId="62" fillId="30" borderId="6" applyAlignment="1" pivotButton="0" quotePrefix="0" xfId="0">
      <alignment horizontal="left" vertical="center" wrapText="1"/>
    </xf>
    <xf numFmtId="0" fontId="62" fillId="25" borderId="6" applyAlignment="1" pivotButton="0" quotePrefix="0" xfId="0">
      <alignment horizontal="left" vertical="center" wrapText="1"/>
    </xf>
    <xf numFmtId="0" fontId="60" fillId="31" borderId="0" applyAlignment="1" pivotButton="0" quotePrefix="0" xfId="0">
      <alignment horizontal="center" vertical="center"/>
    </xf>
    <xf numFmtId="0" fontId="44" fillId="31" borderId="7" applyAlignment="1" pivotButton="0" quotePrefix="0" xfId="0">
      <alignment horizontal="center" vertical="center"/>
    </xf>
    <xf numFmtId="0" fontId="32" fillId="15" borderId="6" applyAlignment="1" pivotButton="0" quotePrefix="0" xfId="0">
      <alignment horizontal="left" vertical="center" wrapText="1"/>
    </xf>
    <xf numFmtId="0" fontId="61" fillId="25" borderId="6" applyAlignment="1" pivotButton="0" quotePrefix="0" xfId="0">
      <alignment horizontal="left" vertical="center" wrapText="1"/>
    </xf>
    <xf numFmtId="0" fontId="57" fillId="32" borderId="0" applyAlignment="1" pivotButton="0" quotePrefix="0" xfId="0">
      <alignment horizontal="center" vertical="center"/>
    </xf>
    <xf numFmtId="0" fontId="58" fillId="33" borderId="0" applyAlignment="1" pivotButton="0" quotePrefix="0" xfId="0">
      <alignment horizontal="center" vertical="center"/>
    </xf>
    <xf numFmtId="0" fontId="39" fillId="32" borderId="7" applyAlignment="1" pivotButton="0" quotePrefix="0" xfId="0">
      <alignment horizontal="center" vertical="center" wrapText="1"/>
    </xf>
    <xf numFmtId="169" fontId="59" fillId="34" borderId="6" applyAlignment="1" pivotButton="0" quotePrefix="0" xfId="0">
      <alignment horizontal="left" vertical="center"/>
    </xf>
    <xf numFmtId="0" fontId="59" fillId="34" borderId="6" applyAlignment="1" pivotButton="0" quotePrefix="0" xfId="0">
      <alignment horizontal="left" vertical="center"/>
    </xf>
    <xf numFmtId="0" fontId="40" fillId="34" borderId="6" applyAlignment="1" pivotButton="0" quotePrefix="0" xfId="0">
      <alignment horizontal="left" vertical="center"/>
    </xf>
    <xf numFmtId="169" fontId="59" fillId="30" borderId="6" applyAlignment="1" pivotButton="0" quotePrefix="0" xfId="0">
      <alignment horizontal="left" vertical="center"/>
    </xf>
    <xf numFmtId="0" fontId="59" fillId="30" borderId="6" applyAlignment="1" pivotButton="0" quotePrefix="0" xfId="0">
      <alignment horizontal="left" vertical="center"/>
    </xf>
    <xf numFmtId="0" fontId="40" fillId="30" borderId="6" applyAlignment="1" pivotButton="0" quotePrefix="0" xfId="0">
      <alignment horizontal="left" vertical="center"/>
    </xf>
    <xf numFmtId="0" fontId="40" fillId="34" borderId="0" applyAlignment="1" pivotButton="0" quotePrefix="0" xfId="0">
      <alignment horizontal="center" vertical="center" wrapText="1"/>
    </xf>
    <xf numFmtId="0" fontId="0" fillId="0" borderId="10" pivotButton="0" quotePrefix="0" xfId="0"/>
    <xf numFmtId="0" fontId="60" fillId="28" borderId="0" applyAlignment="1" pivotButton="0" quotePrefix="0" xfId="0">
      <alignment horizontal="center" vertical="center"/>
    </xf>
    <xf numFmtId="0" fontId="39" fillId="22" borderId="7" applyAlignment="1" pivotButton="0" quotePrefix="0" xfId="0">
      <alignment horizontal="center" vertical="center" wrapText="1"/>
    </xf>
    <xf numFmtId="0" fontId="49" fillId="29" borderId="6" applyAlignment="1" pivotButton="0" quotePrefix="0" xfId="0">
      <alignment horizontal="left" vertical="center" wrapText="1"/>
    </xf>
    <xf numFmtId="0" fontId="59" fillId="29" borderId="6" applyAlignment="1" pivotButton="0" quotePrefix="0" xfId="0">
      <alignment horizontal="left" vertical="center" wrapText="1"/>
    </xf>
    <xf numFmtId="0" fontId="43" fillId="25" borderId="6" applyAlignment="1" pivotButton="0" quotePrefix="0" xfId="0">
      <alignment horizontal="left" vertical="center" wrapText="1"/>
    </xf>
    <xf numFmtId="0" fontId="49" fillId="34" borderId="6" applyAlignment="1" pivotButton="0" quotePrefix="0" xfId="0">
      <alignment horizontal="left" vertical="center" wrapText="1"/>
    </xf>
    <xf numFmtId="0" fontId="59" fillId="34" borderId="6" applyAlignment="1" pivotButton="0" quotePrefix="0" xfId="0">
      <alignment horizontal="left" vertical="center" wrapText="1"/>
    </xf>
    <xf numFmtId="0" fontId="63" fillId="25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20" pivotButton="0" quotePrefix="0" xfId="0"/>
    <xf numFmtId="0" fontId="0" fillId="0" borderId="19" pivotButton="0" quotePrefix="0" xfId="0"/>
    <xf numFmtId="0" fontId="50" fillId="0" borderId="7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51" fillId="0" borderId="6" applyAlignment="1" pivotButton="0" quotePrefix="0" xfId="0">
      <alignment horizontal="center" vertical="center"/>
    </xf>
    <xf numFmtId="0" fontId="52" fillId="26" borderId="7" applyAlignment="1" pivotButton="0" quotePrefix="0" xfId="0">
      <alignment horizontal="center" vertical="center"/>
    </xf>
    <xf numFmtId="0" fontId="32" fillId="19" borderId="6" applyAlignment="1" pivotButton="0" quotePrefix="0" xfId="0">
      <alignment horizontal="right" vertical="center"/>
    </xf>
    <xf numFmtId="0" fontId="0" fillId="16" borderId="7" applyAlignment="1" pivotButton="0" quotePrefix="0" xfId="0">
      <alignment horizontal="center" vertical="center"/>
    </xf>
    <xf numFmtId="168" fontId="33" fillId="16" borderId="7" applyAlignment="1" pivotButton="0" quotePrefix="0" xfId="0">
      <alignment horizontal="center" vertical="center"/>
    </xf>
    <xf numFmtId="0" fontId="39" fillId="26" borderId="7" applyAlignment="1" pivotButton="0" quotePrefix="0" xfId="0">
      <alignment horizontal="center" vertical="center" wrapText="1"/>
    </xf>
    <xf numFmtId="0" fontId="40" fillId="19" borderId="6" applyAlignment="1" pivotButton="0" quotePrefix="0" xfId="0">
      <alignment horizontal="center" vertical="center"/>
    </xf>
    <xf numFmtId="0" fontId="32" fillId="16" borderId="7" applyAlignment="1" pivotButton="0" quotePrefix="0" xfId="0">
      <alignment horizontal="center" vertical="center"/>
    </xf>
    <xf numFmtId="0" fontId="0" fillId="19" borderId="6" applyAlignment="1" pivotButton="0" quotePrefix="0" xfId="0">
      <alignment horizontal="left" vertical="center"/>
    </xf>
    <xf numFmtId="0" fontId="0" fillId="19" borderId="6" applyAlignment="1" pivotButton="0" quotePrefix="0" xfId="0">
      <alignment horizontal="center" vertical="center"/>
    </xf>
    <xf numFmtId="3" fontId="0" fillId="16" borderId="7" applyAlignment="1" pivotButton="0" quotePrefix="0" xfId="0">
      <alignment horizontal="center" vertical="center"/>
    </xf>
    <xf numFmtId="3" fontId="0" fillId="19" borderId="6" applyAlignment="1" pivotButton="0" quotePrefix="0" xfId="0">
      <alignment horizontal="center" vertical="center"/>
    </xf>
    <xf numFmtId="167" fontId="0" fillId="19" borderId="6" applyAlignment="1" pivotButton="0" quotePrefix="0" xfId="0">
      <alignment horizontal="center" vertical="center"/>
    </xf>
    <xf numFmtId="0" fontId="40" fillId="30" borderId="6" applyAlignment="1" pivotButton="0" quotePrefix="0" xfId="0">
      <alignment horizontal="center" vertical="center"/>
    </xf>
    <xf numFmtId="0" fontId="0" fillId="30" borderId="6" applyAlignment="1" pivotButton="0" quotePrefix="0" xfId="0">
      <alignment horizontal="left" vertical="center"/>
    </xf>
    <xf numFmtId="0" fontId="0" fillId="30" borderId="6" applyAlignment="1" pivotButton="0" quotePrefix="0" xfId="0">
      <alignment horizontal="center" vertical="center"/>
    </xf>
    <xf numFmtId="3" fontId="0" fillId="30" borderId="6" applyAlignment="1" pivotButton="0" quotePrefix="0" xfId="0">
      <alignment horizontal="center" vertical="center"/>
    </xf>
    <xf numFmtId="167" fontId="0" fillId="30" borderId="6" applyAlignment="1" pivotButton="0" quotePrefix="0" xfId="0">
      <alignment horizontal="center" vertical="center"/>
    </xf>
    <xf numFmtId="0" fontId="44" fillId="26" borderId="7" applyAlignment="1" pivotButton="0" quotePrefix="0" xfId="0">
      <alignment horizontal="center" vertical="center"/>
    </xf>
    <xf numFmtId="167" fontId="50" fillId="16" borderId="7" applyAlignment="1" pivotButton="0" quotePrefix="0" xfId="0">
      <alignment horizontal="center" vertical="center"/>
    </xf>
    <xf numFmtId="0" fontId="39" fillId="31" borderId="7" applyAlignment="1" pivotButton="0" quotePrefix="0" xfId="0">
      <alignment horizontal="center" vertical="center"/>
    </xf>
    <xf numFmtId="0" fontId="59" fillId="25" borderId="6" applyAlignment="1" pivotButton="0" quotePrefix="0" xfId="0">
      <alignment horizontal="left" vertical="center"/>
    </xf>
    <xf numFmtId="0" fontId="56" fillId="25" borderId="0" applyAlignment="1" pivotButton="0" quotePrefix="0" xfId="0">
      <alignment horizontal="center" vertical="center"/>
    </xf>
    <xf numFmtId="0" fontId="60" fillId="31" borderId="0" applyAlignment="1" pivotButton="0" quotePrefix="0" xfId="0">
      <alignment horizontal="center" vertical="center"/>
    </xf>
    <xf numFmtId="0" fontId="44" fillId="31" borderId="7" applyAlignment="1" pivotButton="0" quotePrefix="0" xfId="0">
      <alignment horizontal="center" vertical="center"/>
    </xf>
    <xf numFmtId="0" fontId="64" fillId="25" borderId="6" applyAlignment="1" pivotButton="0" quotePrefix="0" xfId="0">
      <alignment horizontal="left" vertical="center" wrapText="1"/>
    </xf>
    <xf numFmtId="0" fontId="32" fillId="15" borderId="28" applyAlignment="1" pivotButton="0" quotePrefix="0" xfId="0">
      <alignment horizontal="left" vertical="center"/>
    </xf>
    <xf numFmtId="0" fontId="40" fillId="0" borderId="28" applyAlignment="1" pivotButton="0" quotePrefix="0" xfId="0">
      <alignment horizontal="left" vertical="center"/>
    </xf>
    <xf numFmtId="0" fontId="38" fillId="30" borderId="26" applyAlignment="1" pivotButton="0" quotePrefix="0" xfId="0">
      <alignment horizontal="center" vertical="center"/>
    </xf>
    <xf numFmtId="0" fontId="40" fillId="35" borderId="28" applyAlignment="1" pivotButton="0" quotePrefix="0" xfId="0">
      <alignment horizontal="left" vertical="center" wrapText="1"/>
    </xf>
    <xf numFmtId="0" fontId="44" fillId="22" borderId="27" applyAlignment="1" pivotButton="0" quotePrefix="0" xfId="0">
      <alignment horizontal="left" vertical="center"/>
    </xf>
    <xf numFmtId="0" fontId="32" fillId="0" borderId="29" applyAlignment="1" pivotButton="0" quotePrefix="0" xfId="0">
      <alignment horizontal="left" vertical="center"/>
    </xf>
    <xf numFmtId="0" fontId="50" fillId="35" borderId="28" applyAlignment="1" pivotButton="0" quotePrefix="0" xfId="0">
      <alignment horizontal="center" vertical="center"/>
    </xf>
    <xf numFmtId="0" fontId="66" fillId="35" borderId="28" applyAlignment="1" pivotButton="0" quotePrefix="0" xfId="0">
      <alignment horizontal="left" vertical="center"/>
    </xf>
    <xf numFmtId="0" fontId="61" fillId="35" borderId="28" applyAlignment="1" pivotButton="0" quotePrefix="0" xfId="0">
      <alignment horizontal="left" vertical="center"/>
    </xf>
    <xf numFmtId="0" fontId="40" fillId="35" borderId="28" applyAlignment="1" pivotButton="0" quotePrefix="0" xfId="0">
      <alignment horizontal="right" vertical="center"/>
    </xf>
    <xf numFmtId="0" fontId="59" fillId="35" borderId="28" applyAlignment="1" pivotButton="0" quotePrefix="0" xfId="0">
      <alignment horizontal="left" vertical="center" wrapText="1"/>
    </xf>
    <xf numFmtId="0" fontId="50" fillId="0" borderId="28" applyAlignment="1" pivotButton="0" quotePrefix="0" xfId="0">
      <alignment horizontal="center" vertical="center"/>
    </xf>
    <xf numFmtId="0" fontId="66" fillId="0" borderId="28" applyAlignment="1" pivotButton="0" quotePrefix="0" xfId="0">
      <alignment horizontal="left" vertical="center"/>
    </xf>
    <xf numFmtId="0" fontId="61" fillId="0" borderId="28" applyAlignment="1" pivotButton="0" quotePrefix="0" xfId="0">
      <alignment horizontal="left" vertical="center"/>
    </xf>
    <xf numFmtId="0" fontId="59" fillId="0" borderId="28" applyAlignment="1" pivotButton="0" quotePrefix="0" xfId="0">
      <alignment horizontal="left" vertical="center" wrapText="1"/>
    </xf>
    <xf numFmtId="0" fontId="32" fillId="35" borderId="28" applyAlignment="1" pivotButton="0" quotePrefix="0" xfId="0">
      <alignment horizontal="center" vertical="center"/>
    </xf>
    <xf numFmtId="0" fontId="32" fillId="35" borderId="28" applyAlignment="1" pivotButton="0" quotePrefix="0" xfId="0">
      <alignment horizontal="left" vertical="center"/>
    </xf>
    <xf numFmtId="0" fontId="59" fillId="35" borderId="28" applyAlignment="1" pivotButton="0" quotePrefix="0" xfId="0">
      <alignment horizontal="left" vertical="center"/>
    </xf>
    <xf numFmtId="0" fontId="40" fillId="35" borderId="28" applyAlignment="1" pivotButton="0" quotePrefix="0" xfId="0">
      <alignment horizontal="left" vertical="center"/>
    </xf>
    <xf numFmtId="0" fontId="32" fillId="0" borderId="28" applyAlignment="1" pivotButton="0" quotePrefix="0" xfId="0">
      <alignment horizontal="center" vertical="center"/>
    </xf>
    <xf numFmtId="0" fontId="32" fillId="0" borderId="28" applyAlignment="1" pivotButton="0" quotePrefix="0" xfId="0">
      <alignment horizontal="left" vertical="center"/>
    </xf>
    <xf numFmtId="0" fontId="59" fillId="0" borderId="28" applyAlignment="1" pivotButton="0" quotePrefix="0" xfId="0">
      <alignment horizontal="left" vertical="center"/>
    </xf>
    <xf numFmtId="0" fontId="49" fillId="35" borderId="28" applyAlignment="1" pivotButton="0" quotePrefix="0" xfId="0">
      <alignment horizontal="left" vertical="center" wrapText="1"/>
    </xf>
    <xf numFmtId="0" fontId="67" fillId="35" borderId="28" applyAlignment="1" pivotButton="0" quotePrefix="0" xfId="0">
      <alignment horizontal="left" vertical="center" wrapText="1"/>
    </xf>
    <xf numFmtId="0" fontId="49" fillId="0" borderId="28" applyAlignment="1" pivotButton="0" quotePrefix="0" xfId="0">
      <alignment horizontal="left" vertical="center" wrapText="1"/>
    </xf>
    <xf numFmtId="0" fontId="67" fillId="0" borderId="28" applyAlignment="1" pivotButton="0" quotePrefix="0" xfId="0">
      <alignment horizontal="left" vertical="center" wrapText="1"/>
    </xf>
    <xf numFmtId="0" fontId="56" fillId="30" borderId="28" applyAlignment="1" pivotButton="0" quotePrefix="0" xfId="0">
      <alignment horizontal="center" vertical="center"/>
    </xf>
    <xf numFmtId="0" fontId="44" fillId="28" borderId="27" applyAlignment="1" pivotButton="0" quotePrefix="0" xfId="0">
      <alignment horizontal="left" vertical="center"/>
    </xf>
    <xf numFmtId="0" fontId="32" fillId="35" borderId="28" applyAlignment="1" pivotButton="0" quotePrefix="0" xfId="0">
      <alignment horizontal="right" vertical="center"/>
    </xf>
    <xf numFmtId="168" fontId="0" fillId="0" borderId="26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54" fillId="31" borderId="27" applyAlignment="1" pivotButton="0" quotePrefix="0" xfId="0">
      <alignment horizontal="center" vertical="center" wrapText="1"/>
    </xf>
    <xf numFmtId="0" fontId="49" fillId="35" borderId="28" applyAlignment="1" pivotButton="0" quotePrefix="0" xfId="0">
      <alignment horizontal="center" vertical="center"/>
    </xf>
    <xf numFmtId="0" fontId="59" fillId="35" borderId="28" applyAlignment="1" pivotButton="0" quotePrefix="0" xfId="0">
      <alignment horizontal="center" vertical="center"/>
    </xf>
    <xf numFmtId="3" fontId="0" fillId="35" borderId="28" applyAlignment="1" pivotButton="0" quotePrefix="0" xfId="0">
      <alignment horizontal="center" vertical="center"/>
    </xf>
    <xf numFmtId="3" fontId="32" fillId="35" borderId="28" applyAlignment="1" pivotButton="0" quotePrefix="0" xfId="0">
      <alignment horizontal="center" vertical="center"/>
    </xf>
    <xf numFmtId="0" fontId="49" fillId="30" borderId="28" applyAlignment="1" pivotButton="0" quotePrefix="0" xfId="0">
      <alignment horizontal="center" vertical="center"/>
    </xf>
    <xf numFmtId="0" fontId="59" fillId="30" borderId="28" applyAlignment="1" pivotButton="0" quotePrefix="0" xfId="0">
      <alignment horizontal="left" vertical="center"/>
    </xf>
    <xf numFmtId="0" fontId="59" fillId="30" borderId="28" applyAlignment="1" pivotButton="0" quotePrefix="0" xfId="0">
      <alignment horizontal="center" vertical="center"/>
    </xf>
    <xf numFmtId="3" fontId="0" fillId="30" borderId="28" applyAlignment="1" pivotButton="0" quotePrefix="0" xfId="0">
      <alignment horizontal="center" vertical="center"/>
    </xf>
    <xf numFmtId="3" fontId="32" fillId="30" borderId="28" applyAlignment="1" pivotButton="0" quotePrefix="0" xfId="0">
      <alignment horizontal="center" vertical="center"/>
    </xf>
    <xf numFmtId="0" fontId="32" fillId="35" borderId="27" applyAlignment="1" pivotButton="0" quotePrefix="0" xfId="0">
      <alignment horizontal="center" vertical="center"/>
    </xf>
    <xf numFmtId="3" fontId="32" fillId="35" borderId="27" applyAlignment="1" pivotButton="0" quotePrefix="0" xfId="0">
      <alignment horizontal="center" vertical="center"/>
    </xf>
    <xf numFmtId="0" fontId="0" fillId="35" borderId="27" pivotButton="0" quotePrefix="0" xfId="0"/>
    <xf numFmtId="0" fontId="63" fillId="0" borderId="29" applyAlignment="1" pivotButton="0" quotePrefix="0" xfId="0">
      <alignment horizontal="left" vertical="center" wrapText="1"/>
    </xf>
    <xf numFmtId="0" fontId="33" fillId="30" borderId="26" applyAlignment="1" pivotButton="0" quotePrefix="0" xfId="0">
      <alignment horizontal="center" vertical="center"/>
    </xf>
    <xf numFmtId="0" fontId="32" fillId="30" borderId="27" applyAlignment="1" pivotButton="0" quotePrefix="0" xfId="0">
      <alignment horizontal="center" vertical="center"/>
    </xf>
    <xf numFmtId="0" fontId="40" fillId="30" borderId="28" applyAlignment="1" pivotButton="0" quotePrefix="0" xfId="0">
      <alignment horizontal="center" vertical="center"/>
    </xf>
    <xf numFmtId="0" fontId="33" fillId="30" borderId="27" pivotButton="0" quotePrefix="0" xfId="0"/>
    <xf numFmtId="0" fontId="65" fillId="30" borderId="29" applyAlignment="1" pivotButton="0" quotePrefix="0" xfId="0">
      <alignment horizontal="left" vertical="center"/>
    </xf>
    <xf numFmtId="168" fontId="33" fillId="30" borderId="27" pivotButton="0" quotePrefix="0" xfId="0"/>
    <xf numFmtId="0" fontId="62" fillId="30" borderId="27" pivotButton="0" quotePrefix="0" xfId="0"/>
    <xf numFmtId="0" fontId="49" fillId="35" borderId="27" applyAlignment="1" pivotButton="0" quotePrefix="0" xfId="0">
      <alignment horizontal="center" vertical="center" wrapText="1"/>
    </xf>
    <xf numFmtId="0" fontId="0" fillId="30" borderId="28" applyAlignment="1" pivotButton="0" quotePrefix="0" xfId="0">
      <alignment horizontal="left" vertical="center"/>
    </xf>
    <xf numFmtId="0" fontId="0" fillId="30" borderId="28" applyAlignment="1" pivotButton="0" quotePrefix="0" xfId="0">
      <alignment horizontal="center" vertical="center"/>
    </xf>
    <xf numFmtId="3" fontId="0" fillId="30" borderId="27" applyAlignment="1" pivotButton="0" quotePrefix="0" xfId="0">
      <alignment horizontal="center" vertical="center"/>
    </xf>
    <xf numFmtId="3" fontId="33" fillId="30" borderId="27" applyAlignment="1" pivotButton="0" quotePrefix="0" xfId="0">
      <alignment horizontal="center" vertical="center"/>
    </xf>
    <xf numFmtId="0" fontId="49" fillId="35" borderId="28" applyAlignment="1" pivotButton="0" quotePrefix="0" xfId="0">
      <alignment horizontal="right" vertical="center"/>
    </xf>
    <xf numFmtId="0" fontId="0" fillId="30" borderId="27" pivotButton="0" quotePrefix="0" xfId="0"/>
    <xf numFmtId="0" fontId="56" fillId="30" borderId="26" applyAlignment="1" pivotButton="0" quotePrefix="0" xfId="0">
      <alignment horizontal="center" vertical="center" wrapText="1"/>
    </xf>
    <xf numFmtId="3" fontId="0" fillId="30" borderId="26" applyAlignment="1" pivotButton="0" quotePrefix="0" xfId="0">
      <alignment horizontal="center" vertical="center"/>
    </xf>
    <xf numFmtId="0" fontId="0" fillId="0" borderId="28" pivotButton="0" quotePrefix="0" xfId="0"/>
    <xf numFmtId="0" fontId="40" fillId="35" borderId="27" applyAlignment="1" pivotButton="0" quotePrefix="0" xfId="0">
      <alignment horizontal="left" vertical="center" wrapText="1"/>
    </xf>
    <xf numFmtId="0" fontId="44" fillId="31" borderId="27" applyAlignment="1" pivotButton="0" quotePrefix="0" xfId="0">
      <alignment horizontal="center" vertical="center"/>
    </xf>
    <xf numFmtId="0" fontId="32" fillId="15" borderId="28" applyAlignment="1" pivotButton="0" quotePrefix="0" xfId="0">
      <alignment horizontal="left" vertical="center" wrapText="1"/>
    </xf>
    <xf numFmtId="0" fontId="64" fillId="25" borderId="28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2E"/>
      <rgbColor rgb="FF000080"/>
      <rgbColor rgb="FF808000"/>
      <rgbColor rgb="FF800080"/>
      <rgbColor rgb="FF008080"/>
      <rgbColor rgb="FFC8C8C8"/>
      <rgbColor rgb="FF888888"/>
      <rgbColor rgb="FF9999FF"/>
      <rgbColor rgb="FF993366"/>
      <rgbColor rgb="FFFFF2CC"/>
      <rgbColor rgb="FFE6F1FB"/>
      <rgbColor rgb="FF660066"/>
      <rgbColor rgb="FFFF8080"/>
      <rgbColor rgb="FF0066CC"/>
      <rgbColor rgb="FFFCEB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DE"/>
      <rgbColor rgb="FFD5F0C0"/>
      <rgbColor rgb="FFFAEEDA"/>
      <rgbColor rgb="FF99CCFF"/>
      <rgbColor rgb="FFFF99CC"/>
      <rgbColor rgb="FFCC99FF"/>
      <rgbColor rgb="FFF7F7F5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C3547"/>
      <rgbColor rgb="FF339966"/>
      <rgbColor rgb="FF003300"/>
      <rgbColor rgb="FF27500A"/>
      <rgbColor rgb="FF7B3F00"/>
      <rgbColor rgb="FF993366"/>
      <rgbColor rgb="FF2F4858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5" min="1" max="1"/>
    <col width="38" customWidth="1" style="95" min="2" max="2"/>
    <col width="24" customWidth="1" style="95" min="3" max="3"/>
  </cols>
  <sheetData>
    <row r="1" ht="36" customHeight="1" s="96">
      <c r="A1" s="97" t="inlineStr">
        <is>
          <t>نظام ERP — مخزن مديرية التربية — ولاية البيض</t>
        </is>
      </c>
    </row>
    <row r="2" ht="15" customHeight="1" s="96">
      <c r="A2" s="98" t="inlineStr">
        <is>
          <t>ERP_Academie_v9  |  Excel 2010 Compatible  |  VLOOKUP + SUMPRODUCT</t>
        </is>
      </c>
    </row>
    <row r="3" ht="7.5" customHeight="1" s="96"/>
    <row r="4" ht="15" customHeight="1" s="96">
      <c r="A4" s="99" t="inlineStr">
        <is>
          <t>المؤسسة</t>
        </is>
      </c>
      <c r="B4" s="100" t="inlineStr">
        <is>
          <t>مديرية التربية لولاية البيض</t>
        </is>
      </c>
    </row>
    <row r="5" ht="15" customHeight="1" s="96">
      <c r="A5" s="99" t="inlineStr">
        <is>
          <t>المصلحة</t>
        </is>
      </c>
      <c r="B5" s="100" t="inlineStr">
        <is>
          <t>مصلحة الإدارة والوسائل العامة</t>
        </is>
      </c>
    </row>
    <row r="6" ht="15" customHeight="1" s="96">
      <c r="A6" s="99" t="inlineStr">
        <is>
          <t>المسؤول</t>
        </is>
      </c>
      <c r="B6" s="100" t="inlineStr">
        <is>
          <t>ماحي كمال عبد الغني — TAG1801</t>
        </is>
      </c>
    </row>
    <row r="7" ht="15" customHeight="1" s="96">
      <c r="A7" s="99" t="inlineStr">
        <is>
          <t>المؤطرة</t>
        </is>
      </c>
      <c r="B7" s="100" t="inlineStr">
        <is>
          <t>دهيني ميمونة (مصلحة الميزانية)</t>
        </is>
      </c>
    </row>
    <row r="8" ht="15" customHeight="1" s="96">
      <c r="A8" s="99" t="inlineStr">
        <is>
          <t>فترة الرصد</t>
        </is>
      </c>
      <c r="B8" s="101" t="inlineStr">
        <is>
          <t>38 يوم عمل (01/02 – 09/03/2026)</t>
        </is>
      </c>
    </row>
    <row r="9" ht="15" customHeight="1" s="96">
      <c r="A9" s="99" t="inlineStr">
        <is>
          <t>الإصدار</t>
        </is>
      </c>
      <c r="B9" s="101" t="inlineStr">
        <is>
          <t>v7  |  أفريل 2026</t>
        </is>
      </c>
    </row>
    <row r="10" ht="7.5" customHeight="1" s="96"/>
    <row r="11" ht="14.9" customHeight="1" s="96">
      <c r="A11" s="102" t="inlineStr">
        <is>
          <t>مؤشرات الأداء الرئيسية  (تُحسب آلياً من MOUVEMENTS)</t>
        </is>
      </c>
    </row>
    <row r="12" ht="15" customHeight="1" s="96">
      <c r="A12" s="103" t="inlineStr">
        <is>
          <t>إجمالي قيمة المخزون (دج)</t>
        </is>
      </c>
      <c r="B12" s="104">
        <f>SUMIFS(MOUVEMENTS!$E$3:$E$500,MOUVEMENTS!$B$3:$B$500,"ART-001",MOUVEMENTS!$D$3:$D$500,"IN")-SUMIFS(MOUVEMENTS!$E$3:$E$500,MOUVEMENTS!$B$3:$B$500,"ART-001",MOUVEMENTS!$D$3:$D$500,"OUT")</f>
        <v/>
      </c>
      <c r="C12" s="105" t="inlineStr">
        <is>
          <t>مرجع Wilson: ART-001</t>
        </is>
      </c>
    </row>
    <row r="13" ht="15" customHeight="1" s="96">
      <c r="A13" s="106" t="inlineStr">
        <is>
          <t>مواد في حالة RUPTURE</t>
        </is>
      </c>
      <c r="B13" s="107">
        <f>COUNTIF('TABLEAU DE BORD'!$K$4:$K$15,"!! RUPTURE")</f>
        <v/>
      </c>
      <c r="C13" s="108" t="inlineStr">
        <is>
          <t>12 مادة</t>
        </is>
      </c>
    </row>
    <row r="14" ht="15" customHeight="1" s="96">
      <c r="A14" s="109" t="inlineStr">
        <is>
          <t>مواد تحتاج طلبية عاجلة</t>
        </is>
      </c>
      <c r="B14" s="110">
        <f>COUNTIF('TABLEAU DE BORD'!$K$4:$K$15,"&gt;&gt; COMMANDER")</f>
        <v/>
      </c>
      <c r="C14" s="105" t="inlineStr">
        <is>
          <t>دخول + خروج</t>
        </is>
      </c>
    </row>
    <row r="15" ht="15" customHeight="1" s="96">
      <c r="A15" s="301" t="inlineStr">
        <is>
          <t>مواد في حالة تنبيه ~ ALERTE</t>
        </is>
      </c>
      <c r="B15" s="112">
        <f>COUNTIF('TABLEAU DE BORD'!$K$4:$K$15,"~ ALERTE")</f>
        <v/>
      </c>
      <c r="C15" s="105" t="inlineStr">
        <is>
          <t>تنبيه فوري</t>
        </is>
      </c>
    </row>
    <row r="16"/>
    <row r="17" ht="22" customHeight="1" s="96">
      <c r="A17" s="113" t="inlineStr">
        <is>
          <t>WORKFLOW — Raccourcis VBA (ALT+F11 → Macros → Exécuter)</t>
        </is>
      </c>
    </row>
    <row r="18" ht="18" customHeight="1" s="96">
      <c r="A18" s="114" t="inlineStr">
        <is>
          <t>① AjouterMouvement</t>
        </is>
      </c>
      <c r="B18" s="115" t="inlineStr">
        <is>
          <t>Lance le formulaire de saisie (UserForm frmDataEntry)</t>
        </is>
      </c>
      <c r="C18" s="273" t="n"/>
    </row>
    <row r="19" ht="18" customHeight="1" s="96">
      <c r="A19" s="114" t="inlineStr">
        <is>
          <t>② VerifierAlertes</t>
        </is>
      </c>
      <c r="B19" s="115" t="inlineStr">
        <is>
          <t>Affiche une MsgBox avec tous les articles en alerte ou rupture</t>
        </is>
      </c>
      <c r="C19" s="273" t="n"/>
    </row>
    <row r="20" ht="18" customHeight="1" s="96">
      <c r="A20" s="114" t="inlineStr">
        <is>
          <t>③ RafraichirTableauBord</t>
        </is>
      </c>
      <c r="B20" s="115" t="inlineStr">
        <is>
          <t>Force le recalcul + navigue vers le Tableau de Bord</t>
        </is>
      </c>
      <c r="C20" s="273" t="n"/>
    </row>
    <row r="21" ht="18" customHeight="1" s="96">
      <c r="A21" s="114" t="inlineStr">
        <is>
          <t>④ GenererBonReception</t>
        </is>
      </c>
      <c r="B21" s="115" t="inlineStr">
        <is>
          <t>Exporte le dernier bon de réception en PDF horodaté</t>
        </is>
      </c>
      <c r="C21" s="273" t="n"/>
    </row>
    <row r="22" ht="18" customHeight="1" s="96">
      <c r="A22" s="325" t="inlineStr">
        <is>
          <t>⑤ GenererBonSortie</t>
        </is>
      </c>
      <c r="B22" s="326" t="inlineStr">
        <is>
          <t>Exporte le dernier bon de sortie (وصل الخروج) en PDF horodaté</t>
        </is>
      </c>
    </row>
    <row r="23" ht="18" customHeight="1" s="96">
      <c r="A23" s="325" t="inlineStr">
        <is>
          <t>⑥ GenererDA</t>
        </is>
      </c>
      <c r="B23" s="326" t="inlineStr">
        <is>
          <t>Crée et exporte une Demande d'Achat (طلب الشراء) vierge en PDF</t>
        </is>
      </c>
    </row>
    <row r="24" ht="18" customHeight="1" s="96">
      <c r="A24" s="325" t="inlineStr">
        <is>
          <t>⑦ GenererBC</t>
        </is>
      </c>
      <c r="B24" s="326" t="inlineStr">
        <is>
          <t>Crée et exporte un Bon de Commande (أمر الشراء) en PDF</t>
        </is>
      </c>
    </row>
  </sheetData>
  <mergeCells count="11">
    <mergeCell ref="B21:C21"/>
    <mergeCell ref="B24:C24"/>
    <mergeCell ref="A11:C11"/>
    <mergeCell ref="A1:C1"/>
    <mergeCell ref="B19:C19"/>
    <mergeCell ref="B20:C20"/>
    <mergeCell ref="A17:C17"/>
    <mergeCell ref="B23:C23"/>
    <mergeCell ref="B22:C22"/>
    <mergeCell ref="B18:C18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5" min="1" max="1"/>
    <col width="32" customWidth="1" style="95" min="2" max="2"/>
    <col width="26" customWidth="1" style="95" min="3" max="3"/>
    <col width="9" customWidth="1" style="95" min="4" max="4"/>
    <col width="8" customWidth="1" style="95" min="5" max="5"/>
    <col width="11" customWidth="1" style="95" min="6" max="7"/>
    <col width="14" customWidth="1" style="95" min="8" max="8"/>
    <col width="22" customWidth="1" style="95" min="9" max="9"/>
    <col width="14" customWidth="1" style="95" min="10" max="10"/>
    <col width="26" customWidth="1" style="96" min="11" max="11"/>
    <col width="26" customWidth="1" style="96" min="12" max="12"/>
    <col width="46" customWidth="1" style="96" min="13" max="13"/>
  </cols>
  <sheetData>
    <row r="1" ht="28" customHeight="1" s="96">
      <c r="A1" s="274" t="inlineStr">
        <is>
          <t>CATALOGUE DES ARTICLES  —  مديرية التربية — البيض  [v8.1 | 12 articles | Catégorie + Alias]</t>
        </is>
      </c>
    </row>
    <row r="2" ht="30" customHeight="1" s="96">
      <c r="A2" s="117" t="inlineStr">
        <is>
          <t>Code Article</t>
        </is>
      </c>
      <c r="B2" s="117" t="inlineStr">
        <is>
          <t>Désignation (FR)</t>
        </is>
      </c>
      <c r="C2" s="118" t="inlineStr">
        <is>
          <t>التسمية (AR)</t>
        </is>
      </c>
      <c r="D2" s="117" t="inlineStr">
        <is>
          <t>Unité</t>
        </is>
      </c>
      <c r="E2" s="117" t="inlineStr">
        <is>
          <t>Cl. ABC</t>
        </is>
      </c>
      <c r="F2" s="117" t="inlineStr">
        <is>
          <t>Stock Min</t>
        </is>
      </c>
      <c r="G2" s="117" t="inlineStr">
        <is>
          <t>Stock Max</t>
        </is>
      </c>
      <c r="H2" s="117" t="inlineStr">
        <is>
          <t>Prix Unit. (DA)</t>
        </is>
      </c>
      <c r="I2" s="117" t="inlineStr">
        <is>
          <t>Fournisseur</t>
        </is>
      </c>
      <c r="J2" s="117" t="inlineStr">
        <is>
          <t>Emplacement</t>
        </is>
      </c>
      <c r="K2" s="265" t="inlineStr">
        <is>
          <t>Catégorie principale</t>
        </is>
      </c>
      <c r="L2" s="265" t="inlineStr">
        <is>
          <t>Sous-catégorie</t>
        </is>
      </c>
      <c r="M2" s="275" t="inlineStr">
        <is>
          <t>Alias / Noms alternatifs (pour référence uniquement)</t>
        </is>
      </c>
    </row>
    <row r="3" ht="30" customHeight="1" s="96">
      <c r="A3" s="119" t="inlineStr">
        <is>
          <t>ART-001</t>
        </is>
      </c>
      <c r="B3" s="120" t="inlineStr">
        <is>
          <t>Rame papier A4 80g/m²</t>
        </is>
      </c>
      <c r="C3" s="121" t="inlineStr">
        <is>
          <t>رزمة ورق A4 80غ</t>
        </is>
      </c>
      <c r="D3" s="122" t="inlineStr">
        <is>
          <t>Rame</t>
        </is>
      </c>
      <c r="E3" s="122" t="inlineStr">
        <is>
          <t>A</t>
        </is>
      </c>
      <c r="F3" s="123" t="n">
        <v>400</v>
      </c>
      <c r="G3" s="123" t="n">
        <v>1500</v>
      </c>
      <c r="H3" s="124" t="n">
        <v>400</v>
      </c>
      <c r="I3" s="120" t="inlineStr">
        <is>
          <t>ENAP Alger</t>
        </is>
      </c>
      <c r="J3" s="120" t="inlineStr">
        <is>
          <t>Rayon A-E1</t>
        </is>
      </c>
      <c r="K3" s="276" t="inlineStr">
        <is>
          <t>لوازم مكتبية / Fournitures Bureau</t>
        </is>
      </c>
      <c r="L3" s="277" t="inlineStr">
        <is>
          <t>ورق الطباعة / Papier</t>
        </is>
      </c>
      <c r="M3" s="278" t="inlineStr">
        <is>
          <t>Rame A4 | papier blanc | ورق مكتبي | white paper</t>
        </is>
      </c>
    </row>
    <row r="4" ht="30" customHeight="1" s="96">
      <c r="A4" s="125" t="inlineStr">
        <is>
          <t>ART-002</t>
        </is>
      </c>
      <c r="B4" s="126" t="inlineStr">
        <is>
          <t>Toner imprimante G030 (noir)</t>
        </is>
      </c>
      <c r="C4" s="127" t="inlineStr">
        <is>
          <t>حبر طابعة G030</t>
        </is>
      </c>
      <c r="D4" s="128" t="inlineStr">
        <is>
          <t>Unité</t>
        </is>
      </c>
      <c r="E4" s="128" t="inlineStr">
        <is>
          <t>B</t>
        </is>
      </c>
      <c r="F4" s="129" t="n">
        <v>3</v>
      </c>
      <c r="G4" s="129" t="n">
        <v>15</v>
      </c>
      <c r="H4" s="130" t="n">
        <v>3000</v>
      </c>
      <c r="I4" s="126" t="inlineStr">
        <is>
          <t>Bureautique Oran</t>
        </is>
      </c>
      <c r="J4" s="126" t="inlineStr">
        <is>
          <t>Rayon B-E2</t>
        </is>
      </c>
      <c r="K4" s="279" t="inlineStr">
        <is>
          <t>مستهلكات إعلام آلي / Consommables IT</t>
        </is>
      </c>
      <c r="L4" s="280" t="inlineStr">
        <is>
          <t>حبر وتونر / Toner &amp; Encre</t>
        </is>
      </c>
      <c r="M4" s="278" t="inlineStr">
        <is>
          <t>Toner HP | حبر ليزر | Toner 6030 | cartouche laser</t>
        </is>
      </c>
    </row>
    <row r="5" ht="30" customHeight="1" s="96">
      <c r="A5" s="125" t="inlineStr">
        <is>
          <t>ART-003</t>
        </is>
      </c>
      <c r="B5" s="126" t="inlineStr">
        <is>
          <t>Rame papier A3 80g/m²</t>
        </is>
      </c>
      <c r="C5" s="127" t="inlineStr">
        <is>
          <t>رزمة ورق A3 80غ</t>
        </is>
      </c>
      <c r="D5" s="128" t="inlineStr">
        <is>
          <t>Rame</t>
        </is>
      </c>
      <c r="E5" s="128" t="inlineStr">
        <is>
          <t>B</t>
        </is>
      </c>
      <c r="F5" s="129" t="n">
        <v>30</v>
      </c>
      <c r="G5" s="129" t="n">
        <v>150</v>
      </c>
      <c r="H5" s="130" t="n">
        <v>600</v>
      </c>
      <c r="I5" s="126" t="inlineStr">
        <is>
          <t>ENAP Alger</t>
        </is>
      </c>
      <c r="J5" s="126" t="inlineStr">
        <is>
          <t>Rayon A-E3</t>
        </is>
      </c>
      <c r="K5" s="276" t="inlineStr">
        <is>
          <t>لوازم مكتبية / Fournitures Bureau</t>
        </is>
      </c>
      <c r="L5" s="277" t="inlineStr">
        <is>
          <t>ورق الطباعة / Papier</t>
        </is>
      </c>
      <c r="M5" s="278" t="inlineStr">
        <is>
          <t>Rame A3 | papier A3 | ورق كبير</t>
        </is>
      </c>
    </row>
    <row r="6" ht="30" customHeight="1" s="96">
      <c r="A6" s="131" t="inlineStr">
        <is>
          <t>ART-004</t>
        </is>
      </c>
      <c r="B6" s="132" t="inlineStr">
        <is>
          <t>Boîte archives carton</t>
        </is>
      </c>
      <c r="C6" s="133" t="inlineStr">
        <is>
          <t>علبة الأرشيف</t>
        </is>
      </c>
      <c r="D6" s="134" t="inlineStr">
        <is>
          <t>Unité</t>
        </is>
      </c>
      <c r="E6" s="134" t="inlineStr">
        <is>
          <t>C</t>
        </is>
      </c>
      <c r="F6" s="135" t="n">
        <v>20</v>
      </c>
      <c r="G6" s="135" t="n">
        <v>200</v>
      </c>
      <c r="H6" s="136" t="n">
        <v>150</v>
      </c>
      <c r="I6" s="132" t="inlineStr">
        <is>
          <t>Bureau Plus</t>
        </is>
      </c>
      <c r="J6" s="132" t="inlineStr">
        <is>
          <t>Rayon C-E1</t>
        </is>
      </c>
      <c r="K6" s="279" t="inlineStr">
        <is>
          <t>أرشيف وتخزين / Archivage</t>
        </is>
      </c>
      <c r="L6" s="280" t="inlineStr">
        <is>
          <t>علب وملفات / Boîtes</t>
        </is>
      </c>
      <c r="M6" s="278" t="inlineStr">
        <is>
          <t>boîte archive | علبة أرشيف | carton classement</t>
        </is>
      </c>
    </row>
    <row r="7" ht="30" customHeight="1" s="96">
      <c r="A7" s="131" t="inlineStr">
        <is>
          <t>ART-005</t>
        </is>
      </c>
      <c r="B7" s="132" t="inlineStr">
        <is>
          <t>Agrafeuse de bureau</t>
        </is>
      </c>
      <c r="C7" s="133" t="inlineStr">
        <is>
          <t>دباسة مكتبية</t>
        </is>
      </c>
      <c r="D7" s="134" t="inlineStr">
        <is>
          <t>Unité</t>
        </is>
      </c>
      <c r="E7" s="134" t="inlineStr">
        <is>
          <t>C</t>
        </is>
      </c>
      <c r="F7" s="135" t="n">
        <v>2</v>
      </c>
      <c r="G7" s="135" t="n">
        <v>10</v>
      </c>
      <c r="H7" s="136" t="n">
        <v>800</v>
      </c>
      <c r="I7" s="132" t="inlineStr">
        <is>
          <t>Bureau Plus</t>
        </is>
      </c>
      <c r="J7" s="132" t="inlineStr">
        <is>
          <t>Rayon C-E1</t>
        </is>
      </c>
      <c r="K7" s="276" t="inlineStr">
        <is>
          <t>أدوات مكتبية / Matériel Bureau</t>
        </is>
      </c>
      <c r="L7" s="277" t="inlineStr">
        <is>
          <t>تدبيس وربط / Agrafage</t>
        </is>
      </c>
      <c r="M7" s="278" t="inlineStr">
        <is>
          <t>agrafeuse | stapler | دباسة كبيرة</t>
        </is>
      </c>
    </row>
    <row r="8" ht="30" customHeight="1" s="96">
      <c r="A8" s="131" t="inlineStr">
        <is>
          <t>ART-006</t>
        </is>
      </c>
      <c r="B8" s="132" t="inlineStr">
        <is>
          <t>Stylos bille boîte/50</t>
        </is>
      </c>
      <c r="C8" s="133" t="inlineStr">
        <is>
          <t>أقلام حبر جاف</t>
        </is>
      </c>
      <c r="D8" s="134" t="inlineStr">
        <is>
          <t>Boîte</t>
        </is>
      </c>
      <c r="E8" s="134" t="inlineStr">
        <is>
          <t>C</t>
        </is>
      </c>
      <c r="F8" s="135" t="n">
        <v>5</v>
      </c>
      <c r="G8" s="135" t="n">
        <v>30</v>
      </c>
      <c r="H8" s="136" t="n">
        <v>30</v>
      </c>
      <c r="I8" s="132" t="inlineStr">
        <is>
          <t>ENAP Alger</t>
        </is>
      </c>
      <c r="J8" s="132" t="inlineStr">
        <is>
          <t>Rayon A-E1</t>
        </is>
      </c>
      <c r="K8" s="279" t="inlineStr">
        <is>
          <t>أدوات الكتابة / Écriture</t>
        </is>
      </c>
      <c r="L8" s="280" t="inlineStr">
        <is>
          <t>أقلام / Stylos</t>
        </is>
      </c>
      <c r="M8" s="278" t="inlineStr">
        <is>
          <t>stylo bille | bic | قلم جاف | pen</t>
        </is>
      </c>
    </row>
    <row r="9" ht="30" customHeight="1" s="96">
      <c r="A9" s="131" t="inlineStr">
        <is>
          <t>ART-007</t>
        </is>
      </c>
      <c r="B9" s="132" t="inlineStr">
        <is>
          <t>Registre grand format 5m</t>
        </is>
      </c>
      <c r="C9" s="133" t="inlineStr">
        <is>
          <t>سجل 5م</t>
        </is>
      </c>
      <c r="D9" s="134" t="inlineStr">
        <is>
          <t>Unité</t>
        </is>
      </c>
      <c r="E9" s="134" t="inlineStr">
        <is>
          <t>C</t>
        </is>
      </c>
      <c r="F9" s="135" t="n">
        <v>2</v>
      </c>
      <c r="G9" s="135" t="n">
        <v>10</v>
      </c>
      <c r="H9" s="136" t="n">
        <v>300</v>
      </c>
      <c r="I9" s="132" t="inlineStr">
        <is>
          <t>ENAP Alger</t>
        </is>
      </c>
      <c r="J9" s="132" t="inlineStr">
        <is>
          <t>Rayon A-E2</t>
        </is>
      </c>
      <c r="K9" s="276" t="inlineStr">
        <is>
          <t>سجلات إدارية / Registres</t>
        </is>
      </c>
      <c r="L9" s="277" t="inlineStr">
        <is>
          <t>دفاتر وسجلات / Cahiers</t>
        </is>
      </c>
      <c r="M9" s="278" t="inlineStr">
        <is>
          <t>registre 5m | grand registre | سجل إداري</t>
        </is>
      </c>
    </row>
    <row r="10" ht="30" customHeight="1" s="96">
      <c r="A10" s="131" t="inlineStr">
        <is>
          <t>ART-008</t>
        </is>
      </c>
      <c r="B10" s="132" t="inlineStr">
        <is>
          <t>Encre tampon</t>
        </is>
      </c>
      <c r="C10" s="133" t="inlineStr">
        <is>
          <t>حبر الختم</t>
        </is>
      </c>
      <c r="D10" s="134" t="inlineStr">
        <is>
          <t>Unité</t>
        </is>
      </c>
      <c r="E10" s="134" t="inlineStr">
        <is>
          <t>C</t>
        </is>
      </c>
      <c r="F10" s="135" t="n">
        <v>2</v>
      </c>
      <c r="G10" s="135" t="n">
        <v>10</v>
      </c>
      <c r="H10" s="136" t="n">
        <v>200</v>
      </c>
      <c r="I10" s="132" t="inlineStr">
        <is>
          <t>Bureau Plus</t>
        </is>
      </c>
      <c r="J10" s="132" t="inlineStr">
        <is>
          <t>Rayon C-E2</t>
        </is>
      </c>
      <c r="K10" s="279" t="inlineStr">
        <is>
          <t>أدوات مكتبية / Matériel Bureau</t>
        </is>
      </c>
      <c r="L10" s="280" t="inlineStr">
        <is>
          <t>ختم وطباعة / Tampon</t>
        </is>
      </c>
      <c r="M10" s="278" t="inlineStr">
        <is>
          <t>encre tampon | pad ink | حبر الختم الرسمي</t>
        </is>
      </c>
    </row>
    <row r="11" ht="30" customHeight="1" s="96">
      <c r="A11" s="131" t="inlineStr">
        <is>
          <t>ART-009</t>
        </is>
      </c>
      <c r="B11" s="132" t="inlineStr">
        <is>
          <t>Sous-chemise carton</t>
        </is>
      </c>
      <c r="C11" s="133" t="inlineStr">
        <is>
          <t>ملف (sous-chemise)</t>
        </is>
      </c>
      <c r="D11" s="134" t="inlineStr">
        <is>
          <t>Unité</t>
        </is>
      </c>
      <c r="E11" s="134" t="inlineStr">
        <is>
          <t>C</t>
        </is>
      </c>
      <c r="F11" s="135" t="n">
        <v>10</v>
      </c>
      <c r="G11" s="135" t="n">
        <v>100</v>
      </c>
      <c r="H11" s="136" t="n">
        <v>50</v>
      </c>
      <c r="I11" s="132" t="inlineStr">
        <is>
          <t>ENAP Alger</t>
        </is>
      </c>
      <c r="J11" s="132" t="inlineStr">
        <is>
          <t>Rayon A-E1</t>
        </is>
      </c>
      <c r="K11" s="276" t="inlineStr">
        <is>
          <t>أرشيف وتخزين / Archivage</t>
        </is>
      </c>
      <c r="L11" s="277" t="inlineStr">
        <is>
          <t>علب وملفات / Boîtes</t>
        </is>
      </c>
      <c r="M11" s="278" t="inlineStr">
        <is>
          <t>sous-chemise | ملف كرتوني | ملف أصفر | chemise carton</t>
        </is>
      </c>
    </row>
    <row r="12" ht="30" customHeight="1" s="96">
      <c r="A12" s="131" t="inlineStr">
        <is>
          <t>ART-010</t>
        </is>
      </c>
      <c r="B12" s="132" t="inlineStr">
        <is>
          <t>Chemise cartonnée</t>
        </is>
      </c>
      <c r="C12" s="133" t="inlineStr">
        <is>
          <t>ملف (Chemise)</t>
        </is>
      </c>
      <c r="D12" s="134" t="inlineStr">
        <is>
          <t>Unité</t>
        </is>
      </c>
      <c r="E12" s="134" t="inlineStr">
        <is>
          <t>C</t>
        </is>
      </c>
      <c r="F12" s="135" t="n">
        <v>5</v>
      </c>
      <c r="G12" s="135" t="n">
        <v>50</v>
      </c>
      <c r="H12" s="136" t="n">
        <v>80</v>
      </c>
      <c r="I12" s="132" t="inlineStr">
        <is>
          <t>ENAP Alger</t>
        </is>
      </c>
      <c r="J12" s="132" t="inlineStr">
        <is>
          <t>Rayon A-E1</t>
        </is>
      </c>
      <c r="K12" s="279" t="inlineStr">
        <is>
          <t>أرشيف وتخزين / Archivage</t>
        </is>
      </c>
      <c r="L12" s="280" t="inlineStr">
        <is>
          <t>علب وملفات / Boîtes</t>
        </is>
      </c>
      <c r="M12" s="278" t="inlineStr">
        <is>
          <t>chemise | ملف عادي | ملف A4 | folder</t>
        </is>
      </c>
    </row>
    <row r="13" ht="30" customHeight="1" s="96">
      <c r="A13" s="131" t="inlineStr">
        <is>
          <t>ART-011</t>
        </is>
      </c>
      <c r="B13" s="132" t="inlineStr">
        <is>
          <t>Rouleau papier fax</t>
        </is>
      </c>
      <c r="C13" s="133" t="inlineStr">
        <is>
          <t>بكرة الفاكس</t>
        </is>
      </c>
      <c r="D13" s="134" t="inlineStr">
        <is>
          <t>Rouleau</t>
        </is>
      </c>
      <c r="E13" s="134" t="inlineStr">
        <is>
          <t>C</t>
        </is>
      </c>
      <c r="F13" s="135" t="n">
        <v>1</v>
      </c>
      <c r="G13" s="135" t="n">
        <v>5</v>
      </c>
      <c r="H13" s="136" t="n">
        <v>400</v>
      </c>
      <c r="I13" s="132" t="inlineStr">
        <is>
          <t>Bureautique Oran</t>
        </is>
      </c>
      <c r="J13" s="132" t="inlineStr">
        <is>
          <t>Rayon B-E3</t>
        </is>
      </c>
      <c r="K13" s="276" t="inlineStr">
        <is>
          <t>مستهلكات إعلام آلي / Consommables IT</t>
        </is>
      </c>
      <c r="L13" s="277" t="inlineStr">
        <is>
          <t>فاكس وطابعة / Fax</t>
        </is>
      </c>
      <c r="M13" s="278" t="inlineStr">
        <is>
          <t>rouleau fax | papier fax | بكرة الفاكس الحراري</t>
        </is>
      </c>
    </row>
    <row r="14" ht="30" customHeight="1" s="96">
      <c r="A14" s="131" t="inlineStr">
        <is>
          <t>ART-012</t>
        </is>
      </c>
      <c r="B14" s="132" t="inlineStr">
        <is>
          <t>Marqueur permanent noir</t>
        </is>
      </c>
      <c r="C14" s="133" t="inlineStr">
        <is>
          <t>قلم تحديد أسود</t>
        </is>
      </c>
      <c r="D14" s="134" t="inlineStr">
        <is>
          <t>Unité</t>
        </is>
      </c>
      <c r="E14" s="134" t="inlineStr">
        <is>
          <t>C</t>
        </is>
      </c>
      <c r="F14" s="135" t="n">
        <v>5</v>
      </c>
      <c r="G14" s="135" t="n">
        <v>30</v>
      </c>
      <c r="H14" s="136" t="n">
        <v>50</v>
      </c>
      <c r="I14" s="132" t="inlineStr">
        <is>
          <t>ENAP Alger</t>
        </is>
      </c>
      <c r="J14" s="132" t="inlineStr">
        <is>
          <t>Rayon A-E1</t>
        </is>
      </c>
      <c r="K14" s="279" t="inlineStr">
        <is>
          <t>أدوات الكتابة / Écriture</t>
        </is>
      </c>
      <c r="L14" s="280" t="inlineStr">
        <is>
          <t>أقلام / Stylos</t>
        </is>
      </c>
      <c r="M14" s="278" t="inlineStr">
        <is>
          <t>marqueur | feutre | قلم ماجيك | marker permanent</t>
        </is>
      </c>
    </row>
    <row r="15"/>
    <row r="16" ht="28" customHeight="1" s="96">
      <c r="A16" s="281" t="inlineStr">
        <is>
          <t>📌  Classe A = forte valeur (contrôle mensuel)  |  Classe B = intermédiaire (trimestriel)  |  Classe C = courant (semestriel)  |  Colonne Alias = noms alternatifs pour référence — NE PAS utiliser pour saisie</t>
        </is>
      </c>
    </row>
  </sheetData>
  <mergeCells count="4">
    <mergeCell ref="A1:J1"/>
    <mergeCell ref="A16:M16"/>
    <mergeCell ref="A1:M1"/>
    <mergeCell ref="A16:J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95" min="1" max="1"/>
    <col width="18" customWidth="1" style="95" min="2" max="2"/>
    <col width="40" customWidth="1" style="95" min="3" max="3"/>
    <col width="11" customWidth="1" style="95" min="4" max="4"/>
    <col width="16" customWidth="1" style="95" min="5" max="5"/>
    <col width="8" customWidth="1" style="95" min="6" max="6"/>
    <col width="9" customWidth="1" style="95" min="7" max="8"/>
    <col width="32" customWidth="1" style="95" min="9" max="9"/>
  </cols>
  <sheetData>
    <row r="1" ht="27.75" customHeight="1" s="96">
      <c r="A1" s="138" t="inlineStr">
        <is>
          <t>CATALOGUE DES FOURNISSEURS  —  Évaluation pondérée (note /10)</t>
        </is>
      </c>
    </row>
    <row r="2" ht="19.5" customHeight="1" s="96">
      <c r="A2" s="139" t="inlineStr">
        <is>
          <t>Code</t>
        </is>
      </c>
      <c r="B2" s="139" t="inlineStr">
        <is>
          <t>Nom abrégé</t>
        </is>
      </c>
      <c r="C2" s="139" t="inlineStr">
        <is>
          <t>Raison sociale</t>
        </is>
      </c>
      <c r="D2" s="139" t="inlineStr">
        <is>
          <t>Wilaya</t>
        </is>
      </c>
      <c r="E2" s="139" t="inlineStr">
        <is>
          <t>Téléphone</t>
        </is>
      </c>
      <c r="F2" s="139" t="inlineStr">
        <is>
          <t>Classe</t>
        </is>
      </c>
      <c r="G2" s="139" t="inlineStr">
        <is>
          <t>Délai (j)</t>
        </is>
      </c>
      <c r="H2" s="139" t="inlineStr">
        <is>
          <t>Note /100</t>
        </is>
      </c>
      <c r="I2" s="139" t="inlineStr">
        <is>
          <t>Spécialité</t>
        </is>
      </c>
    </row>
    <row r="3" ht="15" customHeight="1" s="96">
      <c r="A3" s="140" t="inlineStr">
        <is>
          <t>F-001</t>
        </is>
      </c>
      <c r="B3" s="141" t="inlineStr">
        <is>
          <t>ENAP Alger</t>
        </is>
      </c>
      <c r="C3" s="141" t="inlineStr">
        <is>
          <t>Entreprise Nat. des Arts et Papeteries</t>
        </is>
      </c>
      <c r="D3" s="141" t="inlineStr">
        <is>
          <t>Alger</t>
        </is>
      </c>
      <c r="E3" s="141" t="inlineStr">
        <is>
          <t>021-XX-XX-XX</t>
        </is>
      </c>
      <c r="F3" s="140" t="inlineStr">
        <is>
          <t>A</t>
        </is>
      </c>
      <c r="G3" s="140" t="n">
        <v>8</v>
      </c>
      <c r="H3" s="140" t="n">
        <v>95</v>
      </c>
      <c r="I3" s="141" t="inlineStr">
        <is>
          <t>Articles papeterie, impression</t>
        </is>
      </c>
    </row>
    <row r="4" ht="15" customHeight="1" s="96">
      <c r="A4" s="142" t="inlineStr">
        <is>
          <t>F-002</t>
        </is>
      </c>
      <c r="B4" s="143" t="inlineStr">
        <is>
          <t>Bureautique Oran</t>
        </is>
      </c>
      <c r="C4" s="143" t="inlineStr">
        <is>
          <t>Fournisseur bureautique multi-services</t>
        </is>
      </c>
      <c r="D4" s="143" t="inlineStr">
        <is>
          <t>Oran</t>
        </is>
      </c>
      <c r="E4" s="143" t="inlineStr">
        <is>
          <t>041-XX-XX-XX</t>
        </is>
      </c>
      <c r="F4" s="142" t="inlineStr">
        <is>
          <t>A</t>
        </is>
      </c>
      <c r="G4" s="142" t="n">
        <v>5</v>
      </c>
      <c r="H4" s="142" t="n">
        <v>90</v>
      </c>
      <c r="I4" s="143" t="inlineStr">
        <is>
          <t>Consommables informatiques, toners</t>
        </is>
      </c>
    </row>
    <row r="5" ht="15" customHeight="1" s="96">
      <c r="A5" s="140" t="inlineStr">
        <is>
          <t>F-003</t>
        </is>
      </c>
      <c r="B5" s="141" t="inlineStr">
        <is>
          <t>Bureau Plus</t>
        </is>
      </c>
      <c r="C5" s="141" t="inlineStr">
        <is>
          <t>Articles de bureau et consommables</t>
        </is>
      </c>
      <c r="D5" s="141" t="inlineStr">
        <is>
          <t>Mascara</t>
        </is>
      </c>
      <c r="E5" s="141" t="inlineStr">
        <is>
          <t>045-XX-XX-XX</t>
        </is>
      </c>
      <c r="F5" s="140" t="inlineStr">
        <is>
          <t>B</t>
        </is>
      </c>
      <c r="G5" s="140" t="n">
        <v>7</v>
      </c>
      <c r="H5" s="140" t="n">
        <v>80</v>
      </c>
      <c r="I5" s="141" t="inlineStr">
        <is>
          <t>Matériel de bureau, classement</t>
        </is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" customWidth="1" style="96" min="1" max="1"/>
    <col width="26" customWidth="1" style="96" min="2" max="2"/>
    <col width="32" customWidth="1" style="96" min="3" max="3"/>
    <col width="20" customWidth="1" style="96" min="4" max="4"/>
    <col width="44" customWidth="1" style="96" min="5" max="5"/>
  </cols>
  <sheetData>
    <row r="1" ht="28" customHeight="1" s="96">
      <c r="A1" s="327" t="inlineStr">
        <is>
          <t>CONVENTIONS — قواعد التسمية والترميز | مديرية التربية — ولاية البيض</t>
        </is>
      </c>
    </row>
    <row r="2" ht="28" customHeight="1" s="96">
      <c r="A2" s="328" t="inlineStr">
        <is>
          <t>هذه الورقة تُوثِّق الاصطلاحات المعتمدة في النظام لضمان الاتساق بين جميع الوثائق والمستخدمين.  |  لا تُعدِّل هذه الأرقام بعد البدء بالاستخدام الفعلي.</t>
        </is>
      </c>
    </row>
    <row r="3" ht="24" customHeight="1" s="96">
      <c r="A3" s="329" t="inlineStr">
        <is>
          <t>▸  أولاً — ترقيم الوثائق الإدارية</t>
        </is>
      </c>
    </row>
    <row r="4" ht="20" customHeight="1" s="96">
      <c r="A4" s="330" t="inlineStr">
        <is>
          <t>القاعدة العامة: رمز الوثيقة — السنة — الرقم التسلسلي</t>
        </is>
      </c>
    </row>
    <row r="5" ht="26" customHeight="1" s="96">
      <c r="A5" s="331" t="inlineStr">
        <is>
          <t>DA</t>
        </is>
      </c>
      <c r="B5" s="332" t="inlineStr">
        <is>
          <t>DA-SSSS-NNN</t>
        </is>
      </c>
      <c r="C5" s="333" t="inlineStr">
        <is>
          <t>DA-2026-001</t>
        </is>
      </c>
      <c r="D5" s="334" t="inlineStr">
        <is>
          <t>قاعدة ثابتة / Format :</t>
        </is>
      </c>
      <c r="E5" s="335" t="inlineStr">
        <is>
          <t>طلب الاحتياج الداخلي — يصدر عن المصلحة الطالبة قبل أي عملية شراء. SSSS=السنة. NNN=رقم متسلسل يبدأ من 001 كل سنة.</t>
        </is>
      </c>
    </row>
    <row r="6" ht="26" customHeight="1" s="96">
      <c r="A6" s="336" t="inlineStr">
        <is>
          <t>BC</t>
        </is>
      </c>
      <c r="B6" s="337" t="inlineStr">
        <is>
          <t>BC-SSSS-NNN</t>
        </is>
      </c>
      <c r="C6" s="338" t="inlineStr">
        <is>
          <t>BC-2026-007</t>
        </is>
      </c>
      <c r="D6" s="334" t="inlineStr">
        <is>
          <t>قاعدة ثابتة / Format :</t>
        </is>
      </c>
      <c r="E6" s="339" t="inlineStr">
        <is>
          <t>أمر الشراء — يصدر عن المديرية للمورد بعد اعتماد DA. يُحال دائماً لرقم DA في الخانة المخصصة.</t>
        </is>
      </c>
    </row>
    <row r="7" ht="26" customHeight="1" s="96">
      <c r="A7" s="331" t="inlineStr">
        <is>
          <t>BR</t>
        </is>
      </c>
      <c r="B7" s="332" t="inlineStr">
        <is>
          <t>BR-SSSS-NNN</t>
        </is>
      </c>
      <c r="C7" s="333" t="inlineStr">
        <is>
          <t>BR-2026-003</t>
        </is>
      </c>
      <c r="D7" s="334" t="inlineStr">
        <is>
          <t>قاعدة ثابتة / Format :</t>
        </is>
      </c>
      <c r="E7" s="335" t="inlineStr">
        <is>
          <t>وصل الاستلام — يُحرَّر عند وصول البضاعة من المورد. يُحال لرقم BC المقابل. يُحفَظ في ملف اللوازم.</t>
        </is>
      </c>
    </row>
    <row r="8" ht="26" customHeight="1" s="96">
      <c r="A8" s="336" t="inlineStr">
        <is>
          <t>BS</t>
        </is>
      </c>
      <c r="B8" s="337" t="inlineStr">
        <is>
          <t>BS-SSSS-NNN</t>
        </is>
      </c>
      <c r="C8" s="338" t="inlineStr">
        <is>
          <t>BS-2026-012</t>
        </is>
      </c>
      <c r="D8" s="334" t="inlineStr">
        <is>
          <t>قاعدة ثابتة / Format :</t>
        </is>
      </c>
      <c r="E8" s="339" t="inlineStr">
        <is>
          <t>وصل الخروج/الصرف — يُحرَّر عند تسليم المواد للمصلحة الطالبة. يُحال لرقم DA عند الإمكان.</t>
        </is>
      </c>
    </row>
    <row r="9" ht="26" customHeight="1" s="96">
      <c r="A9" s="331" t="inlineStr">
        <is>
          <t>BC_Comp</t>
        </is>
      </c>
      <c r="B9" s="332" t="inlineStr">
        <is>
          <t>BC-2026-007-C</t>
        </is>
      </c>
      <c r="C9" s="333" t="inlineStr">
        <is>
          <t>—</t>
        </is>
      </c>
      <c r="D9" s="334" t="inlineStr">
        <is>
          <t>قاعدة ثابتة / Format :</t>
        </is>
      </c>
      <c r="E9" s="335" t="inlineStr">
        <is>
          <t>إضافة حرف C (Complément) لأوامر الشراء التكميلية لنفس الطلبية — نادر الاستخدام.</t>
        </is>
      </c>
    </row>
    <row r="11" ht="24" customHeight="1" s="96">
      <c r="A11" s="329" t="inlineStr">
        <is>
          <t>▸  ثانياً — ترميز المواد (Code Article)</t>
        </is>
      </c>
    </row>
    <row r="12" ht="26" customHeight="1" s="96">
      <c r="A12" s="336" t="inlineStr">
        <is>
          <t>ART</t>
        </is>
      </c>
      <c r="B12" s="337" t="inlineStr">
        <is>
          <t>ART-NNN</t>
        </is>
      </c>
      <c r="C12" s="338" t="inlineStr">
        <is>
          <t>ART-001</t>
        </is>
      </c>
      <c r="D12" s="334" t="inlineStr">
        <is>
          <t>قاعدة ثابتة / Format :</t>
        </is>
      </c>
      <c r="E12" s="339" t="inlineStr">
        <is>
          <t>كل مادة تأخذ رمزاً فريداً لا يتغير أبداً بعد تسجيلها في النظام. NNN يبدأ من 001 ويزيد بـ 1 لكل مادة جديدة. لا تُعيد استخدام رمز مادة محذوفة.</t>
        </is>
      </c>
    </row>
    <row r="13" ht="26" customHeight="1" s="96">
      <c r="A13" s="331" t="inlineStr">
        <is>
          <t>INC</t>
        </is>
      </c>
      <c r="B13" s="332" t="inlineStr">
        <is>
          <t>INC-01</t>
        </is>
      </c>
      <c r="C13" s="333" t="inlineStr">
        <is>
          <t>INC-01</t>
        </is>
      </c>
      <c r="D13" s="334" t="inlineStr">
        <is>
          <t>قاعدة ثابتة / Format :</t>
        </is>
      </c>
      <c r="E13" s="335" t="inlineStr">
        <is>
          <t>للمواد غير المعرَّفة أو التي لم تُصنَّف بعد. تُعالَج قبل أي عملية إدخال رسمية.</t>
        </is>
      </c>
    </row>
    <row r="15" ht="24" customHeight="1" s="96">
      <c r="A15" s="329" t="inlineStr">
        <is>
          <t>▸  ثالثاً — هرمية الفئات (Catégories)</t>
        </is>
      </c>
    </row>
    <row r="16" ht="22" customHeight="1" s="96">
      <c r="A16" s="340" t="inlineStr">
        <is>
          <t>1</t>
        </is>
      </c>
      <c r="B16" s="341" t="inlineStr">
        <is>
          <t>لوازم مكتبية</t>
        </is>
      </c>
      <c r="C16" s="342" t="inlineStr">
        <is>
          <t>Fournitures Bureau</t>
        </is>
      </c>
      <c r="D16" s="343" t="inlineStr">
        <is>
          <t>ورق الطباعة</t>
        </is>
      </c>
      <c r="E16" s="335" t="inlineStr">
        <is>
          <t>ورق — أقلام — ملفات — دفاتر — سجلات إدارية</t>
        </is>
      </c>
    </row>
    <row r="17" ht="22" customHeight="1" s="96">
      <c r="A17" s="344" t="inlineStr">
        <is>
          <t>2</t>
        </is>
      </c>
      <c r="B17" s="345" t="inlineStr">
        <is>
          <t>مستهلكات إعلام آلي</t>
        </is>
      </c>
      <c r="C17" s="346" t="inlineStr">
        <is>
          <t>Consommables IT</t>
        </is>
      </c>
      <c r="D17" s="326" t="inlineStr">
        <is>
          <t>حبر وتونر</t>
        </is>
      </c>
      <c r="E17" s="339" t="inlineStr">
        <is>
          <t>تونر الطابعة — خراطيش الحبر — بكرة الفاكس</t>
        </is>
      </c>
    </row>
    <row r="18" ht="22" customHeight="1" s="96">
      <c r="A18" s="340" t="inlineStr">
        <is>
          <t>3</t>
        </is>
      </c>
      <c r="B18" s="341" t="inlineStr">
        <is>
          <t>أرشيف وتخزين</t>
        </is>
      </c>
      <c r="C18" s="342" t="inlineStr">
        <is>
          <t>Archivage &amp; Classement</t>
        </is>
      </c>
      <c r="D18" s="343" t="inlineStr">
        <is>
          <t>علب وملفات</t>
        </is>
      </c>
      <c r="E18" s="335" t="inlineStr">
        <is>
          <t>علب الأرشيف — الملفات الكرتونية — ملفات A4</t>
        </is>
      </c>
    </row>
    <row r="19" ht="22" customHeight="1" s="96">
      <c r="A19" s="344" t="inlineStr">
        <is>
          <t>4</t>
        </is>
      </c>
      <c r="B19" s="345" t="inlineStr">
        <is>
          <t>أدوات مكتبية</t>
        </is>
      </c>
      <c r="C19" s="346" t="inlineStr">
        <is>
          <t>Matériel Bureau</t>
        </is>
      </c>
      <c r="D19" s="326" t="inlineStr">
        <is>
          <t>تدبيس وربط</t>
        </is>
      </c>
      <c r="E19" s="339" t="inlineStr">
        <is>
          <t>الدباسة — دبابيس — مشابك — ختم ومساحة</t>
        </is>
      </c>
    </row>
    <row r="20" ht="22" customHeight="1" s="96">
      <c r="A20" s="340" t="inlineStr">
        <is>
          <t>5</t>
        </is>
      </c>
      <c r="B20" s="341" t="inlineStr">
        <is>
          <t>أدوات الكتابة</t>
        </is>
      </c>
      <c r="C20" s="342" t="inlineStr">
        <is>
          <t>Écriture &amp; Dessin</t>
        </is>
      </c>
      <c r="D20" s="343" t="inlineStr">
        <is>
          <t>أقلام</t>
        </is>
      </c>
      <c r="E20" s="335" t="inlineStr">
        <is>
          <t>قلم جاف — قلم تحديد — قلم ماجيك — ممحاة</t>
        </is>
      </c>
    </row>
    <row r="21" ht="22" customHeight="1" s="96">
      <c r="A21" s="344" t="inlineStr">
        <is>
          <t>6</t>
        </is>
      </c>
      <c r="B21" s="345" t="inlineStr">
        <is>
          <t>سجلات إدارية</t>
        </is>
      </c>
      <c r="C21" s="346" t="inlineStr">
        <is>
          <t>Registres Administratifs</t>
        </is>
      </c>
      <c r="D21" s="326" t="inlineStr">
        <is>
          <t>دفاتر وسجلات</t>
        </is>
      </c>
      <c r="E21" s="339" t="inlineStr">
        <is>
          <t>سجل 5م — دفتر كبير — دفتر حضور</t>
        </is>
      </c>
    </row>
    <row r="23" ht="24" customHeight="1" s="96">
      <c r="A23" s="329" t="inlineStr">
        <is>
          <t>▸  رابعاً — قواعد التسمية الرسمية (قاعدة ذهبية)</t>
        </is>
      </c>
    </row>
    <row r="24" ht="28" customHeight="1" s="96">
      <c r="A24" s="331" t="inlineStr">
        <is>
          <t>★</t>
        </is>
      </c>
      <c r="B24" s="347" t="inlineStr">
        <is>
          <t>التسمية الرسمية (FR): مُحددة، معيارية، تشمل المواصفة التقنية</t>
        </is>
      </c>
      <c r="D24" s="348" t="inlineStr">
        <is>
          <t>مثال صحيح: "Rame papier A4 80g/m²"  |  خاطئ: "ورق أبيض" أو "Rame A4"</t>
        </is>
      </c>
    </row>
    <row r="25" ht="28" customHeight="1" s="96">
      <c r="A25" s="336" t="inlineStr">
        <is>
          <t>★</t>
        </is>
      </c>
      <c r="B25" s="349" t="inlineStr">
        <is>
          <t>التسمية الرسمية (AR): تُكتَب مرة واحدة فقط في ورقة ARTICLES — لا يُكتَب الاسم يدوياً في أي وثيقة أخرى</t>
        </is>
      </c>
      <c r="D25" s="350" t="inlineStr">
        <is>
          <t>الاسم يُجلَب تلقائياً بـ VLOOKUP من رمز المادة</t>
        </is>
      </c>
    </row>
    <row r="26" ht="28" customHeight="1" s="96">
      <c r="A26" s="331" t="inlineStr">
        <is>
          <t>★</t>
        </is>
      </c>
      <c r="B26" s="347" t="inlineStr">
        <is>
          <t>الأسماء البديلة (Alias): تُوثَّق في العمود 13 من ARTICLES للاسترشاد — لا تُستخدَم للإدخال</t>
        </is>
      </c>
      <c r="D26" s="348" t="inlineStr">
        <is>
          <t>مثال: ART-001 → alias: "Rame A4 | papier blanc | ورق مكتبي" — كلها خاطئة للإدخال</t>
        </is>
      </c>
    </row>
    <row r="27" ht="28" customHeight="1" s="96">
      <c r="A27" s="336" t="inlineStr">
        <is>
          <t>★</t>
        </is>
      </c>
      <c r="B27" s="349" t="inlineStr">
        <is>
          <t>الوحدة: تُحدَّد مرة واحدة في ARTICLES — رزمة / وحدة / علبة / رولو — لا تخلط بين رزمة وقطعة</t>
        </is>
      </c>
      <c r="D27" s="350" t="inlineStr">
        <is>
          <t>مثال: ART-001 وحدته Rame (رزمة 500 ورقة) وليس "ورقة" أو "حزمة"</t>
        </is>
      </c>
    </row>
    <row r="30" ht="14" customHeight="1" s="96">
      <c r="A30" s="351" t="inlineStr">
        <is>
          <t>ERP_Academie_v9  |  مديرية التربية — ولاية البيض  |  ماحي كمال عبد الغني — TAG1801  |  02/04/2026</t>
        </is>
      </c>
    </row>
  </sheetData>
  <mergeCells count="16">
    <mergeCell ref="D25:E25"/>
    <mergeCell ref="B24:C24"/>
    <mergeCell ref="A4:E4"/>
    <mergeCell ref="A30:H30"/>
    <mergeCell ref="D24:E24"/>
    <mergeCell ref="A2:E2"/>
    <mergeCell ref="B25:C25"/>
    <mergeCell ref="A15:E15"/>
    <mergeCell ref="D27:E27"/>
    <mergeCell ref="A11:E11"/>
    <mergeCell ref="A1:E1"/>
    <mergeCell ref="A23:E23"/>
    <mergeCell ref="B26:C26"/>
    <mergeCell ref="B27:C27"/>
    <mergeCell ref="D26:E2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5" min="1" max="1"/>
    <col width="11" customWidth="1" style="95" min="2" max="2"/>
    <col width="28" customWidth="1" style="95" min="3" max="3"/>
    <col width="9" customWidth="1" style="95" min="4" max="4"/>
    <col width="10" customWidth="1" style="95" min="5" max="5"/>
    <col width="14" customWidth="1" style="95" min="6" max="7"/>
    <col width="11" customWidth="1" style="95" min="8" max="9"/>
    <col width="12" customWidth="1" style="95" min="10" max="10"/>
    <col width="14" customWidth="1" style="95" min="11" max="12"/>
    <col width="28" customWidth="1" style="95" min="13" max="13"/>
  </cols>
  <sheetData>
    <row r="1" ht="27.75" customHeight="1" s="96">
      <c r="A1" s="144" t="inlineStr">
        <is>
          <t>REGISTRE DES MOUVEMENTS  —  ENTRÉES / SORTIES  [v7 | OPT-01 range 500 | OPT-02 MAX(1,…) CMUP | FIX-01 no prefix]</t>
        </is>
      </c>
    </row>
    <row r="2" ht="48" customHeight="1" s="96">
      <c r="A2" s="139" t="inlineStr">
        <is>
          <t>Date</t>
        </is>
      </c>
      <c r="B2" s="139" t="inlineStr">
        <is>
          <t>Code Article</t>
        </is>
      </c>
      <c r="C2" s="139" t="inlineStr">
        <is>
          <t>Désignation (auto)</t>
        </is>
      </c>
      <c r="D2" s="139" t="inlineStr">
        <is>
          <t>Type
IN/OUT</t>
        </is>
      </c>
      <c r="E2" s="139" t="inlineStr">
        <is>
          <t>Quantité</t>
        </is>
      </c>
      <c r="F2" s="139" t="inlineStr">
        <is>
          <t>Prix Unit. (DA)
[AUTO-VLOOKUP]</t>
        </is>
      </c>
      <c r="G2" s="139" t="inlineStr">
        <is>
          <t>Valeur (DA)</t>
        </is>
      </c>
      <c r="H2" s="139" t="inlineStr">
        <is>
          <t>Réf. Doc</t>
        </is>
      </c>
      <c r="I2" s="139" t="inlineStr">
        <is>
          <t>Prix Cat.
(VLOOKUP col I)</t>
        </is>
      </c>
      <c r="J2" s="139" t="inlineStr">
        <is>
          <t>Stock Net
(IN−OUT col J)</t>
        </is>
      </c>
      <c r="K2" s="139" t="inlineStr">
        <is>
          <t>Valeur IN
Cumulée (K)</t>
        </is>
      </c>
      <c r="L2" s="139" t="inlineStr">
        <is>
          <t>CMUP Exact
(L=K÷MAX(1,ΣIN))
[OPT-02]</t>
        </is>
      </c>
      <c r="M2" s="139" t="inlineStr">
        <is>
          <t>Notes</t>
        </is>
      </c>
    </row>
    <row r="3" ht="15" customHeight="1" s="96">
      <c r="A3" s="145" t="n">
        <v>46022</v>
      </c>
      <c r="B3" s="131" t="inlineStr">
        <is>
          <t>ART-001</t>
        </is>
      </c>
      <c r="C3" s="146">
        <f>IFERROR(VLOOKUP(B3,ARTICLES!$A$3:$G$500,2,0),"—")</f>
        <v/>
      </c>
      <c r="D3" s="147" t="inlineStr">
        <is>
          <t>IN</t>
        </is>
      </c>
      <c r="E3" s="148" t="n">
        <v>405</v>
      </c>
      <c r="F3" s="148">
        <f>IFERROR(VLOOKUP(B3,ARTICLES!$A$3:$G$500,7,0),0)</f>
        <v/>
      </c>
      <c r="G3" s="148">
        <f>E3*F3</f>
        <v/>
      </c>
      <c r="H3" s="149" t="inlineStr">
        <is>
          <t>SI-2025</t>
        </is>
      </c>
      <c r="I3" s="150">
        <f>IFERROR(VLOOKUP(B3,ARTICLES!$A$3:$G$500,7,0),0)</f>
        <v/>
      </c>
      <c r="J3" s="151">
        <f>SUMPRODUCT(($B$3:$B3=B3)*($D$3:$D3="IN")*$E$3:$E3)-SUMPRODUCT(($B$3:$B3=B3)*($D$3:$D3="OUT")*$E$3:$E3)</f>
        <v/>
      </c>
      <c r="K3" s="151">
        <f>SUMPRODUCT(($B$3:$B3=B3)*($D$3:$D3="IN")*$E$3:$E3*$F$3:$F3)</f>
        <v/>
      </c>
      <c r="L3" s="152">
        <f>IFERROR(K3/MAX(1,SUMPRODUCT(($B$3:$B3=B3)*($D$3:$D3="IN")*$E$3:$E3)),IFERROR(VLOOKUP(B3,ARTICLES!$A$3:$G$500,7,0),0))</f>
        <v/>
      </c>
      <c r="M3" s="153" t="inlineStr">
        <is>
          <t>رصيد افتتاحي 31/12/2025</t>
        </is>
      </c>
    </row>
    <row r="4" ht="15" customHeight="1" s="96">
      <c r="A4" s="154" t="n">
        <v>46030</v>
      </c>
      <c r="B4" s="125" t="inlineStr">
        <is>
          <t>ART-001</t>
        </is>
      </c>
      <c r="C4" s="155">
        <f>IFERROR(VLOOKUP(B4,ARTICLES!$A$3:$G$500,2,0),"—")</f>
        <v/>
      </c>
      <c r="D4" s="156" t="inlineStr">
        <is>
          <t>OUT</t>
        </is>
      </c>
      <c r="E4" s="157" t="n">
        <v>75</v>
      </c>
      <c r="F4" s="157">
        <f>IFERROR(VLOOKUP(B4,ARTICLES!$A$3:$G$500,7,0),0)</f>
        <v/>
      </c>
      <c r="G4" s="157">
        <f>E4*F4</f>
        <v/>
      </c>
      <c r="H4" s="158" t="inlineStr">
        <is>
          <t>BS-J1-001</t>
        </is>
      </c>
      <c r="I4" s="150">
        <f>IFERROR(VLOOKUP(B4,ARTICLES!$A$3:$G$500,7,0),0)</f>
        <v/>
      </c>
      <c r="J4" s="151">
        <f>SUMPRODUCT(($B$3:$B4=B4)*($D$3:$D4="IN")*$E$3:$E4)-SUMPRODUCT(($B$3:$B4=B4)*($D$3:$D4="OUT")*$E$3:$E4)</f>
        <v/>
      </c>
      <c r="K4" s="151">
        <f>SUMPRODUCT(($B$3:$B4=B4)*($D$3:$D4="IN")*$E$3:$E4*$F$3:$F4)</f>
        <v/>
      </c>
      <c r="L4" s="152">
        <f>IFERROR(K4/MAX(1,SUMPRODUCT(($B$3:$B4=B4)*($D$3:$D4="IN")*$E$3:$E4)),IFERROR(VLOOKUP(B4,ARTICLES!$A$3:$G$500,7,0),0))</f>
        <v/>
      </c>
      <c r="M4" s="159" t="inlineStr">
        <is>
          <t>مصلحة الرواتب + المستخدمين</t>
        </is>
      </c>
    </row>
    <row r="5" ht="15" customHeight="1" s="96">
      <c r="A5" s="154" t="n">
        <v>46037</v>
      </c>
      <c r="B5" s="125" t="inlineStr">
        <is>
          <t>ART-001</t>
        </is>
      </c>
      <c r="C5" s="155">
        <f>IFERROR(VLOOKUP(B5,ARTICLES!$A$3:$G$500,2,0),"—")</f>
        <v/>
      </c>
      <c r="D5" s="156" t="inlineStr">
        <is>
          <t>OUT</t>
        </is>
      </c>
      <c r="E5" s="157" t="n">
        <v>55</v>
      </c>
      <c r="F5" s="157">
        <f>IFERROR(VLOOKUP(B5,ARTICLES!$A$3:$G$500,7,0),0)</f>
        <v/>
      </c>
      <c r="G5" s="157">
        <f>E5*F5</f>
        <v/>
      </c>
      <c r="H5" s="158" t="inlineStr">
        <is>
          <t>BS-J1-002</t>
        </is>
      </c>
      <c r="I5" s="150">
        <f>IFERROR(VLOOKUP(B5,ARTICLES!$A$3:$G$500,7,0),0)</f>
        <v/>
      </c>
      <c r="J5" s="151">
        <f>SUMPRODUCT(($B$3:$B5=B5)*($D$3:$D5="IN")*$E$3:$E5)-SUMPRODUCT(($B$3:$B5=B5)*($D$3:$D5="OUT")*$E$3:$E5)</f>
        <v/>
      </c>
      <c r="K5" s="151">
        <f>SUMPRODUCT(($B$3:$B5=B5)*($D$3:$D5="IN")*$E$3:$E5*$F$3:$F5)</f>
        <v/>
      </c>
      <c r="L5" s="152">
        <f>IFERROR(K5/MAX(1,SUMPRODUCT(($B$3:$B5=B5)*($D$3:$D5="IN")*$E$3:$E5)),IFERROR(VLOOKUP(B5,ARTICLES!$A$3:$G$500,7,0),0))</f>
        <v/>
      </c>
      <c r="M5" s="159" t="inlineStr">
        <is>
          <t>مصلحة الموظفين + الامتحانات</t>
        </is>
      </c>
    </row>
    <row r="6" ht="15" customHeight="1" s="96">
      <c r="A6" s="154" t="n">
        <v>46050</v>
      </c>
      <c r="B6" s="125" t="inlineStr">
        <is>
          <t>ART-001</t>
        </is>
      </c>
      <c r="C6" s="155">
        <f>IFERROR(VLOOKUP(B6,ARTICLES!$A$3:$G$500,2,0),"—")</f>
        <v/>
      </c>
      <c r="D6" s="156" t="inlineStr">
        <is>
          <t>OUT</t>
        </is>
      </c>
      <c r="E6" s="157" t="n">
        <v>40</v>
      </c>
      <c r="F6" s="157">
        <f>IFERROR(VLOOKUP(B6,ARTICLES!$A$3:$G$500,7,0),0)</f>
        <v/>
      </c>
      <c r="G6" s="157">
        <f>E6*F6</f>
        <v/>
      </c>
      <c r="H6" s="158" t="inlineStr">
        <is>
          <t>BS-J1-003</t>
        </is>
      </c>
      <c r="I6" s="150">
        <f>IFERROR(VLOOKUP(B6,ARTICLES!$A$3:$G$500,7,0),0)</f>
        <v/>
      </c>
      <c r="J6" s="151">
        <f>SUMPRODUCT(($B$3:$B6=B6)*($D$3:$D6="IN")*$E$3:$E6)-SUMPRODUCT(($B$3:$B6=B6)*($D$3:$D6="OUT")*$E$3:$E6)</f>
        <v/>
      </c>
      <c r="K6" s="151">
        <f>SUMPRODUCT(($B$3:$B6=B6)*($D$3:$D6="IN")*$E$3:$E6*$F$3:$F6)</f>
        <v/>
      </c>
      <c r="L6" s="152">
        <f>IFERROR(K6/MAX(1,SUMPRODUCT(($B$3:$B6=B6)*($D$3:$D6="IN")*$E$3:$E6)),IFERROR(VLOOKUP(B6,ARTICLES!$A$3:$G$500,7,0),0))</f>
        <v/>
      </c>
      <c r="M6" s="159" t="inlineStr">
        <is>
          <t>عدة مصالح — نهاية يناير</t>
        </is>
      </c>
    </row>
    <row r="7" ht="15" customHeight="1" s="96">
      <c r="A7" s="145" t="n">
        <v>46054</v>
      </c>
      <c r="B7" s="131" t="inlineStr">
        <is>
          <t>ART-002</t>
        </is>
      </c>
      <c r="C7" s="146">
        <f>IFERROR(VLOOKUP(B7,ARTICLES!$A$3:$G$500,2,0),"—")</f>
        <v/>
      </c>
      <c r="D7" s="147" t="inlineStr">
        <is>
          <t>IN</t>
        </is>
      </c>
      <c r="E7" s="148" t="n">
        <v>5</v>
      </c>
      <c r="F7" s="148">
        <f>IFERROR(VLOOKUP(B7,ARTICLES!$A$3:$G$500,7,0),0)</f>
        <v/>
      </c>
      <c r="G7" s="148">
        <f>E7*F7</f>
        <v/>
      </c>
      <c r="H7" s="149" t="inlineStr">
        <is>
          <t>BR-001</t>
        </is>
      </c>
      <c r="I7" s="150">
        <f>IFERROR(VLOOKUP(B7,ARTICLES!$A$3:$G$500,7,0),0)</f>
        <v/>
      </c>
      <c r="J7" s="151">
        <f>SUMPRODUCT(($B$3:$B7=B7)*($D$3:$D7="IN")*$E$3:$E7)-SUMPRODUCT(($B$3:$B7=B7)*($D$3:$D7="OUT")*$E$3:$E7)</f>
        <v/>
      </c>
      <c r="K7" s="151">
        <f>SUMPRODUCT(($B$3:$B7=B7)*($D$3:$D7="IN")*$E$3:$E7*$F$3:$F7)</f>
        <v/>
      </c>
      <c r="L7" s="152">
        <f>IFERROR(K7/MAX(1,SUMPRODUCT(($B$3:$B7=B7)*($D$3:$D7="IN")*$E$3:$E7)),IFERROR(VLOOKUP(B7,ARTICLES!$A$3:$G$500,7,0),0))</f>
        <v/>
      </c>
      <c r="M7" s="153" t="inlineStr">
        <is>
          <t>وصل استلام — Toner G030</t>
        </is>
      </c>
    </row>
    <row r="8" ht="15" customHeight="1" s="96">
      <c r="A8" s="145" t="n">
        <v>46054</v>
      </c>
      <c r="B8" s="131" t="inlineStr">
        <is>
          <t>ART-003</t>
        </is>
      </c>
      <c r="C8" s="146">
        <f>IFERROR(VLOOKUP(B8,ARTICLES!$A$3:$G$500,2,0),"—")</f>
        <v/>
      </c>
      <c r="D8" s="147" t="inlineStr">
        <is>
          <t>IN</t>
        </is>
      </c>
      <c r="E8" s="148" t="n">
        <v>100</v>
      </c>
      <c r="F8" s="148">
        <f>IFERROR(VLOOKUP(B8,ARTICLES!$A$3:$G$500,7,0),0)</f>
        <v/>
      </c>
      <c r="G8" s="148">
        <f>E8*F8</f>
        <v/>
      </c>
      <c r="H8" s="149" t="inlineStr">
        <is>
          <t>BR-001</t>
        </is>
      </c>
      <c r="I8" s="150">
        <f>IFERROR(VLOOKUP(B8,ARTICLES!$A$3:$G$500,7,0),0)</f>
        <v/>
      </c>
      <c r="J8" s="151">
        <f>SUMPRODUCT(($B$3:$B8=B8)*($D$3:$D8="IN")*$E$3:$E8)-SUMPRODUCT(($B$3:$B8=B8)*($D$3:$D8="OUT")*$E$3:$E8)</f>
        <v/>
      </c>
      <c r="K8" s="151">
        <f>SUMPRODUCT(($B$3:$B8=B8)*($D$3:$D8="IN")*$E$3:$E8*$F$3:$F8)</f>
        <v/>
      </c>
      <c r="L8" s="152">
        <f>IFERROR(K8/MAX(1,SUMPRODUCT(($B$3:$B8=B8)*($D$3:$D8="IN")*$E$3:$E8)),IFERROR(VLOOKUP(B8,ARTICLES!$A$3:$G$500,7,0),0))</f>
        <v/>
      </c>
      <c r="M8" s="153" t="inlineStr">
        <is>
          <t>وصل استلام — رزمة ورق A3</t>
        </is>
      </c>
    </row>
    <row r="9" ht="15" customHeight="1" s="96">
      <c r="A9" s="145" t="n">
        <v>46054</v>
      </c>
      <c r="B9" s="131" t="inlineStr">
        <is>
          <t>ART-004</t>
        </is>
      </c>
      <c r="C9" s="146">
        <f>IFERROR(VLOOKUP(B9,ARTICLES!$A$3:$G$500,2,0),"—")</f>
        <v/>
      </c>
      <c r="D9" s="147" t="inlineStr">
        <is>
          <t>IN</t>
        </is>
      </c>
      <c r="E9" s="148" t="n">
        <v>240</v>
      </c>
      <c r="F9" s="148">
        <f>IFERROR(VLOOKUP(B9,ARTICLES!$A$3:$G$500,7,0),0)</f>
        <v/>
      </c>
      <c r="G9" s="148">
        <f>E9*F9</f>
        <v/>
      </c>
      <c r="H9" s="149" t="inlineStr">
        <is>
          <t>SI-001</t>
        </is>
      </c>
      <c r="I9" s="150">
        <f>IFERROR(VLOOKUP(B9,ARTICLES!$A$3:$G$500,7,0),0)</f>
        <v/>
      </c>
      <c r="J9" s="151">
        <f>SUMPRODUCT(($B$3:$B9=B9)*($D$3:$D9="IN")*$E$3:$E9)-SUMPRODUCT(($B$3:$B9=B9)*($D$3:$D9="OUT")*$E$3:$E9)</f>
        <v/>
      </c>
      <c r="K9" s="151">
        <f>SUMPRODUCT(($B$3:$B9=B9)*($D$3:$D9="IN")*$E$3:$E9*$F$3:$F9)</f>
        <v/>
      </c>
      <c r="L9" s="152">
        <f>IFERROR(K9/MAX(1,SUMPRODUCT(($B$3:$B9=B9)*($D$3:$D9="IN")*$E$3:$E9)),IFERROR(VLOOKUP(B9,ARTICLES!$A$3:$G$500,7,0),0))</f>
        <v/>
      </c>
      <c r="M9" s="153" t="inlineStr">
        <is>
          <t>رصيد افتتاحي فيفري</t>
        </is>
      </c>
    </row>
    <row r="10" ht="15" customHeight="1" s="96">
      <c r="A10" s="145" t="n">
        <v>46054</v>
      </c>
      <c r="B10" s="131" t="inlineStr">
        <is>
          <t>ART-005</t>
        </is>
      </c>
      <c r="C10" s="146">
        <f>IFERROR(VLOOKUP(B10,ARTICLES!$A$3:$G$500,2,0),"—")</f>
        <v/>
      </c>
      <c r="D10" s="147" t="inlineStr">
        <is>
          <t>IN</t>
        </is>
      </c>
      <c r="E10" s="148" t="n">
        <v>4</v>
      </c>
      <c r="F10" s="148">
        <f>IFERROR(VLOOKUP(B10,ARTICLES!$A$3:$G$500,7,0),0)</f>
        <v/>
      </c>
      <c r="G10" s="148">
        <f>E10*F10</f>
        <v/>
      </c>
      <c r="H10" s="149" t="inlineStr">
        <is>
          <t>SI-001</t>
        </is>
      </c>
      <c r="I10" s="150">
        <f>IFERROR(VLOOKUP(B10,ARTICLES!$A$3:$G$500,7,0),0)</f>
        <v/>
      </c>
      <c r="J10" s="151">
        <f>SUMPRODUCT(($B$3:$B10=B10)*($D$3:$D10="IN")*$E$3:$E10)-SUMPRODUCT(($B$3:$B10=B10)*($D$3:$D10="OUT")*$E$3:$E10)</f>
        <v/>
      </c>
      <c r="K10" s="151">
        <f>SUMPRODUCT(($B$3:$B10=B10)*($D$3:$D10="IN")*$E$3:$E10*$F$3:$F10)</f>
        <v/>
      </c>
      <c r="L10" s="152">
        <f>IFERROR(K10/MAX(1,SUMPRODUCT(($B$3:$B10=B10)*($D$3:$D10="IN")*$E$3:$E10)),IFERROR(VLOOKUP(B10,ARTICLES!$A$3:$G$500,7,0),0))</f>
        <v/>
      </c>
      <c r="M10" s="153" t="inlineStr">
        <is>
          <t>رصيد افتتاحي فيفري</t>
        </is>
      </c>
    </row>
    <row r="11" ht="15" customHeight="1" s="96">
      <c r="A11" s="145" t="n">
        <v>46054</v>
      </c>
      <c r="B11" s="131" t="inlineStr">
        <is>
          <t>ART-006</t>
        </is>
      </c>
      <c r="C11" s="146">
        <f>IFERROR(VLOOKUP(B11,ARTICLES!$A$3:$G$500,2,0),"—")</f>
        <v/>
      </c>
      <c r="D11" s="147" t="inlineStr">
        <is>
          <t>IN</t>
        </is>
      </c>
      <c r="E11" s="148" t="n">
        <v>50</v>
      </c>
      <c r="F11" s="148">
        <f>IFERROR(VLOOKUP(B11,ARTICLES!$A$3:$G$500,7,0),0)</f>
        <v/>
      </c>
      <c r="G11" s="148">
        <f>E11*F11</f>
        <v/>
      </c>
      <c r="H11" s="149" t="inlineStr">
        <is>
          <t>SI-001</t>
        </is>
      </c>
      <c r="I11" s="150">
        <f>IFERROR(VLOOKUP(B11,ARTICLES!$A$3:$G$500,7,0),0)</f>
        <v/>
      </c>
      <c r="J11" s="151">
        <f>SUMPRODUCT(($B$3:$B11=B11)*($D$3:$D11="IN")*$E$3:$E11)-SUMPRODUCT(($B$3:$B11=B11)*($D$3:$D11="OUT")*$E$3:$E11)</f>
        <v/>
      </c>
      <c r="K11" s="151">
        <f>SUMPRODUCT(($B$3:$B11=B11)*($D$3:$D11="IN")*$E$3:$E11*$F$3:$F11)</f>
        <v/>
      </c>
      <c r="L11" s="152">
        <f>IFERROR(K11/MAX(1,SUMPRODUCT(($B$3:$B11=B11)*($D$3:$D11="IN")*$E$3:$E11)),IFERROR(VLOOKUP(B11,ARTICLES!$A$3:$G$500,7,0),0))</f>
        <v/>
      </c>
      <c r="M11" s="153" t="inlineStr">
        <is>
          <t>رصيد افتتاحي فيفري</t>
        </is>
      </c>
    </row>
    <row r="12" ht="15" customHeight="1" s="96">
      <c r="A12" s="145" t="n">
        <v>46054</v>
      </c>
      <c r="B12" s="131" t="inlineStr">
        <is>
          <t>ART-007</t>
        </is>
      </c>
      <c r="C12" s="146">
        <f>IFERROR(VLOOKUP(B12,ARTICLES!$A$3:$G$500,2,0),"—")</f>
        <v/>
      </c>
      <c r="D12" s="147" t="inlineStr">
        <is>
          <t>IN</t>
        </is>
      </c>
      <c r="E12" s="148" t="n">
        <v>3</v>
      </c>
      <c r="F12" s="148">
        <f>IFERROR(VLOOKUP(B12,ARTICLES!$A$3:$G$500,7,0),0)</f>
        <v/>
      </c>
      <c r="G12" s="148">
        <f>E12*F12</f>
        <v/>
      </c>
      <c r="H12" s="149" t="inlineStr">
        <is>
          <t>SI-001</t>
        </is>
      </c>
      <c r="I12" s="150">
        <f>IFERROR(VLOOKUP(B12,ARTICLES!$A$3:$G$500,7,0),0)</f>
        <v/>
      </c>
      <c r="J12" s="151">
        <f>SUMPRODUCT(($B$3:$B12=B12)*($D$3:$D12="IN")*$E$3:$E12)-SUMPRODUCT(($B$3:$B12=B12)*($D$3:$D12="OUT")*$E$3:$E12)</f>
        <v/>
      </c>
      <c r="K12" s="151">
        <f>SUMPRODUCT(($B$3:$B12=B12)*($D$3:$D12="IN")*$E$3:$E12*$F$3:$F12)</f>
        <v/>
      </c>
      <c r="L12" s="152">
        <f>IFERROR(K12/MAX(1,SUMPRODUCT(($B$3:$B12=B12)*($D$3:$D12="IN")*$E$3:$E12)),IFERROR(VLOOKUP(B12,ARTICLES!$A$3:$G$500,7,0),0))</f>
        <v/>
      </c>
      <c r="M12" s="153" t="inlineStr">
        <is>
          <t>رصيد افتتاحي فيفري</t>
        </is>
      </c>
    </row>
    <row r="13" ht="15" customHeight="1" s="96">
      <c r="A13" s="145" t="n">
        <v>46054</v>
      </c>
      <c r="B13" s="131" t="inlineStr">
        <is>
          <t>ART-008</t>
        </is>
      </c>
      <c r="C13" s="146">
        <f>IFERROR(VLOOKUP(B13,ARTICLES!$A$3:$G$500,2,0),"—")</f>
        <v/>
      </c>
      <c r="D13" s="147" t="inlineStr">
        <is>
          <t>IN</t>
        </is>
      </c>
      <c r="E13" s="148" t="n">
        <v>5</v>
      </c>
      <c r="F13" s="148">
        <f>IFERROR(VLOOKUP(B13,ARTICLES!$A$3:$G$500,7,0),0)</f>
        <v/>
      </c>
      <c r="G13" s="148">
        <f>E13*F13</f>
        <v/>
      </c>
      <c r="H13" s="149" t="inlineStr">
        <is>
          <t>SI-001</t>
        </is>
      </c>
      <c r="I13" s="150">
        <f>IFERROR(VLOOKUP(B13,ARTICLES!$A$3:$G$500,7,0),0)</f>
        <v/>
      </c>
      <c r="J13" s="151">
        <f>SUMPRODUCT(($B$3:$B13=B13)*($D$3:$D13="IN")*$E$3:$E13)-SUMPRODUCT(($B$3:$B13=B13)*($D$3:$D13="OUT")*$E$3:$E13)</f>
        <v/>
      </c>
      <c r="K13" s="151">
        <f>SUMPRODUCT(($B$3:$B13=B13)*($D$3:$D13="IN")*$E$3:$E13*$F$3:$F13)</f>
        <v/>
      </c>
      <c r="L13" s="152">
        <f>IFERROR(K13/MAX(1,SUMPRODUCT(($B$3:$B13=B13)*($D$3:$D13="IN")*$E$3:$E13)),IFERROR(VLOOKUP(B13,ARTICLES!$A$3:$G$500,7,0),0))</f>
        <v/>
      </c>
      <c r="M13" s="153" t="inlineStr">
        <is>
          <t>رصيد افتتاحي فيفري</t>
        </is>
      </c>
    </row>
    <row r="14" ht="15" customHeight="1" s="96">
      <c r="A14" s="145" t="n">
        <v>46054</v>
      </c>
      <c r="B14" s="131" t="inlineStr">
        <is>
          <t>ART-009</t>
        </is>
      </c>
      <c r="C14" s="146">
        <f>IFERROR(VLOOKUP(B14,ARTICLES!$A$3:$G$500,2,0),"—")</f>
        <v/>
      </c>
      <c r="D14" s="147" t="inlineStr">
        <is>
          <t>IN</t>
        </is>
      </c>
      <c r="E14" s="148" t="n">
        <v>48</v>
      </c>
      <c r="F14" s="148">
        <f>IFERROR(VLOOKUP(B14,ARTICLES!$A$3:$G$500,7,0),0)</f>
        <v/>
      </c>
      <c r="G14" s="148">
        <f>E14*F14</f>
        <v/>
      </c>
      <c r="H14" s="149" t="inlineStr">
        <is>
          <t>SI-001</t>
        </is>
      </c>
      <c r="I14" s="150">
        <f>IFERROR(VLOOKUP(B14,ARTICLES!$A$3:$G$500,7,0),0)</f>
        <v/>
      </c>
      <c r="J14" s="151">
        <f>SUMPRODUCT(($B$3:$B14=B14)*($D$3:$D14="IN")*$E$3:$E14)-SUMPRODUCT(($B$3:$B14=B14)*($D$3:$D14="OUT")*$E$3:$E14)</f>
        <v/>
      </c>
      <c r="K14" s="151">
        <f>SUMPRODUCT(($B$3:$B14=B14)*($D$3:$D14="IN")*$E$3:$E14*$F$3:$F14)</f>
        <v/>
      </c>
      <c r="L14" s="152">
        <f>IFERROR(K14/MAX(1,SUMPRODUCT(($B$3:$B14=B14)*($D$3:$D14="IN")*$E$3:$E14)),IFERROR(VLOOKUP(B14,ARTICLES!$A$3:$G$500,7,0),0))</f>
        <v/>
      </c>
      <c r="M14" s="153" t="inlineStr">
        <is>
          <t>رصيد افتتاحي فيفري</t>
        </is>
      </c>
    </row>
    <row r="15" ht="15" customHeight="1" s="96">
      <c r="A15" s="145" t="n">
        <v>46054</v>
      </c>
      <c r="B15" s="131" t="inlineStr">
        <is>
          <t>ART-010</t>
        </is>
      </c>
      <c r="C15" s="146">
        <f>IFERROR(VLOOKUP(B15,ARTICLES!$A$3:$G$500,2,0),"—")</f>
        <v/>
      </c>
      <c r="D15" s="147" t="inlineStr">
        <is>
          <t>IN</t>
        </is>
      </c>
      <c r="E15" s="148" t="n">
        <v>24</v>
      </c>
      <c r="F15" s="148">
        <f>IFERROR(VLOOKUP(B15,ARTICLES!$A$3:$G$500,7,0),0)</f>
        <v/>
      </c>
      <c r="G15" s="148">
        <f>E15*F15</f>
        <v/>
      </c>
      <c r="H15" s="149" t="inlineStr">
        <is>
          <t>SI-001</t>
        </is>
      </c>
      <c r="I15" s="150">
        <f>IFERROR(VLOOKUP(B15,ARTICLES!$A$3:$G$500,7,0),0)</f>
        <v/>
      </c>
      <c r="J15" s="151">
        <f>SUMPRODUCT(($B$3:$B15=B15)*($D$3:$D15="IN")*$E$3:$E15)-SUMPRODUCT(($B$3:$B15=B15)*($D$3:$D15="OUT")*$E$3:$E15)</f>
        <v/>
      </c>
      <c r="K15" s="151">
        <f>SUMPRODUCT(($B$3:$B15=B15)*($D$3:$D15="IN")*$E$3:$E15*$F$3:$F15)</f>
        <v/>
      </c>
      <c r="L15" s="152">
        <f>IFERROR(K15/MAX(1,SUMPRODUCT(($B$3:$B15=B15)*($D$3:$D15="IN")*$E$3:$E15)),IFERROR(VLOOKUP(B15,ARTICLES!$A$3:$G$500,7,0),0))</f>
        <v/>
      </c>
      <c r="M15" s="153" t="inlineStr">
        <is>
          <t>رصيد افتتاحي فيفري</t>
        </is>
      </c>
    </row>
    <row r="16" ht="15" customHeight="1" s="96">
      <c r="A16" s="145" t="n">
        <v>46054</v>
      </c>
      <c r="B16" s="131" t="inlineStr">
        <is>
          <t>ART-011</t>
        </is>
      </c>
      <c r="C16" s="146">
        <f>IFERROR(VLOOKUP(B16,ARTICLES!$A$3:$G$500,2,0),"—")</f>
        <v/>
      </c>
      <c r="D16" s="147" t="inlineStr">
        <is>
          <t>IN</t>
        </is>
      </c>
      <c r="E16" s="148" t="n">
        <v>2</v>
      </c>
      <c r="F16" s="148">
        <f>IFERROR(VLOOKUP(B16,ARTICLES!$A$3:$G$500,7,0),0)</f>
        <v/>
      </c>
      <c r="G16" s="148">
        <f>E16*F16</f>
        <v/>
      </c>
      <c r="H16" s="149" t="inlineStr">
        <is>
          <t>SI-001</t>
        </is>
      </c>
      <c r="I16" s="150">
        <f>IFERROR(VLOOKUP(B16,ARTICLES!$A$3:$G$500,7,0),0)</f>
        <v/>
      </c>
      <c r="J16" s="151">
        <f>SUMPRODUCT(($B$3:$B16=B16)*($D$3:$D16="IN")*$E$3:$E16)-SUMPRODUCT(($B$3:$B16=B16)*($D$3:$D16="OUT")*$E$3:$E16)</f>
        <v/>
      </c>
      <c r="K16" s="151">
        <f>SUMPRODUCT(($B$3:$B16=B16)*($D$3:$D16="IN")*$E$3:$E16*$F$3:$F16)</f>
        <v/>
      </c>
      <c r="L16" s="152">
        <f>IFERROR(K16/MAX(1,SUMPRODUCT(($B$3:$B16=B16)*($D$3:$D16="IN")*$E$3:$E16)),IFERROR(VLOOKUP(B16,ARTICLES!$A$3:$G$500,7,0),0))</f>
        <v/>
      </c>
      <c r="M16" s="153" t="inlineStr">
        <is>
          <t>رصيد افتتاحي فيفري</t>
        </is>
      </c>
    </row>
    <row r="17" ht="15" customHeight="1" s="96">
      <c r="A17" s="145" t="n">
        <v>46054</v>
      </c>
      <c r="B17" s="131" t="inlineStr">
        <is>
          <t>ART-012</t>
        </is>
      </c>
      <c r="C17" s="146">
        <f>IFERROR(VLOOKUP(B17,ARTICLES!$A$3:$G$500,2,0),"—")</f>
        <v/>
      </c>
      <c r="D17" s="147" t="inlineStr">
        <is>
          <t>IN</t>
        </is>
      </c>
      <c r="E17" s="148" t="n">
        <v>16</v>
      </c>
      <c r="F17" s="148">
        <f>IFERROR(VLOOKUP(B17,ARTICLES!$A$3:$G$500,7,0),0)</f>
        <v/>
      </c>
      <c r="G17" s="148">
        <f>E17*F17</f>
        <v/>
      </c>
      <c r="H17" s="149" t="inlineStr">
        <is>
          <t>SI-001</t>
        </is>
      </c>
      <c r="I17" s="150">
        <f>IFERROR(VLOOKUP(B17,ARTICLES!$A$3:$G$500,7,0),0)</f>
        <v/>
      </c>
      <c r="J17" s="151">
        <f>SUMPRODUCT(($B$3:$B17=B17)*($D$3:$D17="IN")*$E$3:$E17)-SUMPRODUCT(($B$3:$B17=B17)*($D$3:$D17="OUT")*$E$3:$E17)</f>
        <v/>
      </c>
      <c r="K17" s="151">
        <f>SUMPRODUCT(($B$3:$B17=B17)*($D$3:$D17="IN")*$E$3:$E17*$F$3:$F17)</f>
        <v/>
      </c>
      <c r="L17" s="152">
        <f>IFERROR(K17/MAX(1,SUMPRODUCT(($B$3:$B17=B17)*($D$3:$D17="IN")*$E$3:$E17)),IFERROR(VLOOKUP(B17,ARTICLES!$A$3:$G$500,7,0),0))</f>
        <v/>
      </c>
      <c r="M17" s="153" t="inlineStr">
        <is>
          <t>رصيد افتتاحي فيفري</t>
        </is>
      </c>
    </row>
    <row r="18" ht="15" customHeight="1" s="96">
      <c r="A18" s="154" t="n">
        <v>46058</v>
      </c>
      <c r="B18" s="125" t="inlineStr">
        <is>
          <t>ART-002</t>
        </is>
      </c>
      <c r="C18" s="155">
        <f>IFERROR(VLOOKUP(B18,ARTICLES!$A$3:$G$500,2,0),"—")</f>
        <v/>
      </c>
      <c r="D18" s="156" t="inlineStr">
        <is>
          <t>OUT</t>
        </is>
      </c>
      <c r="E18" s="157" t="n">
        <v>2</v>
      </c>
      <c r="F18" s="157">
        <f>IFERROR(VLOOKUP(B18,ARTICLES!$A$3:$G$500,7,0),0)</f>
        <v/>
      </c>
      <c r="G18" s="157">
        <f>E18*F18</f>
        <v/>
      </c>
      <c r="H18" s="158" t="inlineStr">
        <is>
          <t>BS-F1-001</t>
        </is>
      </c>
      <c r="I18" s="150">
        <f>IFERROR(VLOOKUP(B18,ARTICLES!$A$3:$G$500,7,0),0)</f>
        <v/>
      </c>
      <c r="J18" s="151">
        <f>SUMPRODUCT(($B$3:$B18=B18)*($D$3:$D18="IN")*$E$3:$E18)-SUMPRODUCT(($B$3:$B18=B18)*($D$3:$D18="OUT")*$E$3:$E18)</f>
        <v/>
      </c>
      <c r="K18" s="151">
        <f>SUMPRODUCT(($B$3:$B18=B18)*($D$3:$D18="IN")*$E$3:$E18*$F$3:$F18)</f>
        <v/>
      </c>
      <c r="L18" s="152">
        <f>IFERROR(K18/MAX(1,SUMPRODUCT(($B$3:$B18=B18)*($D$3:$D18="IN")*$E$3:$E18)),IFERROR(VLOOKUP(B18,ARTICLES!$A$3:$G$500,7,0),0))</f>
        <v/>
      </c>
      <c r="M18" s="159" t="inlineStr">
        <is>
          <t>مصلحة الطباعة</t>
        </is>
      </c>
    </row>
    <row r="19" ht="15" customHeight="1" s="96">
      <c r="A19" s="154" t="n">
        <v>46063</v>
      </c>
      <c r="B19" s="125" t="inlineStr">
        <is>
          <t>ART-001</t>
        </is>
      </c>
      <c r="C19" s="155">
        <f>IFERROR(VLOOKUP(B19,ARTICLES!$A$3:$G$500,2,0),"—")</f>
        <v/>
      </c>
      <c r="D19" s="156" t="inlineStr">
        <is>
          <t>OUT</t>
        </is>
      </c>
      <c r="E19" s="157" t="n">
        <v>35</v>
      </c>
      <c r="F19" s="157">
        <f>IFERROR(VLOOKUP(B19,ARTICLES!$A$3:$G$500,7,0),0)</f>
        <v/>
      </c>
      <c r="G19" s="157">
        <f>E19*F19</f>
        <v/>
      </c>
      <c r="H19" s="158" t="inlineStr">
        <is>
          <t>BS-F1-002</t>
        </is>
      </c>
      <c r="I19" s="150">
        <f>IFERROR(VLOOKUP(B19,ARTICLES!$A$3:$G$500,7,0),0)</f>
        <v/>
      </c>
      <c r="J19" s="151">
        <f>SUMPRODUCT(($B$3:$B19=B19)*($D$3:$D19="IN")*$E$3:$E19)-SUMPRODUCT(($B$3:$B19=B19)*($D$3:$D19="OUT")*$E$3:$E19)</f>
        <v/>
      </c>
      <c r="K19" s="151">
        <f>SUMPRODUCT(($B$3:$B19=B19)*($D$3:$D19="IN")*$E$3:$E19*$F$3:$F19)</f>
        <v/>
      </c>
      <c r="L19" s="152">
        <f>IFERROR(K19/MAX(1,SUMPRODUCT(($B$3:$B19=B19)*($D$3:$D19="IN")*$E$3:$E19)),IFERROR(VLOOKUP(B19,ARTICLES!$A$3:$G$500,7,0),0))</f>
        <v/>
      </c>
      <c r="M19" s="159" t="inlineStr">
        <is>
          <t>مصلحة الرواتب والطبع</t>
        </is>
      </c>
    </row>
    <row r="20" ht="15" customHeight="1" s="96">
      <c r="A20" s="154" t="n">
        <v>46068</v>
      </c>
      <c r="B20" s="125" t="inlineStr">
        <is>
          <t>ART-003</t>
        </is>
      </c>
      <c r="C20" s="155">
        <f>IFERROR(VLOOKUP(B20,ARTICLES!$A$3:$G$500,2,0),"—")</f>
        <v/>
      </c>
      <c r="D20" s="156" t="inlineStr">
        <is>
          <t>OUT</t>
        </is>
      </c>
      <c r="E20" s="157" t="n">
        <v>60</v>
      </c>
      <c r="F20" s="157">
        <f>IFERROR(VLOOKUP(B20,ARTICLES!$A$3:$G$500,7,0),0)</f>
        <v/>
      </c>
      <c r="G20" s="157">
        <f>E20*F20</f>
        <v/>
      </c>
      <c r="H20" s="158" t="inlineStr">
        <is>
          <t>BS-F1-003</t>
        </is>
      </c>
      <c r="I20" s="150">
        <f>IFERROR(VLOOKUP(B20,ARTICLES!$A$3:$G$500,7,0),0)</f>
        <v/>
      </c>
      <c r="J20" s="151">
        <f>SUMPRODUCT(($B$3:$B20=B20)*($D$3:$D20="IN")*$E$3:$E20)-SUMPRODUCT(($B$3:$B20=B20)*($D$3:$D20="OUT")*$E$3:$E20)</f>
        <v/>
      </c>
      <c r="K20" s="151">
        <f>SUMPRODUCT(($B$3:$B20=B20)*($D$3:$D20="IN")*$E$3:$E20*$F$3:$F20)</f>
        <v/>
      </c>
      <c r="L20" s="152">
        <f>IFERROR(K20/MAX(1,SUMPRODUCT(($B$3:$B20=B20)*($D$3:$D20="IN")*$E$3:$E20)),IFERROR(VLOOKUP(B20,ARTICLES!$A$3:$G$500,7,0),0))</f>
        <v/>
      </c>
      <c r="M20" s="159" t="inlineStr">
        <is>
          <t>مصلحة الدراسات</t>
        </is>
      </c>
    </row>
    <row r="21" ht="15" customHeight="1" s="96">
      <c r="A21" s="154" t="n">
        <v>46068</v>
      </c>
      <c r="B21" s="125" t="inlineStr">
        <is>
          <t>ART-006</t>
        </is>
      </c>
      <c r="C21" s="155">
        <f>IFERROR(VLOOKUP(B21,ARTICLES!$A$3:$G$500,2,0),"—")</f>
        <v/>
      </c>
      <c r="D21" s="156" t="inlineStr">
        <is>
          <t>OUT</t>
        </is>
      </c>
      <c r="E21" s="157" t="n">
        <v>20</v>
      </c>
      <c r="F21" s="157">
        <f>IFERROR(VLOOKUP(B21,ARTICLES!$A$3:$G$500,7,0),0)</f>
        <v/>
      </c>
      <c r="G21" s="157">
        <f>E21*F21</f>
        <v/>
      </c>
      <c r="H21" s="158" t="inlineStr">
        <is>
          <t>BS-F1-004</t>
        </is>
      </c>
      <c r="I21" s="150">
        <f>IFERROR(VLOOKUP(B21,ARTICLES!$A$3:$G$500,7,0),0)</f>
        <v/>
      </c>
      <c r="J21" s="151">
        <f>SUMPRODUCT(($B$3:$B21=B21)*($D$3:$D21="IN")*$E$3:$E21)-SUMPRODUCT(($B$3:$B21=B21)*($D$3:$D21="OUT")*$E$3:$E21)</f>
        <v/>
      </c>
      <c r="K21" s="151">
        <f>SUMPRODUCT(($B$3:$B21=B21)*($D$3:$D21="IN")*$E$3:$E21*$F$3:$F21)</f>
        <v/>
      </c>
      <c r="L21" s="152">
        <f>IFERROR(K21/MAX(1,SUMPRODUCT(($B$3:$B21=B21)*($D$3:$D21="IN")*$E$3:$E21)),IFERROR(VLOOKUP(B21,ARTICLES!$A$3:$G$500,7,0),0))</f>
        <v/>
      </c>
      <c r="M21" s="159" t="inlineStr">
        <is>
          <t>عدة مكاتب</t>
        </is>
      </c>
    </row>
    <row r="22" ht="15" customHeight="1" s="96">
      <c r="A22" s="154" t="n">
        <v>46073</v>
      </c>
      <c r="B22" s="125" t="inlineStr">
        <is>
          <t>ART-002</t>
        </is>
      </c>
      <c r="C22" s="155">
        <f>IFERROR(VLOOKUP(B22,ARTICLES!$A$3:$G$500,2,0),"—")</f>
        <v/>
      </c>
      <c r="D22" s="156" t="inlineStr">
        <is>
          <t>OUT</t>
        </is>
      </c>
      <c r="E22" s="157" t="n">
        <v>3</v>
      </c>
      <c r="F22" s="157">
        <f>IFERROR(VLOOKUP(B22,ARTICLES!$A$3:$G$500,7,0),0)</f>
        <v/>
      </c>
      <c r="G22" s="157">
        <f>E22*F22</f>
        <v/>
      </c>
      <c r="H22" s="158" t="inlineStr">
        <is>
          <t>BS-F1-005</t>
        </is>
      </c>
      <c r="I22" s="150">
        <f>IFERROR(VLOOKUP(B22,ARTICLES!$A$3:$G$500,7,0),0)</f>
        <v/>
      </c>
      <c r="J22" s="151">
        <f>SUMPRODUCT(($B$3:$B22=B22)*($D$3:$D22="IN")*$E$3:$E22)-SUMPRODUCT(($B$3:$B22=B22)*($D$3:$D22="OUT")*$E$3:$E22)</f>
        <v/>
      </c>
      <c r="K22" s="151">
        <f>SUMPRODUCT(($B$3:$B22=B22)*($D$3:$D22="IN")*$E$3:$E22*$F$3:$F22)</f>
        <v/>
      </c>
      <c r="L22" s="152">
        <f>IFERROR(K22/MAX(1,SUMPRODUCT(($B$3:$B22=B22)*($D$3:$D22="IN")*$E$3:$E22)),IFERROR(VLOOKUP(B22,ARTICLES!$A$3:$G$500,7,0),0))</f>
        <v/>
      </c>
      <c r="M22" s="160" t="inlineStr">
        <is>
          <t>!! نفاد مؤكد G030 → 0 وحدة</t>
        </is>
      </c>
    </row>
    <row r="23" ht="15" customHeight="1" s="96">
      <c r="A23" s="154" t="n">
        <v>46073</v>
      </c>
      <c r="B23" s="125" t="inlineStr">
        <is>
          <t>ART-004</t>
        </is>
      </c>
      <c r="C23" s="155">
        <f>IFERROR(VLOOKUP(B23,ARTICLES!$A$3:$G$500,2,0),"—")</f>
        <v/>
      </c>
      <c r="D23" s="156" t="inlineStr">
        <is>
          <t>OUT</t>
        </is>
      </c>
      <c r="E23" s="157" t="n">
        <v>50</v>
      </c>
      <c r="F23" s="157">
        <f>IFERROR(VLOOKUP(B23,ARTICLES!$A$3:$G$500,7,0),0)</f>
        <v/>
      </c>
      <c r="G23" s="157">
        <f>E23*F23</f>
        <v/>
      </c>
      <c r="H23" s="158" t="inlineStr">
        <is>
          <t>BS-F1-006</t>
        </is>
      </c>
      <c r="I23" s="150">
        <f>IFERROR(VLOOKUP(B23,ARTICLES!$A$3:$G$500,7,0),0)</f>
        <v/>
      </c>
      <c r="J23" s="151">
        <f>SUMPRODUCT(($B$3:$B23=B23)*($D$3:$D23="IN")*$E$3:$E23)-SUMPRODUCT(($B$3:$B23=B23)*($D$3:$D23="OUT")*$E$3:$E23)</f>
        <v/>
      </c>
      <c r="K23" s="151">
        <f>SUMPRODUCT(($B$3:$B23=B23)*($D$3:$D23="IN")*$E$3:$E23*$F$3:$F23)</f>
        <v/>
      </c>
      <c r="L23" s="152">
        <f>IFERROR(K23/MAX(1,SUMPRODUCT(($B$3:$B23=B23)*($D$3:$D23="IN")*$E$3:$E23)),IFERROR(VLOOKUP(B23,ARTICLES!$A$3:$G$500,7,0),0))</f>
        <v/>
      </c>
      <c r="M23" s="159" t="inlineStr">
        <is>
          <t>مصلحة الأرشيف</t>
        </is>
      </c>
    </row>
    <row r="24" ht="15" customHeight="1" s="96">
      <c r="A24" s="154" t="n">
        <v>46073</v>
      </c>
      <c r="B24" s="125" t="inlineStr">
        <is>
          <t>ART-010</t>
        </is>
      </c>
      <c r="C24" s="155">
        <f>IFERROR(VLOOKUP(B24,ARTICLES!$A$3:$G$500,2,0),"—")</f>
        <v/>
      </c>
      <c r="D24" s="156" t="inlineStr">
        <is>
          <t>OUT</t>
        </is>
      </c>
      <c r="E24" s="157" t="n">
        <v>10</v>
      </c>
      <c r="F24" s="157">
        <f>IFERROR(VLOOKUP(B24,ARTICLES!$A$3:$G$500,7,0),0)</f>
        <v/>
      </c>
      <c r="G24" s="157">
        <f>E24*F24</f>
        <v/>
      </c>
      <c r="H24" s="158" t="inlineStr">
        <is>
          <t>BS-F1-007</t>
        </is>
      </c>
      <c r="I24" s="150">
        <f>IFERROR(VLOOKUP(B24,ARTICLES!$A$3:$G$500,7,0),0)</f>
        <v/>
      </c>
      <c r="J24" s="151">
        <f>SUMPRODUCT(($B$3:$B24=B24)*($D$3:$D24="IN")*$E$3:$E24)-SUMPRODUCT(($B$3:$B24=B24)*($D$3:$D24="OUT")*$E$3:$E24)</f>
        <v/>
      </c>
      <c r="K24" s="151">
        <f>SUMPRODUCT(($B$3:$B24=B24)*($D$3:$D24="IN")*$E$3:$E24*$F$3:$F24)</f>
        <v/>
      </c>
      <c r="L24" s="152">
        <f>IFERROR(K24/MAX(1,SUMPRODUCT(($B$3:$B24=B24)*($D$3:$D24="IN")*$E$3:$E24)),IFERROR(VLOOKUP(B24,ARTICLES!$A$3:$G$500,7,0),0))</f>
        <v/>
      </c>
      <c r="M24" s="159" t="inlineStr">
        <is>
          <t>عدة مكاتب</t>
        </is>
      </c>
    </row>
    <row r="25" ht="15" customHeight="1" s="96">
      <c r="A25" s="154" t="n">
        <v>46081</v>
      </c>
      <c r="B25" s="125" t="inlineStr">
        <is>
          <t>ART-001</t>
        </is>
      </c>
      <c r="C25" s="155">
        <f>IFERROR(VLOOKUP(B25,ARTICLES!$A$3:$G$500,2,0),"—")</f>
        <v/>
      </c>
      <c r="D25" s="156" t="inlineStr">
        <is>
          <t>OUT</t>
        </is>
      </c>
      <c r="E25" s="157" t="n">
        <v>20</v>
      </c>
      <c r="F25" s="157">
        <f>IFERROR(VLOOKUP(B25,ARTICLES!$A$3:$G$500,7,0),0)</f>
        <v/>
      </c>
      <c r="G25" s="157">
        <f>E25*F25</f>
        <v/>
      </c>
      <c r="H25" s="158" t="inlineStr">
        <is>
          <t>BS-F2-001</t>
        </is>
      </c>
      <c r="I25" s="150">
        <f>IFERROR(VLOOKUP(B25,ARTICLES!$A$3:$G$500,7,0),0)</f>
        <v/>
      </c>
      <c r="J25" s="151">
        <f>SUMPRODUCT(($B$3:$B25=B25)*($D$3:$D25="IN")*$E$3:$E25)-SUMPRODUCT(($B$3:$B25=B25)*($D$3:$D25="OUT")*$E$3:$E25)</f>
        <v/>
      </c>
      <c r="K25" s="151">
        <f>SUMPRODUCT(($B$3:$B25=B25)*($D$3:$D25="IN")*$E$3:$E25*$F$3:$F25)</f>
        <v/>
      </c>
      <c r="L25" s="152">
        <f>IFERROR(K25/MAX(1,SUMPRODUCT(($B$3:$B25=B25)*($D$3:$D25="IN")*$E$3:$E25)),IFERROR(VLOOKUP(B25,ARTICLES!$A$3:$G$500,7,0),0))</f>
        <v/>
      </c>
      <c r="M25" s="159" t="inlineStr">
        <is>
          <t>طباعة نتائج الامتحانات</t>
        </is>
      </c>
    </row>
    <row r="26" ht="15" customHeight="1" s="96">
      <c r="A26" s="154" t="n">
        <v>46082</v>
      </c>
      <c r="B26" s="125" t="inlineStr">
        <is>
          <t>ART-005</t>
        </is>
      </c>
      <c r="C26" s="155">
        <f>IFERROR(VLOOKUP(B26,ARTICLES!$A$3:$G$500,2,0),"—")</f>
        <v/>
      </c>
      <c r="D26" s="156" t="inlineStr">
        <is>
          <t>OUT</t>
        </is>
      </c>
      <c r="E26" s="157" t="n">
        <v>2</v>
      </c>
      <c r="F26" s="157">
        <f>IFERROR(VLOOKUP(B26,ARTICLES!$A$3:$G$500,7,0),0)</f>
        <v/>
      </c>
      <c r="G26" s="157">
        <f>E26*F26</f>
        <v/>
      </c>
      <c r="H26" s="158" t="inlineStr">
        <is>
          <t>BS-M1-001</t>
        </is>
      </c>
      <c r="I26" s="150">
        <f>IFERROR(VLOOKUP(B26,ARTICLES!$A$3:$G$500,7,0),0)</f>
        <v/>
      </c>
      <c r="J26" s="151">
        <f>SUMPRODUCT(($B$3:$B26=B26)*($D$3:$D26="IN")*$E$3:$E26)-SUMPRODUCT(($B$3:$B26=B26)*($D$3:$D26="OUT")*$E$3:$E26)</f>
        <v/>
      </c>
      <c r="K26" s="151">
        <f>SUMPRODUCT(($B$3:$B26=B26)*($D$3:$D26="IN")*$E$3:$E26*$F$3:$F26)</f>
        <v/>
      </c>
      <c r="L26" s="152">
        <f>IFERROR(K26/MAX(1,SUMPRODUCT(($B$3:$B26=B26)*($D$3:$D26="IN")*$E$3:$E26)),IFERROR(VLOOKUP(B26,ARTICLES!$A$3:$G$500,7,0),0))</f>
        <v/>
      </c>
      <c r="M26" s="159" t="inlineStr">
        <is>
          <t>مكتب الإدارة</t>
        </is>
      </c>
    </row>
    <row r="27" ht="15" customHeight="1" s="96">
      <c r="A27" s="154" t="n">
        <v>46086</v>
      </c>
      <c r="B27" s="125" t="inlineStr">
        <is>
          <t>ART-003</t>
        </is>
      </c>
      <c r="C27" s="155">
        <f>IFERROR(VLOOKUP(B27,ARTICLES!$A$3:$G$500,2,0),"—")</f>
        <v/>
      </c>
      <c r="D27" s="156" t="inlineStr">
        <is>
          <t>OUT</t>
        </is>
      </c>
      <c r="E27" s="157" t="n">
        <v>38</v>
      </c>
      <c r="F27" s="157">
        <f>IFERROR(VLOOKUP(B27,ARTICLES!$A$3:$G$500,7,0),0)</f>
        <v/>
      </c>
      <c r="G27" s="157">
        <f>E27*F27</f>
        <v/>
      </c>
      <c r="H27" s="158" t="inlineStr">
        <is>
          <t>BS-M1-002</t>
        </is>
      </c>
      <c r="I27" s="150">
        <f>IFERROR(VLOOKUP(B27,ARTICLES!$A$3:$G$500,7,0),0)</f>
        <v/>
      </c>
      <c r="J27" s="151">
        <f>SUMPRODUCT(($B$3:$B27=B27)*($D$3:$D27="IN")*$E$3:$E27)-SUMPRODUCT(($B$3:$B27=B27)*($D$3:$D27="OUT")*$E$3:$E27)</f>
        <v/>
      </c>
      <c r="K27" s="151">
        <f>SUMPRODUCT(($B$3:$B27=B27)*($D$3:$D27="IN")*$E$3:$E27*$F$3:$F27)</f>
        <v/>
      </c>
      <c r="L27" s="152">
        <f>IFERROR(K27/MAX(1,SUMPRODUCT(($B$3:$B27=B27)*($D$3:$D27="IN")*$E$3:$E27)),IFERROR(VLOOKUP(B27,ARTICLES!$A$3:$G$500,7,0),0))</f>
        <v/>
      </c>
      <c r="M27" s="160" t="inlineStr">
        <is>
          <t>!! رصيد حرج A3 → 2 رزمة</t>
        </is>
      </c>
    </row>
    <row r="28" ht="15" customHeight="1" s="96">
      <c r="A28" s="154" t="n">
        <v>46086</v>
      </c>
      <c r="B28" s="125" t="inlineStr">
        <is>
          <t>ART-001</t>
        </is>
      </c>
      <c r="C28" s="155">
        <f>IFERROR(VLOOKUP(B28,ARTICLES!$A$3:$G$500,2,0),"—")</f>
        <v/>
      </c>
      <c r="D28" s="156" t="inlineStr">
        <is>
          <t>OUT</t>
        </is>
      </c>
      <c r="E28" s="157" t="n">
        <v>70</v>
      </c>
      <c r="F28" s="157">
        <f>IFERROR(VLOOKUP(B28,ARTICLES!$A$3:$G$500,7,0),0)</f>
        <v/>
      </c>
      <c r="G28" s="157">
        <f>E28*F28</f>
        <v/>
      </c>
      <c r="H28" s="158" t="inlineStr">
        <is>
          <t>BS-M1-003</t>
        </is>
      </c>
      <c r="I28" s="150">
        <f>IFERROR(VLOOKUP(B28,ARTICLES!$A$3:$G$500,7,0),0)</f>
        <v/>
      </c>
      <c r="J28" s="151">
        <f>SUMPRODUCT(($B$3:$B28=B28)*($D$3:$D28="IN")*$E$3:$E28)-SUMPRODUCT(($B$3:$B28=B28)*($D$3:$D28="OUT")*$E$3:$E28)</f>
        <v/>
      </c>
      <c r="K28" s="151">
        <f>SUMPRODUCT(($B$3:$B28=B28)*($D$3:$D28="IN")*$E$3:$E28*$F$3:$F28)</f>
        <v/>
      </c>
      <c r="L28" s="152">
        <f>IFERROR(K28/MAX(1,SUMPRODUCT(($B$3:$B28=B28)*($D$3:$D28="IN")*$E$3:$E28)),IFERROR(VLOOKUP(B28,ARTICLES!$A$3:$G$500,7,0),0))</f>
        <v/>
      </c>
      <c r="M28" s="159" t="inlineStr">
        <is>
          <t>أمانة المدير + عدة مصالح</t>
        </is>
      </c>
    </row>
    <row r="29" ht="15" customHeight="1" s="96">
      <c r="A29" s="154" t="n">
        <v>46089</v>
      </c>
      <c r="B29" s="125" t="inlineStr">
        <is>
          <t>ART-009</t>
        </is>
      </c>
      <c r="C29" s="155">
        <f>IFERROR(VLOOKUP(B29,ARTICLES!$A$3:$G$500,2,0),"—")</f>
        <v/>
      </c>
      <c r="D29" s="156" t="inlineStr">
        <is>
          <t>OUT</t>
        </is>
      </c>
      <c r="E29" s="157" t="n">
        <v>25</v>
      </c>
      <c r="F29" s="157">
        <f>IFERROR(VLOOKUP(B29,ARTICLES!$A$3:$G$500,7,0),0)</f>
        <v/>
      </c>
      <c r="G29" s="157">
        <f>E29*F29</f>
        <v/>
      </c>
      <c r="H29" s="158" t="inlineStr">
        <is>
          <t>BS-M1-004</t>
        </is>
      </c>
      <c r="I29" s="150">
        <f>IFERROR(VLOOKUP(B29,ARTICLES!$A$3:$G$500,7,0),0)</f>
        <v/>
      </c>
      <c r="J29" s="151">
        <f>SUMPRODUCT(($B$3:$B29=B29)*($D$3:$D29="IN")*$E$3:$E29)-SUMPRODUCT(($B$3:$B29=B29)*($D$3:$D29="OUT")*$E$3:$E29)</f>
        <v/>
      </c>
      <c r="K29" s="151">
        <f>SUMPRODUCT(($B$3:$B29=B29)*($D$3:$D29="IN")*$E$3:$E29*$F$3:$F29)</f>
        <v/>
      </c>
      <c r="L29" s="152">
        <f>IFERROR(K29/MAX(1,SUMPRODUCT(($B$3:$B29=B29)*($D$3:$D29="IN")*$E$3:$E29)),IFERROR(VLOOKUP(B29,ARTICLES!$A$3:$G$500,7,0),0))</f>
        <v/>
      </c>
      <c r="M29" s="159" t="inlineStr">
        <is>
          <t>مصلحة الموظفين</t>
        </is>
      </c>
    </row>
    <row r="30" ht="15" customHeight="1" s="96">
      <c r="A30" s="154" t="n">
        <v>46090</v>
      </c>
      <c r="B30" s="125" t="inlineStr">
        <is>
          <t>ART-001</t>
        </is>
      </c>
      <c r="C30" s="155">
        <f>IFERROR(VLOOKUP(B30,ARTICLES!$A$3:$G$500,2,0),"—")</f>
        <v/>
      </c>
      <c r="D30" s="156" t="inlineStr">
        <is>
          <t>OUT</t>
        </is>
      </c>
      <c r="E30" s="157" t="n">
        <v>10</v>
      </c>
      <c r="F30" s="157">
        <f>IFERROR(VLOOKUP(B30,ARTICLES!$A$3:$G$500,7,0),0)</f>
        <v/>
      </c>
      <c r="G30" s="157">
        <f>E30*F30</f>
        <v/>
      </c>
      <c r="H30" s="158" t="inlineStr">
        <is>
          <t>BS-M1-005</t>
        </is>
      </c>
      <c r="I30" s="150">
        <f>IFERROR(VLOOKUP(B30,ARTICLES!$A$3:$G$500,7,0),0)</f>
        <v/>
      </c>
      <c r="J30" s="151">
        <f>SUMPRODUCT(($B$3:$B30=B30)*($D$3:$D30="IN")*$E$3:$E30)-SUMPRODUCT(($B$3:$B30=B30)*($D$3:$D30="OUT")*$E$3:$E30)</f>
        <v/>
      </c>
      <c r="K30" s="151">
        <f>SUMPRODUCT(($B$3:$B30=B30)*($D$3:$D30="IN")*$E$3:$E30*$F$3:$F30)</f>
        <v/>
      </c>
      <c r="L30" s="152">
        <f>IFERROR(K30/MAX(1,SUMPRODUCT(($B$3:$B30=B30)*($D$3:$D30="IN")*$E$3:$E30)),IFERROR(VLOOKUP(B30,ARTICLES!$A$3:$G$500,7,0),0))</f>
        <v/>
      </c>
      <c r="M30" s="159" t="inlineStr">
        <is>
          <t>رصيد أخير مُوثَّق = 130</t>
        </is>
      </c>
    </row>
    <row r="31" ht="15" customHeight="1" s="96">
      <c r="A31" s="154" t="n">
        <v>46090</v>
      </c>
      <c r="B31" s="125" t="inlineStr">
        <is>
          <t>ART-009</t>
        </is>
      </c>
      <c r="C31" s="155">
        <f>IFERROR(VLOOKUP(B31,ARTICLES!$A$3:$G$500,2,0),"—")</f>
        <v/>
      </c>
      <c r="D31" s="156" t="inlineStr">
        <is>
          <t>OUT</t>
        </is>
      </c>
      <c r="E31" s="157" t="n">
        <v>22</v>
      </c>
      <c r="F31" s="157">
        <f>IFERROR(VLOOKUP(B31,ARTICLES!$A$3:$G$500,7,0),0)</f>
        <v/>
      </c>
      <c r="G31" s="157">
        <f>E31*F31</f>
        <v/>
      </c>
      <c r="H31" s="158" t="inlineStr">
        <is>
          <t>BS-M1-006</t>
        </is>
      </c>
      <c r="I31" s="150">
        <f>IFERROR(VLOOKUP(B31,ARTICLES!$A$3:$G$500,7,0),0)</f>
        <v/>
      </c>
      <c r="J31" s="151">
        <f>SUMPRODUCT(($B$3:$B31=B31)*($D$3:$D31="IN")*$E$3:$E31)-SUMPRODUCT(($B$3:$B31=B31)*($D$3:$D31="OUT")*$E$3:$E31)</f>
        <v/>
      </c>
      <c r="K31" s="151">
        <f>SUMPRODUCT(($B$3:$B31=B31)*($D$3:$D31="IN")*$E$3:$E31*$F$3:$F31)</f>
        <v/>
      </c>
      <c r="L31" s="152">
        <f>IFERROR(K31/MAX(1,SUMPRODUCT(($B$3:$B31=B31)*($D$3:$D31="IN")*$E$3:$E31)),IFERROR(VLOOKUP(B31,ARTICLES!$A$3:$G$500,7,0),0))</f>
        <v/>
      </c>
      <c r="M31" s="160" t="inlineStr">
        <is>
          <t>!! رصيد حرج → 1 وحدة</t>
        </is>
      </c>
    </row>
  </sheetData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5" min="1" max="1"/>
    <col width="32" customWidth="1" style="95" min="2" max="2"/>
    <col width="7" customWidth="1" style="95" min="3" max="3"/>
    <col width="11" customWidth="1" style="95" min="4" max="5"/>
    <col width="14" customWidth="1" style="95" min="6" max="6"/>
    <col width="10" customWidth="1" style="95" min="7" max="7"/>
    <col width="11" customWidth="1" style="95" min="8" max="8"/>
    <col width="16" customWidth="1" style="95" min="9" max="9"/>
    <col width="11" customWidth="1" style="95" min="10" max="10"/>
    <col width="14" customWidth="1" style="95" min="11" max="11"/>
    <col width="3" customWidth="1" style="95" min="12" max="12"/>
    <col width="26" customWidth="1" style="95" min="13" max="13"/>
    <col width="9" customWidth="1" style="95" min="14" max="14"/>
  </cols>
  <sheetData>
    <row r="1" ht="27.75" customHeight="1" s="96">
      <c r="A1" s="138" t="inlineStr">
        <is>
          <t>TABLEAU DE BORD  —  ÉTAT DU STOCK + STATUTS ROP  [v7 | 12 articles | OPT-01 range | OPT-02 CMUP | Excel 2010]</t>
        </is>
      </c>
    </row>
    <row r="2" ht="15" customHeight="1" s="96">
      <c r="A2" s="161" t="inlineStr">
        <is>
          <t>SECTION 1  —  ÉTAT DU STOCK EN TEMPS RÉEL  (ROP dynamique par article  |  38 j obs.  |  LT = 2 j)</t>
        </is>
      </c>
    </row>
    <row r="3" ht="27.75" customHeight="1" s="96">
      <c r="A3" s="139" t="inlineStr">
        <is>
          <t>Code</t>
        </is>
      </c>
      <c r="B3" s="139" t="inlineStr">
        <is>
          <t>Désignation</t>
        </is>
      </c>
      <c r="C3" s="139" t="inlineStr">
        <is>
          <t>ABC</t>
        </is>
      </c>
      <c r="D3" s="139" t="inlineStr">
        <is>
          <t>Total IN</t>
        </is>
      </c>
      <c r="E3" s="139" t="inlineStr">
        <is>
          <t>Total OUT</t>
        </is>
      </c>
      <c r="F3" s="139" t="inlineStr">
        <is>
          <t>STOCK ACTUEL</t>
        </is>
      </c>
      <c r="G3" s="139" t="inlineStr">
        <is>
          <t>Stock Min</t>
        </is>
      </c>
      <c r="H3" s="139" t="inlineStr">
        <is>
          <t>CMUP (DA)</t>
        </is>
      </c>
      <c r="I3" s="139" t="inlineStr">
        <is>
          <t>Valeur Stock (DA)</t>
        </is>
      </c>
      <c r="J3" s="139" t="inlineStr">
        <is>
          <t>ROP [OPT-01]</t>
        </is>
      </c>
      <c r="K3" s="139" t="inlineStr">
        <is>
          <t>Statut</t>
        </is>
      </c>
      <c r="L3" s="139" t="n"/>
      <c r="M3" s="162" t="inlineStr">
        <is>
          <t>PARAMÈTRES</t>
        </is>
      </c>
      <c r="N3" s="162" t="inlineStr">
        <is>
          <t>Valeur</t>
        </is>
      </c>
    </row>
    <row r="4" ht="15" customHeight="1" s="96">
      <c r="A4" s="163" t="inlineStr">
        <is>
          <t>ART-001</t>
        </is>
      </c>
      <c r="B4" s="164">
        <f>IFERROR(VLOOKUP(A4,ARTICLES!$A$3:$G$500,2,0),"")</f>
        <v/>
      </c>
      <c r="C4" s="165">
        <f>IFERROR(VLOOKUP(A4,ARTICLES!$A$3:$D$500,4,0),"")</f>
        <v/>
      </c>
      <c r="D4" s="148">
        <f>SUMIFS(MOUVEMENTS!$E$3:$E$500,MOUVEMENTS!$B$3:$B$500,A4,MOUVEMENTS!$D$3:$D$500,"IN")</f>
        <v/>
      </c>
      <c r="E4" s="157">
        <f>SUMIFS(MOUVEMENTS!$E$3:$E$500,MOUVEMENTS!$B$3:$B$500,A4,MOUVEMENTS!$D$3:$D$500,"OUT")</f>
        <v/>
      </c>
      <c r="F4" s="166">
        <f>D4-E4</f>
        <v/>
      </c>
      <c r="G4" s="167">
        <f>IFERROR(VLOOKUP(A4,ARTICLES!$A$3:$E$500,5,0),0)</f>
        <v/>
      </c>
      <c r="H4" s="152">
        <f>IFERROR(LOOKUP(2,1/(MOUVEMENTS!$B$3:$B$500=A4),MOUVEMENTS!$L$3:$L$500),IFERROR(VLOOKUP(A4,ARTICLES!$A$3:$G$500,7,0),0))</f>
        <v/>
      </c>
      <c r="I4" s="168">
        <f>F4*H4</f>
        <v/>
      </c>
      <c r="J4" s="169">
        <f>IFERROR(G4+(SUMIFS(MOUVEMENTS!$E$3:$E$500,MOUVEMENTS!$B$3:$B$500,A4,MOUVEMENTS!$D$3:$D$500,"OUT")/MAX(1,$N$4))*$N$6,G4)</f>
        <v/>
      </c>
      <c r="K4" s="163">
        <f>IF(F4=0,"!! RUPTURE",IF(F4&lt;=J4,"&gt;&gt; COMMANDER",IF(F4&lt;=J4*1.25,"~ ALERTE","OK")))</f>
        <v/>
      </c>
      <c r="L4" s="170" t="n"/>
      <c r="M4" s="171" t="inlineStr">
        <is>
          <t>Jours observation (fixe)</t>
        </is>
      </c>
      <c r="N4" s="172" t="n">
        <v>38</v>
      </c>
    </row>
    <row r="5" ht="15" customHeight="1" s="96">
      <c r="A5" s="163" t="inlineStr">
        <is>
          <t>ART-002</t>
        </is>
      </c>
      <c r="B5" s="164">
        <f>IFERROR(VLOOKUP(A5,ARTICLES!$A$3:$G$500,2,0),"")</f>
        <v/>
      </c>
      <c r="C5" s="165">
        <f>IFERROR(VLOOKUP(A5,ARTICLES!$A$3:$D$500,4,0),"")</f>
        <v/>
      </c>
      <c r="D5" s="148">
        <f>SUMIFS(MOUVEMENTS!$E$3:$E$500,MOUVEMENTS!$B$3:$B$500,A5,MOUVEMENTS!$D$3:$D$500,"IN")</f>
        <v/>
      </c>
      <c r="E5" s="157">
        <f>SUMIFS(MOUVEMENTS!$E$3:$E$500,MOUVEMENTS!$B$3:$B$500,A5,MOUVEMENTS!$D$3:$D$500,"OUT")</f>
        <v/>
      </c>
      <c r="F5" s="166">
        <f>D5-E5</f>
        <v/>
      </c>
      <c r="G5" s="167">
        <f>IFERROR(VLOOKUP(A5,ARTICLES!$A$3:$E$500,5,0),0)</f>
        <v/>
      </c>
      <c r="H5" s="152">
        <f>IFERROR(LOOKUP(2,1/(MOUVEMENTS!$B$3:$B$500=A5),MOUVEMENTS!$L$3:$L$500),IFERROR(VLOOKUP(A5,ARTICLES!$A$3:$G$500,7,0),0))</f>
        <v/>
      </c>
      <c r="I5" s="168">
        <f>F5*H5</f>
        <v/>
      </c>
      <c r="J5" s="169">
        <f>IFERROR(G5+(SUMIFS(MOUVEMENTS!$E$3:$E$500,MOUVEMENTS!$B$3:$B$500,A5,MOUVEMENTS!$D$3:$D$500,"OUT")/MAX(1,$N$4))*$N$6,G5)</f>
        <v/>
      </c>
      <c r="K5" s="163">
        <f>IF(F5=0,"!! RUPTURE",IF(F5&lt;=J5,"&gt;&gt; COMMANDER",IF(F5&lt;=J5*1.25,"~ ALERTE","OK")))</f>
        <v/>
      </c>
      <c r="L5" s="170" t="n"/>
      <c r="M5" s="171" t="inlineStr">
        <is>
          <t>Période réf. (jours ouvrés)</t>
        </is>
      </c>
      <c r="N5" s="172">
        <f>$N$4</f>
        <v/>
      </c>
    </row>
    <row r="6" ht="15" customHeight="1" s="96">
      <c r="A6" s="163" t="inlineStr">
        <is>
          <t>ART-003</t>
        </is>
      </c>
      <c r="B6" s="164">
        <f>IFERROR(VLOOKUP(A6,ARTICLES!$A$3:$G$500,2,0),"")</f>
        <v/>
      </c>
      <c r="C6" s="165">
        <f>IFERROR(VLOOKUP(A6,ARTICLES!$A$3:$D$500,4,0),"")</f>
        <v/>
      </c>
      <c r="D6" s="148">
        <f>SUMIFS(MOUVEMENTS!$E$3:$E$500,MOUVEMENTS!$B$3:$B$500,A6,MOUVEMENTS!$D$3:$D$500,"IN")</f>
        <v/>
      </c>
      <c r="E6" s="157">
        <f>SUMIFS(MOUVEMENTS!$E$3:$E$500,MOUVEMENTS!$B$3:$B$500,A6,MOUVEMENTS!$D$3:$D$500,"OUT")</f>
        <v/>
      </c>
      <c r="F6" s="166">
        <f>D6-E6</f>
        <v/>
      </c>
      <c r="G6" s="167">
        <f>IFERROR(VLOOKUP(A6,ARTICLES!$A$3:$E$500,5,0),0)</f>
        <v/>
      </c>
      <c r="H6" s="152">
        <f>IFERROR(LOOKUP(2,1/(MOUVEMENTS!$B$3:$B$500=A6),MOUVEMENTS!$L$3:$L$500),IFERROR(VLOOKUP(A6,ARTICLES!$A$3:$G$500,7,0),0))</f>
        <v/>
      </c>
      <c r="I6" s="168">
        <f>F6*H6</f>
        <v/>
      </c>
      <c r="J6" s="169">
        <f>IFERROR(G6+(SUMIFS(MOUVEMENTS!$E$3:$E$500,MOUVEMENTS!$B$3:$B$500,A6,MOUVEMENTS!$D$3:$D$500,"OUT")/MAX(1,$N$4))*$N$6,G6)</f>
        <v/>
      </c>
      <c r="K6" s="163">
        <f>IF(F6=0,"!! RUPTURE",IF(F6&lt;=J6,"&gt;&gt; COMMANDER",IF(F6&lt;=J6*1.25,"~ ALERTE","OK")))</f>
        <v/>
      </c>
      <c r="L6" s="170" t="n"/>
      <c r="M6" s="171" t="inlineStr">
        <is>
          <t>Délai livraison LT (jours)</t>
        </is>
      </c>
      <c r="N6" s="172" t="n">
        <v>2</v>
      </c>
    </row>
    <row r="7" ht="15" customHeight="1" s="96">
      <c r="A7" s="163" t="inlineStr">
        <is>
          <t>ART-004</t>
        </is>
      </c>
      <c r="B7" s="164">
        <f>IFERROR(VLOOKUP(A7,ARTICLES!$A$3:$G$500,2,0),"")</f>
        <v/>
      </c>
      <c r="C7" s="165">
        <f>IFERROR(VLOOKUP(A7,ARTICLES!$A$3:$D$500,4,0),"")</f>
        <v/>
      </c>
      <c r="D7" s="148">
        <f>SUMIFS(MOUVEMENTS!$E$3:$E$500,MOUVEMENTS!$B$3:$B$500,A7,MOUVEMENTS!$D$3:$D$500,"IN")</f>
        <v/>
      </c>
      <c r="E7" s="157">
        <f>SUMIFS(MOUVEMENTS!$E$3:$E$500,MOUVEMENTS!$B$3:$B$500,A7,MOUVEMENTS!$D$3:$D$500,"OUT")</f>
        <v/>
      </c>
      <c r="F7" s="166">
        <f>D7-E7</f>
        <v/>
      </c>
      <c r="G7" s="167">
        <f>IFERROR(VLOOKUP(A7,ARTICLES!$A$3:$E$500,5,0),0)</f>
        <v/>
      </c>
      <c r="H7" s="152">
        <f>IFERROR(LOOKUP(2,1/(MOUVEMENTS!$B$3:$B$500=A7),MOUVEMENTS!$L$3:$L$500),IFERROR(VLOOKUP(A7,ARTICLES!$A$3:$G$500,7,0),0))</f>
        <v/>
      </c>
      <c r="I7" s="168">
        <f>F7*H7</f>
        <v/>
      </c>
      <c r="J7" s="169">
        <f>IFERROR(G7+(SUMIFS(MOUVEMENTS!$E$3:$E$500,MOUVEMENTS!$B$3:$B$500,A7,MOUVEMENTS!$D$3:$D$500,"OUT")/MAX(1,$N$4))*$N$6,G7)</f>
        <v/>
      </c>
      <c r="K7" s="163">
        <f>IF(F7=0,"!! RUPTURE",IF(F7&lt;=J7,"&gt;&gt; COMMANDER",IF(F7&lt;=J7*1.25,"~ ALERTE","OK")))</f>
        <v/>
      </c>
      <c r="L7" s="170" t="n"/>
      <c r="M7" s="170" t="n"/>
      <c r="N7" s="170" t="n"/>
    </row>
    <row r="8" ht="15" customHeight="1" s="96">
      <c r="A8" s="163" t="inlineStr">
        <is>
          <t>ART-005</t>
        </is>
      </c>
      <c r="B8" s="164">
        <f>IFERROR(VLOOKUP(A8,ARTICLES!$A$3:$G$500,2,0),"")</f>
        <v/>
      </c>
      <c r="C8" s="165">
        <f>IFERROR(VLOOKUP(A8,ARTICLES!$A$3:$D$500,4,0),"")</f>
        <v/>
      </c>
      <c r="D8" s="148">
        <f>SUMIFS(MOUVEMENTS!$E$3:$E$500,MOUVEMENTS!$B$3:$B$500,A8,MOUVEMENTS!$D$3:$D$500,"IN")</f>
        <v/>
      </c>
      <c r="E8" s="157">
        <f>SUMIFS(MOUVEMENTS!$E$3:$E$500,MOUVEMENTS!$B$3:$B$500,A8,MOUVEMENTS!$D$3:$D$500,"OUT")</f>
        <v/>
      </c>
      <c r="F8" s="166">
        <f>D8-E8</f>
        <v/>
      </c>
      <c r="G8" s="167">
        <f>IFERROR(VLOOKUP(A8,ARTICLES!$A$3:$E$500,5,0),0)</f>
        <v/>
      </c>
      <c r="H8" s="152">
        <f>IFERROR(LOOKUP(2,1/(MOUVEMENTS!$B$3:$B$500=A8),MOUVEMENTS!$L$3:$L$500),IFERROR(VLOOKUP(A8,ARTICLES!$A$3:$G$500,7,0),0))</f>
        <v/>
      </c>
      <c r="I8" s="168">
        <f>F8*H8</f>
        <v/>
      </c>
      <c r="J8" s="169">
        <f>IFERROR(G8+(SUMIFS(MOUVEMENTS!$E$3:$E$500,MOUVEMENTS!$B$3:$B$500,A8,MOUVEMENTS!$D$3:$D$500,"OUT")/MAX(1,$N$4))*$N$6,G8)</f>
        <v/>
      </c>
      <c r="K8" s="163">
        <f>IF(F8=0,"!! RUPTURE",IF(F8&lt;=J8,"&gt;&gt; COMMANDER",IF(F8&lt;=J8*1.25,"~ ALERTE","OK")))</f>
        <v/>
      </c>
      <c r="L8" s="170" t="n"/>
      <c r="M8" s="170" t="n"/>
      <c r="N8" s="170" t="n"/>
    </row>
    <row r="9" ht="15" customHeight="1" s="96">
      <c r="A9" s="163" t="inlineStr">
        <is>
          <t>ART-006</t>
        </is>
      </c>
      <c r="B9" s="164">
        <f>IFERROR(VLOOKUP(A9,ARTICLES!$A$3:$G$500,2,0),"")</f>
        <v/>
      </c>
      <c r="C9" s="165">
        <f>IFERROR(VLOOKUP(A9,ARTICLES!$A$3:$D$500,4,0),"")</f>
        <v/>
      </c>
      <c r="D9" s="148">
        <f>SUMIFS(MOUVEMENTS!$E$3:$E$500,MOUVEMENTS!$B$3:$B$500,A9,MOUVEMENTS!$D$3:$D$500,"IN")</f>
        <v/>
      </c>
      <c r="E9" s="157">
        <f>SUMIFS(MOUVEMENTS!$E$3:$E$500,MOUVEMENTS!$B$3:$B$500,A9,MOUVEMENTS!$D$3:$D$500,"OUT")</f>
        <v/>
      </c>
      <c r="F9" s="166">
        <f>D9-E9</f>
        <v/>
      </c>
      <c r="G9" s="167">
        <f>IFERROR(VLOOKUP(A9,ARTICLES!$A$3:$E$500,5,0),0)</f>
        <v/>
      </c>
      <c r="H9" s="152">
        <f>IFERROR(LOOKUP(2,1/(MOUVEMENTS!$B$3:$B$500=A9),MOUVEMENTS!$L$3:$L$500),IFERROR(VLOOKUP(A9,ARTICLES!$A$3:$G$500,7,0),0))</f>
        <v/>
      </c>
      <c r="I9" s="168">
        <f>F9*H9</f>
        <v/>
      </c>
      <c r="J9" s="169">
        <f>IFERROR(G9+(SUMIFS(MOUVEMENTS!$E$3:$E$500,MOUVEMENTS!$B$3:$B$500,A9,MOUVEMENTS!$D$3:$D$500,"OUT")/MAX(1,$N$4))*$N$6,G9)</f>
        <v/>
      </c>
      <c r="K9" s="163">
        <f>IF(F9=0,"!! RUPTURE",IF(F9&lt;=J9,"&gt;&gt; COMMANDER",IF(F9&lt;=J9*1.25,"~ ALERTE","OK")))</f>
        <v/>
      </c>
      <c r="L9" s="170" t="n"/>
      <c r="M9" s="170" t="n"/>
      <c r="N9" s="170" t="n"/>
    </row>
    <row r="10" ht="15" customHeight="1" s="96">
      <c r="A10" s="163" t="inlineStr">
        <is>
          <t>ART-007</t>
        </is>
      </c>
      <c r="B10" s="164">
        <f>IFERROR(VLOOKUP(A10,ARTICLES!$A$3:$G$500,2,0),"")</f>
        <v/>
      </c>
      <c r="C10" s="165">
        <f>IFERROR(VLOOKUP(A10,ARTICLES!$A$3:$D$500,4,0),"")</f>
        <v/>
      </c>
      <c r="D10" s="148">
        <f>SUMIFS(MOUVEMENTS!$E$3:$E$500,MOUVEMENTS!$B$3:$B$500,A10,MOUVEMENTS!$D$3:$D$500,"IN")</f>
        <v/>
      </c>
      <c r="E10" s="157">
        <f>SUMIFS(MOUVEMENTS!$E$3:$E$500,MOUVEMENTS!$B$3:$B$500,A10,MOUVEMENTS!$D$3:$D$500,"OUT")</f>
        <v/>
      </c>
      <c r="F10" s="166">
        <f>D10-E10</f>
        <v/>
      </c>
      <c r="G10" s="167">
        <f>IFERROR(VLOOKUP(A10,ARTICLES!$A$3:$E$500,5,0),0)</f>
        <v/>
      </c>
      <c r="H10" s="152">
        <f>IFERROR(LOOKUP(2,1/(MOUVEMENTS!$B$3:$B$500=A10),MOUVEMENTS!$L$3:$L$500),IFERROR(VLOOKUP(A10,ARTICLES!$A$3:$G$500,7,0),0))</f>
        <v/>
      </c>
      <c r="I10" s="168">
        <f>F10*H10</f>
        <v/>
      </c>
      <c r="J10" s="169">
        <f>IFERROR(G10+(SUMIFS(MOUVEMENTS!$E$3:$E$500,MOUVEMENTS!$B$3:$B$500,A10,MOUVEMENTS!$D$3:$D$500,"OUT")/MAX(1,$N$4))*$N$6,G10)</f>
        <v/>
      </c>
      <c r="K10" s="163">
        <f>IF(F10=0,"!! RUPTURE",IF(F10&lt;=J10,"&gt;&gt; COMMANDER",IF(F10&lt;=J10*1.25,"~ ALERTE","OK")))</f>
        <v/>
      </c>
      <c r="L10" s="170" t="n"/>
      <c r="M10" s="170" t="n"/>
      <c r="N10" s="170" t="n"/>
    </row>
    <row r="11" ht="15" customHeight="1" s="96">
      <c r="A11" s="163" t="inlineStr">
        <is>
          <t>ART-008</t>
        </is>
      </c>
      <c r="B11" s="164">
        <f>IFERROR(VLOOKUP(A11,ARTICLES!$A$3:$G$500,2,0),"")</f>
        <v/>
      </c>
      <c r="C11" s="165">
        <f>IFERROR(VLOOKUP(A11,ARTICLES!$A$3:$D$500,4,0),"")</f>
        <v/>
      </c>
      <c r="D11" s="148">
        <f>SUMIFS(MOUVEMENTS!$E$3:$E$500,MOUVEMENTS!$B$3:$B$500,A11,MOUVEMENTS!$D$3:$D$500,"IN")</f>
        <v/>
      </c>
      <c r="E11" s="157">
        <f>SUMIFS(MOUVEMENTS!$E$3:$E$500,MOUVEMENTS!$B$3:$B$500,A11,MOUVEMENTS!$D$3:$D$500,"OUT")</f>
        <v/>
      </c>
      <c r="F11" s="166">
        <f>D11-E11</f>
        <v/>
      </c>
      <c r="G11" s="167">
        <f>IFERROR(VLOOKUP(A11,ARTICLES!$A$3:$E$500,5,0),0)</f>
        <v/>
      </c>
      <c r="H11" s="152">
        <f>IFERROR(LOOKUP(2,1/(MOUVEMENTS!$B$3:$B$500=A11),MOUVEMENTS!$L$3:$L$500),IFERROR(VLOOKUP(A11,ARTICLES!$A$3:$G$500,7,0),0))</f>
        <v/>
      </c>
      <c r="I11" s="168">
        <f>F11*H11</f>
        <v/>
      </c>
      <c r="J11" s="169">
        <f>IFERROR(G11+(SUMIFS(MOUVEMENTS!$E$3:$E$500,MOUVEMENTS!$B$3:$B$500,A11,MOUVEMENTS!$D$3:$D$500,"OUT")/MAX(1,$N$4))*$N$6,G11)</f>
        <v/>
      </c>
      <c r="K11" s="163">
        <f>IF(F11=0,"!! RUPTURE",IF(F11&lt;=J11,"&gt;&gt; COMMANDER",IF(F11&lt;=J11*1.25,"~ ALERTE","OK")))</f>
        <v/>
      </c>
      <c r="L11" s="170" t="n"/>
      <c r="M11" s="170" t="n"/>
      <c r="N11" s="170" t="n"/>
    </row>
    <row r="12" ht="15" customHeight="1" s="96">
      <c r="A12" s="163" t="inlineStr">
        <is>
          <t>ART-009</t>
        </is>
      </c>
      <c r="B12" s="164">
        <f>IFERROR(VLOOKUP(A12,ARTICLES!$A$3:$G$500,2,0),"")</f>
        <v/>
      </c>
      <c r="C12" s="165">
        <f>IFERROR(VLOOKUP(A12,ARTICLES!$A$3:$D$500,4,0),"")</f>
        <v/>
      </c>
      <c r="D12" s="148">
        <f>SUMIFS(MOUVEMENTS!$E$3:$E$500,MOUVEMENTS!$B$3:$B$500,A12,MOUVEMENTS!$D$3:$D$500,"IN")</f>
        <v/>
      </c>
      <c r="E12" s="157">
        <f>SUMIFS(MOUVEMENTS!$E$3:$E$500,MOUVEMENTS!$B$3:$B$500,A12,MOUVEMENTS!$D$3:$D$500,"OUT")</f>
        <v/>
      </c>
      <c r="F12" s="166">
        <f>D12-E12</f>
        <v/>
      </c>
      <c r="G12" s="167">
        <f>IFERROR(VLOOKUP(A12,ARTICLES!$A$3:$E$500,5,0),0)</f>
        <v/>
      </c>
      <c r="H12" s="152">
        <f>IFERROR(LOOKUP(2,1/(MOUVEMENTS!$B$3:$B$500=A12),MOUVEMENTS!$L$3:$L$500),IFERROR(VLOOKUP(A12,ARTICLES!$A$3:$G$500,7,0),0))</f>
        <v/>
      </c>
      <c r="I12" s="168">
        <f>F12*H12</f>
        <v/>
      </c>
      <c r="J12" s="169">
        <f>IFERROR(G12+(SUMIFS(MOUVEMENTS!$E$3:$E$500,MOUVEMENTS!$B$3:$B$500,A12,MOUVEMENTS!$D$3:$D$500,"OUT")/MAX(1,$N$4))*$N$6,G12)</f>
        <v/>
      </c>
      <c r="K12" s="163">
        <f>IF(F12=0,"!! RUPTURE",IF(F12&lt;=J12,"&gt;&gt; COMMANDER",IF(F12&lt;=J12*1.25,"~ ALERTE","OK")))</f>
        <v/>
      </c>
      <c r="L12" s="170" t="n"/>
      <c r="M12" s="170" t="n"/>
      <c r="N12" s="170" t="n"/>
    </row>
    <row r="13" ht="15" customHeight="1" s="96">
      <c r="A13" s="163" t="inlineStr">
        <is>
          <t>ART-010</t>
        </is>
      </c>
      <c r="B13" s="164">
        <f>IFERROR(VLOOKUP(A13,ARTICLES!$A$3:$G$500,2,0),"")</f>
        <v/>
      </c>
      <c r="C13" s="165">
        <f>IFERROR(VLOOKUP(A13,ARTICLES!$A$3:$D$500,4,0),"")</f>
        <v/>
      </c>
      <c r="D13" s="148">
        <f>SUMIFS(MOUVEMENTS!$E$3:$E$500,MOUVEMENTS!$B$3:$B$500,A13,MOUVEMENTS!$D$3:$D$500,"IN")</f>
        <v/>
      </c>
      <c r="E13" s="157">
        <f>SUMIFS(MOUVEMENTS!$E$3:$E$500,MOUVEMENTS!$B$3:$B$500,A13,MOUVEMENTS!$D$3:$D$500,"OUT")</f>
        <v/>
      </c>
      <c r="F13" s="166">
        <f>D13-E13</f>
        <v/>
      </c>
      <c r="G13" s="167">
        <f>IFERROR(VLOOKUP(A13,ARTICLES!$A$3:$E$500,5,0),0)</f>
        <v/>
      </c>
      <c r="H13" s="152">
        <f>IFERROR(LOOKUP(2,1/(MOUVEMENTS!$B$3:$B$500=A13),MOUVEMENTS!$L$3:$L$500),IFERROR(VLOOKUP(A13,ARTICLES!$A$3:$G$500,7,0),0))</f>
        <v/>
      </c>
      <c r="I13" s="168">
        <f>F13*H13</f>
        <v/>
      </c>
      <c r="J13" s="169">
        <f>IFERROR(G13+(SUMIFS(MOUVEMENTS!$E$3:$E$500,MOUVEMENTS!$B$3:$B$500,A13,MOUVEMENTS!$D$3:$D$500,"OUT")/MAX(1,$N$4))*$N$6,G13)</f>
        <v/>
      </c>
      <c r="K13" s="163">
        <f>IF(F13=0,"!! RUPTURE",IF(F13&lt;=J13,"&gt;&gt; COMMANDER",IF(F13&lt;=J13*1.25,"~ ALERTE","OK")))</f>
        <v/>
      </c>
      <c r="L13" s="170" t="n"/>
      <c r="M13" s="170" t="n"/>
      <c r="N13" s="170" t="n"/>
    </row>
    <row r="14" ht="15" customHeight="1" s="96">
      <c r="A14" s="163" t="inlineStr">
        <is>
          <t>ART-011</t>
        </is>
      </c>
      <c r="B14" s="164">
        <f>IFERROR(VLOOKUP(A14,ARTICLES!$A$3:$G$500,2,0),"")</f>
        <v/>
      </c>
      <c r="C14" s="165">
        <f>IFERROR(VLOOKUP(A14,ARTICLES!$A$3:$D$500,4,0),"")</f>
        <v/>
      </c>
      <c r="D14" s="148">
        <f>SUMIFS(MOUVEMENTS!$E$3:$E$500,MOUVEMENTS!$B$3:$B$500,A14,MOUVEMENTS!$D$3:$D$500,"IN")</f>
        <v/>
      </c>
      <c r="E14" s="157">
        <f>SUMIFS(MOUVEMENTS!$E$3:$E$500,MOUVEMENTS!$B$3:$B$500,A14,MOUVEMENTS!$D$3:$D$500,"OUT")</f>
        <v/>
      </c>
      <c r="F14" s="166">
        <f>D14-E14</f>
        <v/>
      </c>
      <c r="G14" s="167">
        <f>IFERROR(VLOOKUP(A14,ARTICLES!$A$3:$E$500,5,0),0)</f>
        <v/>
      </c>
      <c r="H14" s="152">
        <f>IFERROR(LOOKUP(2,1/(MOUVEMENTS!$B$3:$B$500=A14),MOUVEMENTS!$L$3:$L$500),IFERROR(VLOOKUP(A14,ARTICLES!$A$3:$G$500,7,0),0))</f>
        <v/>
      </c>
      <c r="I14" s="168">
        <f>F14*H14</f>
        <v/>
      </c>
      <c r="J14" s="169">
        <f>IFERROR(G14+(SUMIFS(MOUVEMENTS!$E$3:$E$500,MOUVEMENTS!$B$3:$B$500,A14,MOUVEMENTS!$D$3:$D$500,"OUT")/MAX(1,$N$4))*$N$6,G14)</f>
        <v/>
      </c>
      <c r="K14" s="163">
        <f>IF(F14=0,"!! RUPTURE",IF(F14&lt;=J14,"&gt;&gt; COMMANDER",IF(F14&lt;=J14*1.25,"~ ALERTE","OK")))</f>
        <v/>
      </c>
      <c r="L14" s="170" t="n"/>
      <c r="M14" s="170" t="n"/>
      <c r="N14" s="170" t="n"/>
    </row>
    <row r="15" ht="15" customHeight="1" s="96">
      <c r="A15" s="163" t="inlineStr">
        <is>
          <t>ART-012</t>
        </is>
      </c>
      <c r="B15" s="164">
        <f>IFERROR(VLOOKUP(A15,ARTICLES!$A$3:$G$500,2,0),"")</f>
        <v/>
      </c>
      <c r="C15" s="165">
        <f>IFERROR(VLOOKUP(A15,ARTICLES!$A$3:$D$500,4,0),"")</f>
        <v/>
      </c>
      <c r="D15" s="148">
        <f>SUMIFS(MOUVEMENTS!$E$3:$E$500,MOUVEMENTS!$B$3:$B$500,A15,MOUVEMENTS!$D$3:$D$500,"IN")</f>
        <v/>
      </c>
      <c r="E15" s="157">
        <f>SUMIFS(MOUVEMENTS!$E$3:$E$500,MOUVEMENTS!$B$3:$B$500,A15,MOUVEMENTS!$D$3:$D$500,"OUT")</f>
        <v/>
      </c>
      <c r="F15" s="166">
        <f>D15-E15</f>
        <v/>
      </c>
      <c r="G15" s="167">
        <f>IFERROR(VLOOKUP(A15,ARTICLES!$A$3:$E$500,5,0),0)</f>
        <v/>
      </c>
      <c r="H15" s="152">
        <f>IFERROR(LOOKUP(2,1/(MOUVEMENTS!$B$3:$B$500=A15),MOUVEMENTS!$L$3:$L$500),IFERROR(VLOOKUP(A15,ARTICLES!$A$3:$G$500,7,0),0))</f>
        <v/>
      </c>
      <c r="I15" s="168">
        <f>F15*H15</f>
        <v/>
      </c>
      <c r="J15" s="169">
        <f>IFERROR(G15+(SUMIFS(MOUVEMENTS!$E$3:$E$500,MOUVEMENTS!$B$3:$B$500,A15,MOUVEMENTS!$D$3:$D$500,"OUT")/MAX(1,$N$4))*$N$6,G15)</f>
        <v/>
      </c>
      <c r="K15" s="163">
        <f>IF(F15=0,"!! RUPTURE",IF(F15&lt;=J15,"&gt;&gt; COMMANDER",IF(F15&lt;=J15*1.25,"~ ALERTE","OK")))</f>
        <v/>
      </c>
      <c r="L15" s="170" t="n"/>
      <c r="M15" s="170" t="n"/>
      <c r="N15" s="170" t="n"/>
    </row>
    <row r="16"/>
    <row r="17" ht="15" customHeight="1" s="96">
      <c r="A17" s="173" t="inlineStr">
        <is>
          <t>TOTAUX</t>
        </is>
      </c>
      <c r="B17" s="174" t="n"/>
      <c r="D17" s="175" t="n"/>
      <c r="E17" s="175" t="n"/>
      <c r="F17" s="169">
        <f>SUM(F4:F16)</f>
        <v/>
      </c>
      <c r="G17" s="175" t="n"/>
      <c r="H17" s="175" t="n"/>
      <c r="I17" s="176">
        <f>SUM(I4:I16)</f>
        <v/>
      </c>
      <c r="J17" s="175" t="n"/>
      <c r="K17" s="175" t="n"/>
      <c r="L17" s="175" t="n"/>
      <c r="M17" s="175" t="n"/>
      <c r="N17" s="175" t="n"/>
    </row>
    <row r="18"/>
    <row r="19" ht="15" customHeight="1" s="96">
      <c r="A19" s="137" t="inlineStr">
        <is>
          <t>LÉGENDE:  OK = stock suffisant  |  ~ ALERTE = stock &lt; 125% du ROP  |  &gt;&gt; COMMANDER = stock ≤ ROP  |  !! RUPTURE = stock nul  |  ROP = Stock_Min + (ΣOuts/38j) × 2j  |  CMUP = K÷MAX(1,ΣIN) [OPT-02]</t>
        </is>
      </c>
    </row>
  </sheetData>
  <mergeCells count="4">
    <mergeCell ref="A1:N1"/>
    <mergeCell ref="A19:N19"/>
    <mergeCell ref="A2:N2"/>
    <mergeCell ref="A17:B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0" customWidth="1" style="96" min="1" max="1"/>
    <col width="30" customWidth="1" style="96" min="2" max="2"/>
    <col width="7" customWidth="1" style="96" min="3" max="3"/>
    <col width="13" customWidth="1" style="96" min="4" max="4"/>
    <col width="10" customWidth="1" style="96" min="5" max="5"/>
    <col width="11" customWidth="1" style="96" min="6" max="6"/>
    <col width="15" customWidth="1" style="96" min="7" max="7"/>
    <col width="11" customWidth="1" style="96" min="8" max="8"/>
    <col width="14" customWidth="1" style="96" min="9" max="9"/>
    <col width="10" customWidth="1" style="96" min="10" max="10"/>
    <col width="34" customWidth="1" style="96" min="11" max="11"/>
  </cols>
  <sheetData>
    <row r="1" ht="32" customHeight="1" s="96">
      <c r="A1" s="177" t="inlineStr">
        <is>
          <t>ALERTE_DASHBOARD  —  Sentinelle de Stock  [NEW v8 | auto-actualisé par formules]</t>
        </is>
      </c>
    </row>
    <row r="2">
      <c r="A2" s="178" t="inlineStr">
        <is>
          <t>Les indicateurs ci-dessous se mettent à jour automatiquement à chaque modification de MOUVEMENTS.</t>
        </is>
      </c>
    </row>
    <row r="3" ht="16" customHeight="1" s="96">
      <c r="A3" s="179" t="inlineStr">
        <is>
          <t>Dernière vérification : [Mise à jour par VBA VerifierAlertes — voir colonne O du Guide]</t>
        </is>
      </c>
    </row>
    <row r="4" ht="14" customHeight="1" s="96"/>
    <row r="5" ht="24" customHeight="1" s="96">
      <c r="A5" s="180" t="inlineStr">
        <is>
          <t>RÉSUMÉ DES ALERTES — COMPTEURS EN TEMPS RÉEL</t>
        </is>
      </c>
    </row>
    <row r="6">
      <c r="A6" s="181" t="inlineStr">
        <is>
          <t>!! RUPTURES</t>
        </is>
      </c>
      <c r="B6" s="282" t="n"/>
      <c r="C6" s="283" t="n"/>
      <c r="D6" s="182" t="inlineStr">
        <is>
          <t>&gt;&gt; À COMMANDER</t>
        </is>
      </c>
      <c r="E6" s="282" t="n"/>
      <c r="F6" s="283" t="n"/>
      <c r="G6" s="183" t="inlineStr">
        <is>
          <t>~ EN ALERTE</t>
        </is>
      </c>
      <c r="H6" s="282" t="n"/>
      <c r="I6" s="283" t="n"/>
      <c r="J6" s="184" t="inlineStr">
        <is>
          <t>✔ NORMAUX</t>
        </is>
      </c>
      <c r="K6" s="283" t="n"/>
    </row>
    <row r="7" ht="44" customHeight="1" s="96">
      <c r="A7" s="185">
        <f>COUNTIF('TABLEAU DE BORD'!$K$4:$K$15,"!! RUPTURE")</f>
        <v/>
      </c>
      <c r="B7" s="282" t="n"/>
      <c r="C7" s="283" t="n"/>
      <c r="D7" s="186">
        <f>COUNTIF('TABLEAU DE BORD'!$K$4:$K$15,"&gt;&gt; COMMANDER")</f>
        <v/>
      </c>
      <c r="E7" s="282" t="n"/>
      <c r="F7" s="283" t="n"/>
      <c r="G7" s="187">
        <f>COUNTIF('TABLEAU DE BORD'!$K$4:$K$15,"~ ALERTE")</f>
        <v/>
      </c>
      <c r="H7" s="282" t="n"/>
      <c r="I7" s="283" t="n"/>
      <c r="J7" s="188">
        <f>COUNTIF('TABLEAU DE BORD'!$K$4:$K$15,"OK")</f>
        <v/>
      </c>
      <c r="K7" s="283" t="n"/>
    </row>
    <row r="8" ht="18" customHeight="1" s="96">
      <c r="A8" s="189">
        <f>COUNTIF('TABLEAU DE BORD'!$K$4:$K$15,"!! RUPTURE")&amp;" / 12 articles"</f>
        <v/>
      </c>
      <c r="B8" s="284" t="n"/>
      <c r="C8" s="273" t="n"/>
      <c r="D8" s="189">
        <f>COUNTIF('TABLEAU DE BORD'!$K$4:$K$15,"&gt;&gt; COMMANDER")&amp;" / 12 articles"</f>
        <v/>
      </c>
      <c r="E8" s="284" t="n"/>
      <c r="F8" s="273" t="n"/>
      <c r="G8" s="189">
        <f>COUNTIF('TABLEAU DE BORD'!$K$4:$K$15,"~ ALERTE")&amp;" / 12 articles"</f>
        <v/>
      </c>
      <c r="H8" s="284" t="n"/>
      <c r="I8" s="273" t="n"/>
      <c r="J8" s="189">
        <f>COUNTIF('TABLEAU DE BORD'!$K$4:$K$15,"OK")&amp;" / 12 articles"</f>
        <v/>
      </c>
      <c r="K8" s="273" t="n"/>
    </row>
    <row r="9" ht="10" customHeight="1" s="96"/>
    <row r="10" ht="24" customHeight="1" s="96">
      <c r="A10" s="180" t="inlineStr">
        <is>
          <t>DÉTAIL PAR ARTICLE — ÉTAT COMPLET</t>
        </is>
      </c>
    </row>
    <row r="11" ht="28" customHeight="1" s="96">
      <c r="A11" s="190" t="inlineStr">
        <is>
          <t>Code</t>
        </is>
      </c>
      <c r="B11" s="190" t="inlineStr">
        <is>
          <t>Désignation</t>
        </is>
      </c>
      <c r="C11" s="190" t="inlineStr">
        <is>
          <t>ABC</t>
        </is>
      </c>
      <c r="D11" s="190" t="inlineStr">
        <is>
          <t>Stock Actuel</t>
        </is>
      </c>
      <c r="E11" s="190" t="inlineStr">
        <is>
          <t>Stock Min</t>
        </is>
      </c>
      <c r="F11" s="190" t="inlineStr">
        <is>
          <t>ROP</t>
        </is>
      </c>
      <c r="G11" s="190" t="inlineStr">
        <is>
          <t>Statut</t>
        </is>
      </c>
      <c r="H11" s="190" t="inlineStr">
        <is>
          <t>CMUP (DA)</t>
        </is>
      </c>
      <c r="I11" s="190" t="inlineStr">
        <is>
          <t>Valeur (DA)</t>
        </is>
      </c>
      <c r="J11" s="190" t="inlineStr">
        <is>
          <t>Priorité</t>
        </is>
      </c>
      <c r="K11" s="190" t="inlineStr">
        <is>
          <t>Action recommandée</t>
        </is>
      </c>
    </row>
    <row r="12" ht="22" customHeight="1" s="96">
      <c r="A12" s="191">
        <f>'TABLEAU DE BORD'!A4</f>
        <v/>
      </c>
      <c r="B12" s="313">
        <f>'TABLEAU DE BORD'!B4</f>
        <v/>
      </c>
      <c r="C12" s="314">
        <f>'TABLEAU DE BORD'!C4</f>
        <v/>
      </c>
      <c r="D12" s="194">
        <f>'TABLEAU DE BORD'!F4</f>
        <v/>
      </c>
      <c r="E12" s="315">
        <f>'TABLEAU DE BORD'!G4</f>
        <v/>
      </c>
      <c r="F12" s="315">
        <f>'TABLEAU DE BORD'!J4</f>
        <v/>
      </c>
      <c r="G12" s="191">
        <f>'TABLEAU DE BORD'!K4</f>
        <v/>
      </c>
      <c r="H12" s="196">
        <f>'TABLEAU DE BORD'!H4</f>
        <v/>
      </c>
      <c r="I12" s="316">
        <f>'TABLEAU DE BORD'!I4</f>
        <v/>
      </c>
      <c r="J12" s="198">
        <f>IF('TABLEAU DE BORD'!K4="!! RUPTURE","1 — CRITIQUE",IF('TABLEAU DE BORD'!K4="&gt;&gt; COMMANDER","2 — URGENT",IF('TABLEAU DE BORD'!K4="~ ALERTE","3 — ATTENTION","4 — Normal")))</f>
        <v/>
      </c>
      <c r="K12" s="199">
        <f>IF('TABLEAU DE BORD'!K4="!! RUPTURE","⛔ BLOQUER sorties — Lancer BC immédiatement",IF('TABLEAU DE BORD'!K4="&gt;&gt; COMMANDER","📋 Émettre BC maintenant (stock ≤ ROP)",IF('TABLEAU DE BORD'!K4="~ ALERTE","⚠ Surveiller — préparer commande sous 3 jours","✔ Aucune action requise")))</f>
        <v/>
      </c>
    </row>
    <row r="13" ht="22" customHeight="1" s="96">
      <c r="A13" s="191">
        <f>'TABLEAU DE BORD'!A5</f>
        <v/>
      </c>
      <c r="B13" s="200">
        <f>'TABLEAU DE BORD'!B5</f>
        <v/>
      </c>
      <c r="C13" s="201">
        <f>'TABLEAU DE BORD'!C5</f>
        <v/>
      </c>
      <c r="D13" s="194">
        <f>'TABLEAU DE BORD'!F5</f>
        <v/>
      </c>
      <c r="E13" s="202">
        <f>'TABLEAU DE BORD'!G5</f>
        <v/>
      </c>
      <c r="F13" s="202">
        <f>'TABLEAU DE BORD'!J5</f>
        <v/>
      </c>
      <c r="G13" s="191">
        <f>'TABLEAU DE BORD'!K5</f>
        <v/>
      </c>
      <c r="H13" s="203">
        <f>'TABLEAU DE BORD'!H5</f>
        <v/>
      </c>
      <c r="I13" s="204">
        <f>'TABLEAU DE BORD'!I5</f>
        <v/>
      </c>
      <c r="J13" s="198">
        <f>IF('TABLEAU DE BORD'!K5="!! RUPTURE","1 — CRITIQUE",IF('TABLEAU DE BORD'!K5="&gt;&gt; COMMANDER","2 — URGENT",IF('TABLEAU DE BORD'!K5="~ ALERTE","3 — ATTENTION","4 — Normal")))</f>
        <v/>
      </c>
      <c r="K13" s="199">
        <f>IF('TABLEAU DE BORD'!K5="!! RUPTURE","⛔ BLOQUER sorties — Lancer BC immédiatement",IF('TABLEAU DE BORD'!K5="&gt;&gt; COMMANDER","📋 Émettre BC maintenant (stock ≤ ROP)",IF('TABLEAU DE BORD'!K5="~ ALERTE","⚠ Surveiller — préparer commande sous 3 jours","✔ Aucune action requise")))</f>
        <v/>
      </c>
    </row>
    <row r="14" ht="22" customHeight="1" s="96">
      <c r="A14" s="191">
        <f>'TABLEAU DE BORD'!A6</f>
        <v/>
      </c>
      <c r="B14" s="313">
        <f>'TABLEAU DE BORD'!B6</f>
        <v/>
      </c>
      <c r="C14" s="314">
        <f>'TABLEAU DE BORD'!C6</f>
        <v/>
      </c>
      <c r="D14" s="194">
        <f>'TABLEAU DE BORD'!F6</f>
        <v/>
      </c>
      <c r="E14" s="315">
        <f>'TABLEAU DE BORD'!G6</f>
        <v/>
      </c>
      <c r="F14" s="315">
        <f>'TABLEAU DE BORD'!J6</f>
        <v/>
      </c>
      <c r="G14" s="191">
        <f>'TABLEAU DE BORD'!K6</f>
        <v/>
      </c>
      <c r="H14" s="196">
        <f>'TABLEAU DE BORD'!H6</f>
        <v/>
      </c>
      <c r="I14" s="316">
        <f>'TABLEAU DE BORD'!I6</f>
        <v/>
      </c>
      <c r="J14" s="198">
        <f>IF('TABLEAU DE BORD'!K6="!! RUPTURE","1 — CRITIQUE",IF('TABLEAU DE BORD'!K6="&gt;&gt; COMMANDER","2 — URGENT",IF('TABLEAU DE BORD'!K6="~ ALERTE","3 — ATTENTION","4 — Normal")))</f>
        <v/>
      </c>
      <c r="K14" s="199">
        <f>IF('TABLEAU DE BORD'!K6="!! RUPTURE","⛔ BLOQUER sorties — Lancer BC immédiatement",IF('TABLEAU DE BORD'!K6="&gt;&gt; COMMANDER","📋 Émettre BC maintenant (stock ≤ ROP)",IF('TABLEAU DE BORD'!K6="~ ALERTE","⚠ Surveiller — préparer commande sous 3 jours","✔ Aucune action requise")))</f>
        <v/>
      </c>
    </row>
    <row r="15" ht="22" customHeight="1" s="96">
      <c r="A15" s="191">
        <f>'TABLEAU DE BORD'!A7</f>
        <v/>
      </c>
      <c r="B15" s="200">
        <f>'TABLEAU DE BORD'!B7</f>
        <v/>
      </c>
      <c r="C15" s="201">
        <f>'TABLEAU DE BORD'!C7</f>
        <v/>
      </c>
      <c r="D15" s="194">
        <f>'TABLEAU DE BORD'!F7</f>
        <v/>
      </c>
      <c r="E15" s="202">
        <f>'TABLEAU DE BORD'!G7</f>
        <v/>
      </c>
      <c r="F15" s="202">
        <f>'TABLEAU DE BORD'!J7</f>
        <v/>
      </c>
      <c r="G15" s="191">
        <f>'TABLEAU DE BORD'!K7</f>
        <v/>
      </c>
      <c r="H15" s="203">
        <f>'TABLEAU DE BORD'!H7</f>
        <v/>
      </c>
      <c r="I15" s="204">
        <f>'TABLEAU DE BORD'!I7</f>
        <v/>
      </c>
      <c r="J15" s="198">
        <f>IF('TABLEAU DE BORD'!K7="!! RUPTURE","1 — CRITIQUE",IF('TABLEAU DE BORD'!K7="&gt;&gt; COMMANDER","2 — URGENT",IF('TABLEAU DE BORD'!K7="~ ALERTE","3 — ATTENTION","4 — Normal")))</f>
        <v/>
      </c>
      <c r="K15" s="199">
        <f>IF('TABLEAU DE BORD'!K7="!! RUPTURE","⛔ BLOQUER sorties — Lancer BC immédiatement",IF('TABLEAU DE BORD'!K7="&gt;&gt; COMMANDER","📋 Émettre BC maintenant (stock ≤ ROP)",IF('TABLEAU DE BORD'!K7="~ ALERTE","⚠ Surveiller — préparer commande sous 3 jours","✔ Aucune action requise")))</f>
        <v/>
      </c>
    </row>
    <row r="16" ht="22" customHeight="1" s="96">
      <c r="A16" s="191">
        <f>'TABLEAU DE BORD'!A8</f>
        <v/>
      </c>
      <c r="B16" s="313">
        <f>'TABLEAU DE BORD'!B8</f>
        <v/>
      </c>
      <c r="C16" s="314">
        <f>'TABLEAU DE BORD'!C8</f>
        <v/>
      </c>
      <c r="D16" s="194">
        <f>'TABLEAU DE BORD'!F8</f>
        <v/>
      </c>
      <c r="E16" s="315">
        <f>'TABLEAU DE BORD'!G8</f>
        <v/>
      </c>
      <c r="F16" s="315">
        <f>'TABLEAU DE BORD'!J8</f>
        <v/>
      </c>
      <c r="G16" s="191">
        <f>'TABLEAU DE BORD'!K8</f>
        <v/>
      </c>
      <c r="H16" s="196">
        <f>'TABLEAU DE BORD'!H8</f>
        <v/>
      </c>
      <c r="I16" s="316">
        <f>'TABLEAU DE BORD'!I8</f>
        <v/>
      </c>
      <c r="J16" s="198">
        <f>IF('TABLEAU DE BORD'!K8="!! RUPTURE","1 — CRITIQUE",IF('TABLEAU DE BORD'!K8="&gt;&gt; COMMANDER","2 — URGENT",IF('TABLEAU DE BORD'!K8="~ ALERTE","3 — ATTENTION","4 — Normal")))</f>
        <v/>
      </c>
      <c r="K16" s="199">
        <f>IF('TABLEAU DE BORD'!K8="!! RUPTURE","⛔ BLOQUER sorties — Lancer BC immédiatement",IF('TABLEAU DE BORD'!K8="&gt;&gt; COMMANDER","📋 Émettre BC maintenant (stock ≤ ROP)",IF('TABLEAU DE BORD'!K8="~ ALERTE","⚠ Surveiller — préparer commande sous 3 jours","✔ Aucune action requise")))</f>
        <v/>
      </c>
    </row>
    <row r="17" ht="22" customHeight="1" s="96">
      <c r="A17" s="191">
        <f>'TABLEAU DE BORD'!A9</f>
        <v/>
      </c>
      <c r="B17" s="200">
        <f>'TABLEAU DE BORD'!B9</f>
        <v/>
      </c>
      <c r="C17" s="201">
        <f>'TABLEAU DE BORD'!C9</f>
        <v/>
      </c>
      <c r="D17" s="194">
        <f>'TABLEAU DE BORD'!F9</f>
        <v/>
      </c>
      <c r="E17" s="202">
        <f>'TABLEAU DE BORD'!G9</f>
        <v/>
      </c>
      <c r="F17" s="202">
        <f>'TABLEAU DE BORD'!J9</f>
        <v/>
      </c>
      <c r="G17" s="191">
        <f>'TABLEAU DE BORD'!K9</f>
        <v/>
      </c>
      <c r="H17" s="203">
        <f>'TABLEAU DE BORD'!H9</f>
        <v/>
      </c>
      <c r="I17" s="204">
        <f>'TABLEAU DE BORD'!I9</f>
        <v/>
      </c>
      <c r="J17" s="198">
        <f>IF('TABLEAU DE BORD'!K9="!! RUPTURE","1 — CRITIQUE",IF('TABLEAU DE BORD'!K9="&gt;&gt; COMMANDER","2 — URGENT",IF('TABLEAU DE BORD'!K9="~ ALERTE","3 — ATTENTION","4 — Normal")))</f>
        <v/>
      </c>
      <c r="K17" s="199">
        <f>IF('TABLEAU DE BORD'!K9="!! RUPTURE","⛔ BLOQUER sorties — Lancer BC immédiatement",IF('TABLEAU DE BORD'!K9="&gt;&gt; COMMANDER","📋 Émettre BC maintenant (stock ≤ ROP)",IF('TABLEAU DE BORD'!K9="~ ALERTE","⚠ Surveiller — préparer commande sous 3 jours","✔ Aucune action requise")))</f>
        <v/>
      </c>
    </row>
    <row r="18" ht="22" customHeight="1" s="96">
      <c r="A18" s="191">
        <f>'TABLEAU DE BORD'!A10</f>
        <v/>
      </c>
      <c r="B18" s="313">
        <f>'TABLEAU DE BORD'!B10</f>
        <v/>
      </c>
      <c r="C18" s="314">
        <f>'TABLEAU DE BORD'!C10</f>
        <v/>
      </c>
      <c r="D18" s="194">
        <f>'TABLEAU DE BORD'!F10</f>
        <v/>
      </c>
      <c r="E18" s="315">
        <f>'TABLEAU DE BORD'!G10</f>
        <v/>
      </c>
      <c r="F18" s="315">
        <f>'TABLEAU DE BORD'!J10</f>
        <v/>
      </c>
      <c r="G18" s="191">
        <f>'TABLEAU DE BORD'!K10</f>
        <v/>
      </c>
      <c r="H18" s="196">
        <f>'TABLEAU DE BORD'!H10</f>
        <v/>
      </c>
      <c r="I18" s="316">
        <f>'TABLEAU DE BORD'!I10</f>
        <v/>
      </c>
      <c r="J18" s="198">
        <f>IF('TABLEAU DE BORD'!K10="!! RUPTURE","1 — CRITIQUE",IF('TABLEAU DE BORD'!K10="&gt;&gt; COMMANDER","2 — URGENT",IF('TABLEAU DE BORD'!K10="~ ALERTE","3 — ATTENTION","4 — Normal")))</f>
        <v/>
      </c>
      <c r="K18" s="199">
        <f>IF('TABLEAU DE BORD'!K10="!! RUPTURE","⛔ BLOQUER sorties — Lancer BC immédiatement",IF('TABLEAU DE BORD'!K10="&gt;&gt; COMMANDER","📋 Émettre BC maintenant (stock ≤ ROP)",IF('TABLEAU DE BORD'!K10="~ ALERTE","⚠ Surveiller — préparer commande sous 3 jours","✔ Aucune action requise")))</f>
        <v/>
      </c>
    </row>
    <row r="19" ht="22" customHeight="1" s="96">
      <c r="A19" s="191">
        <f>'TABLEAU DE BORD'!A11</f>
        <v/>
      </c>
      <c r="B19" s="200">
        <f>'TABLEAU DE BORD'!B11</f>
        <v/>
      </c>
      <c r="C19" s="201">
        <f>'TABLEAU DE BORD'!C11</f>
        <v/>
      </c>
      <c r="D19" s="194">
        <f>'TABLEAU DE BORD'!F11</f>
        <v/>
      </c>
      <c r="E19" s="202">
        <f>'TABLEAU DE BORD'!G11</f>
        <v/>
      </c>
      <c r="F19" s="202">
        <f>'TABLEAU DE BORD'!J11</f>
        <v/>
      </c>
      <c r="G19" s="191">
        <f>'TABLEAU DE BORD'!K11</f>
        <v/>
      </c>
      <c r="H19" s="203">
        <f>'TABLEAU DE BORD'!H11</f>
        <v/>
      </c>
      <c r="I19" s="204">
        <f>'TABLEAU DE BORD'!I11</f>
        <v/>
      </c>
      <c r="J19" s="198">
        <f>IF('TABLEAU DE BORD'!K11="!! RUPTURE","1 — CRITIQUE",IF('TABLEAU DE BORD'!K11="&gt;&gt; COMMANDER","2 — URGENT",IF('TABLEAU DE BORD'!K11="~ ALERTE","3 — ATTENTION","4 — Normal")))</f>
        <v/>
      </c>
      <c r="K19" s="199">
        <f>IF('TABLEAU DE BORD'!K11="!! RUPTURE","⛔ BLOQUER sorties — Lancer BC immédiatement",IF('TABLEAU DE BORD'!K11="&gt;&gt; COMMANDER","📋 Émettre BC maintenant (stock ≤ ROP)",IF('TABLEAU DE BORD'!K11="~ ALERTE","⚠ Surveiller — préparer commande sous 3 jours","✔ Aucune action requise")))</f>
        <v/>
      </c>
    </row>
    <row r="20" ht="22" customHeight="1" s="96">
      <c r="A20" s="191">
        <f>'TABLEAU DE BORD'!A12</f>
        <v/>
      </c>
      <c r="B20" s="313">
        <f>'TABLEAU DE BORD'!B12</f>
        <v/>
      </c>
      <c r="C20" s="314">
        <f>'TABLEAU DE BORD'!C12</f>
        <v/>
      </c>
      <c r="D20" s="194">
        <f>'TABLEAU DE BORD'!F12</f>
        <v/>
      </c>
      <c r="E20" s="315">
        <f>'TABLEAU DE BORD'!G12</f>
        <v/>
      </c>
      <c r="F20" s="315">
        <f>'TABLEAU DE BORD'!J12</f>
        <v/>
      </c>
      <c r="G20" s="191">
        <f>'TABLEAU DE BORD'!K12</f>
        <v/>
      </c>
      <c r="H20" s="196">
        <f>'TABLEAU DE BORD'!H12</f>
        <v/>
      </c>
      <c r="I20" s="316">
        <f>'TABLEAU DE BORD'!I12</f>
        <v/>
      </c>
      <c r="J20" s="198">
        <f>IF('TABLEAU DE BORD'!K12="!! RUPTURE","1 — CRITIQUE",IF('TABLEAU DE BORD'!K12="&gt;&gt; COMMANDER","2 — URGENT",IF('TABLEAU DE BORD'!K12="~ ALERTE","3 — ATTENTION","4 — Normal")))</f>
        <v/>
      </c>
      <c r="K20" s="199">
        <f>IF('TABLEAU DE BORD'!K12="!! RUPTURE","⛔ BLOQUER sorties — Lancer BC immédiatement",IF('TABLEAU DE BORD'!K12="&gt;&gt; COMMANDER","📋 Émettre BC maintenant (stock ≤ ROP)",IF('TABLEAU DE BORD'!K12="~ ALERTE","⚠ Surveiller — préparer commande sous 3 jours","✔ Aucune action requise")))</f>
        <v/>
      </c>
    </row>
    <row r="21" ht="22" customHeight="1" s="96">
      <c r="A21" s="191">
        <f>'TABLEAU DE BORD'!A13</f>
        <v/>
      </c>
      <c r="B21" s="200">
        <f>'TABLEAU DE BORD'!B13</f>
        <v/>
      </c>
      <c r="C21" s="201">
        <f>'TABLEAU DE BORD'!C13</f>
        <v/>
      </c>
      <c r="D21" s="194">
        <f>'TABLEAU DE BORD'!F13</f>
        <v/>
      </c>
      <c r="E21" s="202">
        <f>'TABLEAU DE BORD'!G13</f>
        <v/>
      </c>
      <c r="F21" s="202">
        <f>'TABLEAU DE BORD'!J13</f>
        <v/>
      </c>
      <c r="G21" s="191">
        <f>'TABLEAU DE BORD'!K13</f>
        <v/>
      </c>
      <c r="H21" s="203">
        <f>'TABLEAU DE BORD'!H13</f>
        <v/>
      </c>
      <c r="I21" s="204">
        <f>'TABLEAU DE BORD'!I13</f>
        <v/>
      </c>
      <c r="J21" s="198">
        <f>IF('TABLEAU DE BORD'!K13="!! RUPTURE","1 — CRITIQUE",IF('TABLEAU DE BORD'!K13="&gt;&gt; COMMANDER","2 — URGENT",IF('TABLEAU DE BORD'!K13="~ ALERTE","3 — ATTENTION","4 — Normal")))</f>
        <v/>
      </c>
      <c r="K21" s="199">
        <f>IF('TABLEAU DE BORD'!K13="!! RUPTURE","⛔ BLOQUER sorties — Lancer BC immédiatement",IF('TABLEAU DE BORD'!K13="&gt;&gt; COMMANDER","📋 Émettre BC maintenant (stock ≤ ROP)",IF('TABLEAU DE BORD'!K13="~ ALERTE","⚠ Surveiller — préparer commande sous 3 jours","✔ Aucune action requise")))</f>
        <v/>
      </c>
    </row>
    <row r="22" ht="22" customHeight="1" s="96">
      <c r="A22" s="191">
        <f>'TABLEAU DE BORD'!A14</f>
        <v/>
      </c>
      <c r="B22" s="313">
        <f>'TABLEAU DE BORD'!B14</f>
        <v/>
      </c>
      <c r="C22" s="314">
        <f>'TABLEAU DE BORD'!C14</f>
        <v/>
      </c>
      <c r="D22" s="194">
        <f>'TABLEAU DE BORD'!F14</f>
        <v/>
      </c>
      <c r="E22" s="315">
        <f>'TABLEAU DE BORD'!G14</f>
        <v/>
      </c>
      <c r="F22" s="315">
        <f>'TABLEAU DE BORD'!J14</f>
        <v/>
      </c>
      <c r="G22" s="191">
        <f>'TABLEAU DE BORD'!K14</f>
        <v/>
      </c>
      <c r="H22" s="196">
        <f>'TABLEAU DE BORD'!H14</f>
        <v/>
      </c>
      <c r="I22" s="316">
        <f>'TABLEAU DE BORD'!I14</f>
        <v/>
      </c>
      <c r="J22" s="198">
        <f>IF('TABLEAU DE BORD'!K14="!! RUPTURE","1 — CRITIQUE",IF('TABLEAU DE BORD'!K14="&gt;&gt; COMMANDER","2 — URGENT",IF('TABLEAU DE BORD'!K14="~ ALERTE","3 — ATTENTION","4 — Normal")))</f>
        <v/>
      </c>
      <c r="K22" s="199">
        <f>IF('TABLEAU DE BORD'!K14="!! RUPTURE","⛔ BLOQUER sorties — Lancer BC immédiatement",IF('TABLEAU DE BORD'!K14="&gt;&gt; COMMANDER","📋 Émettre BC maintenant (stock ≤ ROP)",IF('TABLEAU DE BORD'!K14="~ ALERTE","⚠ Surveiller — préparer commande sous 3 jours","✔ Aucune action requise")))</f>
        <v/>
      </c>
    </row>
    <row r="23" ht="22" customHeight="1" s="96">
      <c r="A23" s="191">
        <f>'TABLEAU DE BORD'!A15</f>
        <v/>
      </c>
      <c r="B23" s="200">
        <f>'TABLEAU DE BORD'!B15</f>
        <v/>
      </c>
      <c r="C23" s="201">
        <f>'TABLEAU DE BORD'!C15</f>
        <v/>
      </c>
      <c r="D23" s="194">
        <f>'TABLEAU DE BORD'!F15</f>
        <v/>
      </c>
      <c r="E23" s="202">
        <f>'TABLEAU DE BORD'!G15</f>
        <v/>
      </c>
      <c r="F23" s="202">
        <f>'TABLEAU DE BORD'!J15</f>
        <v/>
      </c>
      <c r="G23" s="191">
        <f>'TABLEAU DE BORD'!K15</f>
        <v/>
      </c>
      <c r="H23" s="203">
        <f>'TABLEAU DE BORD'!H15</f>
        <v/>
      </c>
      <c r="I23" s="204">
        <f>'TABLEAU DE BORD'!I15</f>
        <v/>
      </c>
      <c r="J23" s="198">
        <f>IF('TABLEAU DE BORD'!K15="!! RUPTURE","1 — CRITIQUE",IF('TABLEAU DE BORD'!K15="&gt;&gt; COMMANDER","2 — URGENT",IF('TABLEAU DE BORD'!K15="~ ALERTE","3 — ATTENTION","4 — Normal")))</f>
        <v/>
      </c>
      <c r="K23" s="199">
        <f>IF('TABLEAU DE BORD'!K15="!! RUPTURE","⛔ BLOQUER sorties — Lancer BC immédiatement",IF('TABLEAU DE BORD'!K15="&gt;&gt; COMMANDER","📋 Émettre BC maintenant (stock ≤ ROP)",IF('TABLEAU DE BORD'!K15="~ ALERTE","⚠ Surveiller — préparer commande sous 3 jours","✔ Aucune action requise")))</f>
        <v/>
      </c>
    </row>
    <row r="24"/>
    <row r="25">
      <c r="A25" s="205" t="inlineStr">
        <is>
          <t>📌  Ce tableau se recalcule automatiquement. Pour forcer: ALT+F8 → RafraichirTableauBord | Pour envoyer alerte MsgBox: ALT+F8 → VerifierAlertes</t>
        </is>
      </c>
    </row>
  </sheetData>
  <mergeCells count="18">
    <mergeCell ref="A3:K3"/>
    <mergeCell ref="G6:I6"/>
    <mergeCell ref="J6:K6"/>
    <mergeCell ref="D8:F8"/>
    <mergeCell ref="A8:C8"/>
    <mergeCell ref="A25:K25"/>
    <mergeCell ref="A6:C6"/>
    <mergeCell ref="J7:K7"/>
    <mergeCell ref="A2:K2"/>
    <mergeCell ref="G8:I8"/>
    <mergeCell ref="J8:K8"/>
    <mergeCell ref="A10:K10"/>
    <mergeCell ref="D6:F6"/>
    <mergeCell ref="A5:K5"/>
    <mergeCell ref="D7:F7"/>
    <mergeCell ref="A7:C7"/>
    <mergeCell ref="G7:I7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" customWidth="1" style="95" min="1" max="1"/>
    <col width="32" customWidth="1" style="95" min="2" max="2"/>
    <col width="20" customWidth="1" style="95" min="3" max="4"/>
    <col width="16" customWidth="1" style="95" min="5" max="5"/>
    <col width="10" customWidth="1" style="95" min="6" max="6"/>
    <col width="14" customWidth="1" style="95" min="7" max="7"/>
  </cols>
  <sheetData>
    <row r="1" ht="27.75" customHeight="1" s="96">
      <c r="A1" s="206" t="inlineStr">
        <is>
          <t>INVENTAIRE PERMANENT  —  Écart Physique vs Comptable  [Jrد الدائم]</t>
        </is>
      </c>
    </row>
    <row r="2" ht="39.75" customHeight="1" s="96">
      <c r="A2" s="207" t="inlineStr">
        <is>
          <t>Code</t>
        </is>
      </c>
      <c r="B2" s="207" t="inlineStr">
        <is>
          <t>Désignation</t>
        </is>
      </c>
      <c r="C2" s="207" t="inlineStr">
        <is>
          <t>Stock Comptable
(Depuis MOUVEMENTS)</t>
        </is>
      </c>
      <c r="D2" s="207" t="inlineStr">
        <is>
          <t>Stock Physique
(Saisie manuelle)</t>
        </is>
      </c>
      <c r="E2" s="207" t="inlineStr">
        <is>
          <t>Écart
(Physique − Comptable)</t>
        </is>
      </c>
      <c r="F2" s="207" t="inlineStr">
        <is>
          <t>% Écart</t>
        </is>
      </c>
      <c r="G2" s="207" t="inlineStr">
        <is>
          <t>Statut</t>
        </is>
      </c>
    </row>
    <row r="3" ht="15" customHeight="1" s="96">
      <c r="A3" s="208" t="inlineStr">
        <is>
          <t>ART-001</t>
        </is>
      </c>
      <c r="B3" s="143">
        <f>IFERROR(VLOOKUP(A3,ARTICLES!$A$3:$B$500,2,0),"")</f>
        <v/>
      </c>
      <c r="C3" s="209">
        <f>SUMIFS(MOUVEMENTS!$E$3:$E$500,MOUVEMENTS!$B$3:$B$500,A3,MOUVEMENTS!$D$3:$D$500,"IN")-SUMIFS(MOUVEMENTS!$E$3:$E$500,MOUVEMENTS!$B$3:$B$500,A3,MOUVEMENTS!$D$3:$D$500,"OUT")</f>
        <v/>
      </c>
      <c r="D3" s="209" t="n"/>
      <c r="E3" s="209">
        <f>IFERROR(D3-C3,"—")</f>
        <v/>
      </c>
      <c r="F3" s="210">
        <f>IFERROR(E3/C3,"—")</f>
        <v/>
      </c>
      <c r="G3" s="208">
        <f>IF(D3="","⏳ À compter",IF(E3=0,"✔ Conforme",IF(ABS(E3)&gt;0,"⚠ Écart","—")))</f>
        <v/>
      </c>
    </row>
    <row r="4" ht="15" customHeight="1" s="96">
      <c r="A4" s="211" t="inlineStr">
        <is>
          <t>ART-002</t>
        </is>
      </c>
      <c r="B4" s="212">
        <f>IFERROR(VLOOKUP(A4,ARTICLES!$A$3:$B$500,2,0),"")</f>
        <v/>
      </c>
      <c r="C4" s="150">
        <f>SUMIFS(MOUVEMENTS!$E$3:$E$500,MOUVEMENTS!$B$3:$B$500,A4,MOUVEMENTS!$D$3:$D$500,"IN")-SUMIFS(MOUVEMENTS!$E$3:$E$500,MOUVEMENTS!$B$3:$B$500,A4,MOUVEMENTS!$D$3:$D$500,"OUT")</f>
        <v/>
      </c>
      <c r="D4" s="150" t="n"/>
      <c r="E4" s="150">
        <f>IFERROR(D4-C4,"—")</f>
        <v/>
      </c>
      <c r="F4" s="213">
        <f>IFERROR(E4/C4,"—")</f>
        <v/>
      </c>
      <c r="G4" s="211">
        <f>IF(D4="","⏳ À compter",IF(E4=0,"✔ Conforme",IF(ABS(E4)&gt;0,"⚠ Écart","—")))</f>
        <v/>
      </c>
    </row>
    <row r="5" ht="15" customHeight="1" s="96">
      <c r="A5" s="208" t="inlineStr">
        <is>
          <t>ART-003</t>
        </is>
      </c>
      <c r="B5" s="143">
        <f>IFERROR(VLOOKUP(A5,ARTICLES!$A$3:$B$500,2,0),"")</f>
        <v/>
      </c>
      <c r="C5" s="209">
        <f>SUMIFS(MOUVEMENTS!$E$3:$E$500,MOUVEMENTS!$B$3:$B$500,A5,MOUVEMENTS!$D$3:$D$500,"IN")-SUMIFS(MOUVEMENTS!$E$3:$E$500,MOUVEMENTS!$B$3:$B$500,A5,MOUVEMENTS!$D$3:$D$500,"OUT")</f>
        <v/>
      </c>
      <c r="D5" s="209" t="n"/>
      <c r="E5" s="209">
        <f>IFERROR(D5-C5,"—")</f>
        <v/>
      </c>
      <c r="F5" s="210">
        <f>IFERROR(E5/C5,"—")</f>
        <v/>
      </c>
      <c r="G5" s="208">
        <f>IF(D5="","⏳ À compter",IF(E5=0,"✔ Conforme",IF(ABS(E5)&gt;0,"⚠ Écart","—")))</f>
        <v/>
      </c>
    </row>
    <row r="6" ht="15" customHeight="1" s="96">
      <c r="A6" s="211" t="inlineStr">
        <is>
          <t>ART-004</t>
        </is>
      </c>
      <c r="B6" s="212">
        <f>IFERROR(VLOOKUP(A6,ARTICLES!$A$3:$B$500,2,0),"")</f>
        <v/>
      </c>
      <c r="C6" s="150">
        <f>SUMIFS(MOUVEMENTS!$E$3:$E$500,MOUVEMENTS!$B$3:$B$500,A6,MOUVEMENTS!$D$3:$D$500,"IN")-SUMIFS(MOUVEMENTS!$E$3:$E$500,MOUVEMENTS!$B$3:$B$500,A6,MOUVEMENTS!$D$3:$D$500,"OUT")</f>
        <v/>
      </c>
      <c r="D6" s="150" t="n"/>
      <c r="E6" s="150">
        <f>IFERROR(D6-C6,"—")</f>
        <v/>
      </c>
      <c r="F6" s="213">
        <f>IFERROR(E6/C6,"—")</f>
        <v/>
      </c>
      <c r="G6" s="211">
        <f>IF(D6="","⏳ À compter",IF(E6=0,"✔ Conforme",IF(ABS(E6)&gt;0,"⚠ Écart","—")))</f>
        <v/>
      </c>
    </row>
    <row r="7" ht="15" customHeight="1" s="96">
      <c r="A7" s="208" t="inlineStr">
        <is>
          <t>ART-005</t>
        </is>
      </c>
      <c r="B7" s="143">
        <f>IFERROR(VLOOKUP(A7,ARTICLES!$A$3:$B$500,2,0),"")</f>
        <v/>
      </c>
      <c r="C7" s="209">
        <f>SUMIFS(MOUVEMENTS!$E$3:$E$500,MOUVEMENTS!$B$3:$B$500,A7,MOUVEMENTS!$D$3:$D$500,"IN")-SUMIFS(MOUVEMENTS!$E$3:$E$500,MOUVEMENTS!$B$3:$B$500,A7,MOUVEMENTS!$D$3:$D$500,"OUT")</f>
        <v/>
      </c>
      <c r="D7" s="209" t="n"/>
      <c r="E7" s="209">
        <f>IFERROR(D7-C7,"—")</f>
        <v/>
      </c>
      <c r="F7" s="210">
        <f>IFERROR(E7/C7,"—")</f>
        <v/>
      </c>
      <c r="G7" s="208">
        <f>IF(D7="","⏳ À compter",IF(E7=0,"✔ Conforme",IF(ABS(E7)&gt;0,"⚠ Écart","—")))</f>
        <v/>
      </c>
    </row>
    <row r="8" ht="15" customHeight="1" s="96">
      <c r="A8" s="211" t="inlineStr">
        <is>
          <t>ART-006</t>
        </is>
      </c>
      <c r="B8" s="212">
        <f>IFERROR(VLOOKUP(A8,ARTICLES!$A$3:$B$500,2,0),"")</f>
        <v/>
      </c>
      <c r="C8" s="150">
        <f>SUMIFS(MOUVEMENTS!$E$3:$E$500,MOUVEMENTS!$B$3:$B$500,A8,MOUVEMENTS!$D$3:$D$500,"IN")-SUMIFS(MOUVEMENTS!$E$3:$E$500,MOUVEMENTS!$B$3:$B$500,A8,MOUVEMENTS!$D$3:$D$500,"OUT")</f>
        <v/>
      </c>
      <c r="D8" s="150" t="n"/>
      <c r="E8" s="150">
        <f>IFERROR(D8-C8,"—")</f>
        <v/>
      </c>
      <c r="F8" s="213">
        <f>IFERROR(E8/C8,"—")</f>
        <v/>
      </c>
      <c r="G8" s="211">
        <f>IF(D8="","⏳ À compter",IF(E8=0,"✔ Conforme",IF(ABS(E8)&gt;0,"⚠ Écart","—")))</f>
        <v/>
      </c>
    </row>
    <row r="9" ht="15" customHeight="1" s="96">
      <c r="A9" s="208" t="inlineStr">
        <is>
          <t>ART-007</t>
        </is>
      </c>
      <c r="B9" s="143">
        <f>IFERROR(VLOOKUP(A9,ARTICLES!$A$3:$B$500,2,0),"")</f>
        <v/>
      </c>
      <c r="C9" s="209">
        <f>SUMIFS(MOUVEMENTS!$E$3:$E$500,MOUVEMENTS!$B$3:$B$500,A9,MOUVEMENTS!$D$3:$D$500,"IN")-SUMIFS(MOUVEMENTS!$E$3:$E$500,MOUVEMENTS!$B$3:$B$500,A9,MOUVEMENTS!$D$3:$D$500,"OUT")</f>
        <v/>
      </c>
      <c r="D9" s="209" t="n"/>
      <c r="E9" s="209">
        <f>IFERROR(D9-C9,"—")</f>
        <v/>
      </c>
      <c r="F9" s="210">
        <f>IFERROR(E9/C9,"—")</f>
        <v/>
      </c>
      <c r="G9" s="208">
        <f>IF(D9="","⏳ À compter",IF(E9=0,"✔ Conforme",IF(ABS(E9)&gt;0,"⚠ Écart","—")))</f>
        <v/>
      </c>
    </row>
    <row r="10" ht="15" customHeight="1" s="96">
      <c r="A10" s="211" t="inlineStr">
        <is>
          <t>ART-008</t>
        </is>
      </c>
      <c r="B10" s="212">
        <f>IFERROR(VLOOKUP(A10,ARTICLES!$A$3:$B$500,2,0),"")</f>
        <v/>
      </c>
      <c r="C10" s="150">
        <f>SUMIFS(MOUVEMENTS!$E$3:$E$500,MOUVEMENTS!$B$3:$B$500,A10,MOUVEMENTS!$D$3:$D$500,"IN")-SUMIFS(MOUVEMENTS!$E$3:$E$500,MOUVEMENTS!$B$3:$B$500,A10,MOUVEMENTS!$D$3:$D$500,"OUT")</f>
        <v/>
      </c>
      <c r="D10" s="150" t="n"/>
      <c r="E10" s="150">
        <f>IFERROR(D10-C10,"—")</f>
        <v/>
      </c>
      <c r="F10" s="213">
        <f>IFERROR(E10/C10,"—")</f>
        <v/>
      </c>
      <c r="G10" s="211">
        <f>IF(D10="","⏳ À compter",IF(E10=0,"✔ Conforme",IF(ABS(E10)&gt;0,"⚠ Écart","—")))</f>
        <v/>
      </c>
    </row>
    <row r="11" ht="15" customHeight="1" s="96">
      <c r="A11" s="208" t="inlineStr">
        <is>
          <t>ART-009</t>
        </is>
      </c>
      <c r="B11" s="143">
        <f>IFERROR(VLOOKUP(A11,ARTICLES!$A$3:$B$500,2,0),"")</f>
        <v/>
      </c>
      <c r="C11" s="209">
        <f>SUMIFS(MOUVEMENTS!$E$3:$E$500,MOUVEMENTS!$B$3:$B$500,A11,MOUVEMENTS!$D$3:$D$500,"IN")-SUMIFS(MOUVEMENTS!$E$3:$E$500,MOUVEMENTS!$B$3:$B$500,A11,MOUVEMENTS!$D$3:$D$500,"OUT")</f>
        <v/>
      </c>
      <c r="D11" s="209" t="n"/>
      <c r="E11" s="209">
        <f>IFERROR(D11-C11,"—")</f>
        <v/>
      </c>
      <c r="F11" s="210">
        <f>IFERROR(E11/C11,"—")</f>
        <v/>
      </c>
      <c r="G11" s="208">
        <f>IF(D11="","⏳ À compter",IF(E11=0,"✔ Conforme",IF(ABS(E11)&gt;0,"⚠ Écart","—")))</f>
        <v/>
      </c>
    </row>
    <row r="12" ht="15" customHeight="1" s="96">
      <c r="A12" s="211" t="inlineStr">
        <is>
          <t>ART-010</t>
        </is>
      </c>
      <c r="B12" s="212">
        <f>IFERROR(VLOOKUP(A12,ARTICLES!$A$3:$B$500,2,0),"")</f>
        <v/>
      </c>
      <c r="C12" s="150">
        <f>SUMIFS(MOUVEMENTS!$E$3:$E$500,MOUVEMENTS!$B$3:$B$500,A12,MOUVEMENTS!$D$3:$D$500,"IN")-SUMIFS(MOUVEMENTS!$E$3:$E$500,MOUVEMENTS!$B$3:$B$500,A12,MOUVEMENTS!$D$3:$D$500,"OUT")</f>
        <v/>
      </c>
      <c r="D12" s="150" t="n"/>
      <c r="E12" s="150">
        <f>IFERROR(D12-C12,"—")</f>
        <v/>
      </c>
      <c r="F12" s="213">
        <f>IFERROR(E12/C12,"—")</f>
        <v/>
      </c>
      <c r="G12" s="211">
        <f>IF(D12="","⏳ À compter",IF(E12=0,"✔ Conforme",IF(ABS(E12)&gt;0,"⚠ Écart","—")))</f>
        <v/>
      </c>
    </row>
    <row r="13" ht="15" customHeight="1" s="96">
      <c r="A13" s="208" t="inlineStr">
        <is>
          <t>ART-011</t>
        </is>
      </c>
      <c r="B13" s="143">
        <f>IFERROR(VLOOKUP(A13,ARTICLES!$A$3:$B$500,2,0),"")</f>
        <v/>
      </c>
      <c r="C13" s="209">
        <f>SUMIFS(MOUVEMENTS!$E$3:$E$500,MOUVEMENTS!$B$3:$B$500,A13,MOUVEMENTS!$D$3:$D$500,"IN")-SUMIFS(MOUVEMENTS!$E$3:$E$500,MOUVEMENTS!$B$3:$B$500,A13,MOUVEMENTS!$D$3:$D$500,"OUT")</f>
        <v/>
      </c>
      <c r="D13" s="209" t="n"/>
      <c r="E13" s="209">
        <f>IFERROR(D13-C13,"—")</f>
        <v/>
      </c>
      <c r="F13" s="210">
        <f>IFERROR(E13/C13,"—")</f>
        <v/>
      </c>
      <c r="G13" s="208">
        <f>IF(D13="","⏳ À compter",IF(E13=0,"✔ Conforme",IF(ABS(E13)&gt;0,"⚠ Écart","—")))</f>
        <v/>
      </c>
    </row>
    <row r="14" ht="15" customHeight="1" s="96">
      <c r="A14" s="211" t="inlineStr">
        <is>
          <t>ART-012</t>
        </is>
      </c>
      <c r="B14" s="212">
        <f>IFERROR(VLOOKUP(A14,ARTICLES!$A$3:$B$500,2,0),"")</f>
        <v/>
      </c>
      <c r="C14" s="150">
        <f>SUMIFS(MOUVEMENTS!$E$3:$E$500,MOUVEMENTS!$B$3:$B$500,A14,MOUVEMENTS!$D$3:$D$500,"IN")-SUMIFS(MOUVEMENTS!$E$3:$E$500,MOUVEMENTS!$B$3:$B$500,A14,MOUVEMENTS!$D$3:$D$500,"OUT")</f>
        <v/>
      </c>
      <c r="D14" s="150" t="n"/>
      <c r="E14" s="150">
        <f>IFERROR(D14-C14,"—")</f>
        <v/>
      </c>
      <c r="F14" s="213">
        <f>IFERROR(E14/C14,"—")</f>
        <v/>
      </c>
      <c r="G14" s="211">
        <f>IF(D14="","⏳ À compter",IF(E14=0,"✔ Conforme",IF(ABS(E14)&gt;0,"⚠ Écart","—")))</f>
        <v/>
      </c>
    </row>
    <row r="15"/>
    <row r="16" ht="15" customHeight="1" s="96">
      <c r="A16" s="214" t="inlineStr">
        <is>
          <t>📌  Saisir le stock physique constaté (colonne D) lors de chaque opération d'inventaire.</t>
        </is>
      </c>
    </row>
  </sheetData>
  <mergeCells count="2">
    <mergeCell ref="A16:G16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14" customWidth="1" style="96" min="1" max="1"/>
    <col width="30" customWidth="1" style="96" min="2" max="2"/>
    <col width="14" customWidth="1" style="96" min="3" max="3"/>
    <col width="14" customWidth="1" style="96" min="4" max="4"/>
    <col width="14" customWidth="1" style="96" min="5" max="5"/>
    <col width="14" customWidth="1" style="96" min="6" max="6"/>
    <col width="16" customWidth="1" style="96" min="7" max="7"/>
    <col width="14" customWidth="1" style="96" min="8" max="8"/>
  </cols>
  <sheetData>
    <row r="1" ht="28" customHeight="1" s="96">
      <c r="A1" s="327" t="inlineStr">
        <is>
          <t>RAPPORTS — التقارير الدورية | مخزن مديرية التربية — ولاية البيض</t>
        </is>
      </c>
    </row>
    <row r="2" ht="18" customHeight="1" s="96">
      <c r="A2" s="343" t="inlineStr">
        <is>
          <t>الأرقام تُحسَب تلقائياً من ورقة MOUVEMENTS. أدخل التواريخ في الخلايا المحددة بالإطار السميك لتصفية الفترة المطلوبة.</t>
        </is>
      </c>
    </row>
    <row r="4" ht="24" customHeight="1" s="96">
      <c r="A4" s="352" t="inlineStr">
        <is>
          <t>▸  التقرير الأسبوعي  —  Rapport Hebdomadaire — Fréquence: chaque lundi</t>
        </is>
      </c>
    </row>
    <row r="5" ht="22" customHeight="1" s="96">
      <c r="A5" s="353" t="inlineStr">
        <is>
          <t>من  /  Du :</t>
        </is>
      </c>
      <c r="B5" s="354" t="inlineStr"/>
      <c r="C5" s="340" t="inlineStr">
        <is>
          <t>إلى  /  À :</t>
        </is>
      </c>
      <c r="D5" s="354" t="inlineStr"/>
      <c r="E5" s="355" t="inlineStr">
        <is>
          <t>★ أدخل تواريخ الفترة في الخلايا B و D</t>
        </is>
      </c>
    </row>
    <row r="6" ht="32" customHeight="1" s="96">
      <c r="A6" s="356" t="inlineStr">
        <is>
          <t>رمز المادة</t>
        </is>
      </c>
      <c r="B6" s="356" t="inlineStr">
        <is>
          <t>التسمية</t>
        </is>
      </c>
      <c r="C6" s="356" t="inlineStr">
        <is>
          <t>الفئة</t>
        </is>
      </c>
      <c r="D6" s="356" t="inlineStr">
        <is>
          <t>دخول
(IN)</t>
        </is>
      </c>
      <c r="E6" s="356" t="inlineStr">
        <is>
          <t>خروج
(OUT)</t>
        </is>
      </c>
      <c r="F6" s="356" t="inlineStr">
        <is>
          <t>الرصيد
(Net)</t>
        </is>
      </c>
      <c r="G6" s="356" t="inlineStr">
        <is>
          <t>القيمة
(DA)</t>
        </is>
      </c>
      <c r="H6" s="356" t="inlineStr">
        <is>
          <t>ملاحظة</t>
        </is>
      </c>
    </row>
    <row r="7" ht="18" customHeight="1" s="96">
      <c r="A7" s="357" t="inlineStr">
        <is>
          <t>ART-001</t>
        </is>
      </c>
      <c r="B7" s="342">
        <f>IFERROR(VLOOKUP(A7,ARTICLES!$A$3:$B$500,2,0),"")</f>
        <v/>
      </c>
      <c r="C7" s="358">
        <f>IFERROR(VLOOKUP(A7,ARTICLES!$A$3:$E$500,5,0),"")</f>
        <v/>
      </c>
      <c r="D7" s="359">
        <f>IFERROR(SUMPRODUCT((MOUVEMENTS!$B$3:$B$500=A7)*(MOUVEMENTS!$D$3:$D$500="IN")*(MOUVEMENTS!$A$3:$A$500&gt;=B5)*(MOUVEMENTS!$A$3:$A$500&lt;=D5)*MOUVEMENTS!$E$3:$E$500),0)</f>
        <v/>
      </c>
      <c r="E7" s="359">
        <f>IFERROR(SUMPRODUCT((MOUVEMENTS!$B$3:$B$500=A7)*(MOUVEMENTS!$D$3:$D$500="OUT")*(MOUVEMENTS!$A$3:$A$500&gt;=B5)*(MOUVEMENTS!$A$3:$A$500&lt;=D5)*MOUVEMENTS!$E$3:$E$500),0)</f>
        <v/>
      </c>
      <c r="F7" s="360">
        <f>D7-E7</f>
        <v/>
      </c>
      <c r="G7" s="359">
        <f>IFERROR(F7*VLOOKUP(A7,ARTICLES!$A$3:$G$500,7,0),0)</f>
        <v/>
      </c>
      <c r="H7" s="357">
        <f>IF(F7&lt;0,"!! NÉGATIF",IF(F7=0,"!! RUPTURE","OK"))</f>
        <v/>
      </c>
    </row>
    <row r="8" ht="18" customHeight="1" s="96">
      <c r="A8" s="361" t="inlineStr">
        <is>
          <t>ART-002</t>
        </is>
      </c>
      <c r="B8" s="362">
        <f>IFERROR(VLOOKUP(A8,ARTICLES!$A$3:$B$500,2,0),"")</f>
        <v/>
      </c>
      <c r="C8" s="363">
        <f>IFERROR(VLOOKUP(A8,ARTICLES!$A$3:$E$500,5,0),"")</f>
        <v/>
      </c>
      <c r="D8" s="364">
        <f>IFERROR(SUMPRODUCT((MOUVEMENTS!$B$3:$B$500=A8)*(MOUVEMENTS!$D$3:$D$500="IN")*(MOUVEMENTS!$A$3:$A$500&gt;=B5)*(MOUVEMENTS!$A$3:$A$500&lt;=D5)*MOUVEMENTS!$E$3:$E$500),0)</f>
        <v/>
      </c>
      <c r="E8" s="364">
        <f>IFERROR(SUMPRODUCT((MOUVEMENTS!$B$3:$B$500=A8)*(MOUVEMENTS!$D$3:$D$500="OUT")*(MOUVEMENTS!$A$3:$A$500&gt;=B5)*(MOUVEMENTS!$A$3:$A$500&lt;=D5)*MOUVEMENTS!$E$3:$E$500),0)</f>
        <v/>
      </c>
      <c r="F8" s="365">
        <f>D8-E8</f>
        <v/>
      </c>
      <c r="G8" s="364">
        <f>IFERROR(F8*VLOOKUP(A8,ARTICLES!$A$3:$G$500,7,0),0)</f>
        <v/>
      </c>
      <c r="H8" s="361">
        <f>IF(F8&lt;0,"!! NÉGATIF",IF(F8=0,"!! RUPTURE","OK"))</f>
        <v/>
      </c>
    </row>
    <row r="9" ht="18" customHeight="1" s="96">
      <c r="A9" s="357" t="inlineStr">
        <is>
          <t>ART-003</t>
        </is>
      </c>
      <c r="B9" s="342">
        <f>IFERROR(VLOOKUP(A9,ARTICLES!$A$3:$B$500,2,0),"")</f>
        <v/>
      </c>
      <c r="C9" s="358">
        <f>IFERROR(VLOOKUP(A9,ARTICLES!$A$3:$E$500,5,0),"")</f>
        <v/>
      </c>
      <c r="D9" s="359">
        <f>IFERROR(SUMPRODUCT((MOUVEMENTS!$B$3:$B$500=A9)*(MOUVEMENTS!$D$3:$D$500="IN")*(MOUVEMENTS!$A$3:$A$500&gt;=B5)*(MOUVEMENTS!$A$3:$A$500&lt;=D5)*MOUVEMENTS!$E$3:$E$500),0)</f>
        <v/>
      </c>
      <c r="E9" s="359">
        <f>IFERROR(SUMPRODUCT((MOUVEMENTS!$B$3:$B$500=A9)*(MOUVEMENTS!$D$3:$D$500="OUT")*(MOUVEMENTS!$A$3:$A$500&gt;=B5)*(MOUVEMENTS!$A$3:$A$500&lt;=D5)*MOUVEMENTS!$E$3:$E$500),0)</f>
        <v/>
      </c>
      <c r="F9" s="360">
        <f>D9-E9</f>
        <v/>
      </c>
      <c r="G9" s="359">
        <f>IFERROR(F9*VLOOKUP(A9,ARTICLES!$A$3:$G$500,7,0),0)</f>
        <v/>
      </c>
      <c r="H9" s="357">
        <f>IF(F9&lt;0,"!! NÉGATIF",IF(F9=0,"!! RUPTURE","OK"))</f>
        <v/>
      </c>
    </row>
    <row r="10" ht="18" customHeight="1" s="96">
      <c r="A10" s="361" t="inlineStr">
        <is>
          <t>ART-004</t>
        </is>
      </c>
      <c r="B10" s="362">
        <f>IFERROR(VLOOKUP(A10,ARTICLES!$A$3:$B$500,2,0),"")</f>
        <v/>
      </c>
      <c r="C10" s="363">
        <f>IFERROR(VLOOKUP(A10,ARTICLES!$A$3:$E$500,5,0),"")</f>
        <v/>
      </c>
      <c r="D10" s="364">
        <f>IFERROR(SUMPRODUCT((MOUVEMENTS!$B$3:$B$500=A10)*(MOUVEMENTS!$D$3:$D$500="IN")*(MOUVEMENTS!$A$3:$A$500&gt;=B5)*(MOUVEMENTS!$A$3:$A$500&lt;=D5)*MOUVEMENTS!$E$3:$E$500),0)</f>
        <v/>
      </c>
      <c r="E10" s="364">
        <f>IFERROR(SUMPRODUCT((MOUVEMENTS!$B$3:$B$500=A10)*(MOUVEMENTS!$D$3:$D$500="OUT")*(MOUVEMENTS!$A$3:$A$500&gt;=B5)*(MOUVEMENTS!$A$3:$A$500&lt;=D5)*MOUVEMENTS!$E$3:$E$500),0)</f>
        <v/>
      </c>
      <c r="F10" s="365">
        <f>D10-E10</f>
        <v/>
      </c>
      <c r="G10" s="364">
        <f>IFERROR(F10*VLOOKUP(A10,ARTICLES!$A$3:$G$500,7,0),0)</f>
        <v/>
      </c>
      <c r="H10" s="361">
        <f>IF(F10&lt;0,"!! NÉGATIF",IF(F10=0,"!! RUPTURE","OK"))</f>
        <v/>
      </c>
    </row>
    <row r="11" ht="18" customHeight="1" s="96">
      <c r="A11" s="357" t="inlineStr">
        <is>
          <t>ART-005</t>
        </is>
      </c>
      <c r="B11" s="342">
        <f>IFERROR(VLOOKUP(A11,ARTICLES!$A$3:$B$500,2,0),"")</f>
        <v/>
      </c>
      <c r="C11" s="358">
        <f>IFERROR(VLOOKUP(A11,ARTICLES!$A$3:$E$500,5,0),"")</f>
        <v/>
      </c>
      <c r="D11" s="359">
        <f>IFERROR(SUMPRODUCT((MOUVEMENTS!$B$3:$B$500=A11)*(MOUVEMENTS!$D$3:$D$500="IN")*(MOUVEMENTS!$A$3:$A$500&gt;=B5)*(MOUVEMENTS!$A$3:$A$500&lt;=D5)*MOUVEMENTS!$E$3:$E$500),0)</f>
        <v/>
      </c>
      <c r="E11" s="359">
        <f>IFERROR(SUMPRODUCT((MOUVEMENTS!$B$3:$B$500=A11)*(MOUVEMENTS!$D$3:$D$500="OUT")*(MOUVEMENTS!$A$3:$A$500&gt;=B5)*(MOUVEMENTS!$A$3:$A$500&lt;=D5)*MOUVEMENTS!$E$3:$E$500),0)</f>
        <v/>
      </c>
      <c r="F11" s="360">
        <f>D11-E11</f>
        <v/>
      </c>
      <c r="G11" s="359">
        <f>IFERROR(F11*VLOOKUP(A11,ARTICLES!$A$3:$G$500,7,0),0)</f>
        <v/>
      </c>
      <c r="H11" s="357">
        <f>IF(F11&lt;0,"!! NÉGATIF",IF(F11=0,"!! RUPTURE","OK"))</f>
        <v/>
      </c>
    </row>
    <row r="12" ht="18" customHeight="1" s="96">
      <c r="A12" s="361" t="inlineStr">
        <is>
          <t>ART-006</t>
        </is>
      </c>
      <c r="B12" s="362">
        <f>IFERROR(VLOOKUP(A12,ARTICLES!$A$3:$B$500,2,0),"")</f>
        <v/>
      </c>
      <c r="C12" s="363">
        <f>IFERROR(VLOOKUP(A12,ARTICLES!$A$3:$E$500,5,0),"")</f>
        <v/>
      </c>
      <c r="D12" s="364">
        <f>IFERROR(SUMPRODUCT((MOUVEMENTS!$B$3:$B$500=A12)*(MOUVEMENTS!$D$3:$D$500="IN")*(MOUVEMENTS!$A$3:$A$500&gt;=B5)*(MOUVEMENTS!$A$3:$A$500&lt;=D5)*MOUVEMENTS!$E$3:$E$500),0)</f>
        <v/>
      </c>
      <c r="E12" s="364">
        <f>IFERROR(SUMPRODUCT((MOUVEMENTS!$B$3:$B$500=A12)*(MOUVEMENTS!$D$3:$D$500="OUT")*(MOUVEMENTS!$A$3:$A$500&gt;=B5)*(MOUVEMENTS!$A$3:$A$500&lt;=D5)*MOUVEMENTS!$E$3:$E$500),0)</f>
        <v/>
      </c>
      <c r="F12" s="365">
        <f>D12-E12</f>
        <v/>
      </c>
      <c r="G12" s="364">
        <f>IFERROR(F12*VLOOKUP(A12,ARTICLES!$A$3:$G$500,7,0),0)</f>
        <v/>
      </c>
      <c r="H12" s="361">
        <f>IF(F12&lt;0,"!! NÉGATIF",IF(F12=0,"!! RUPTURE","OK"))</f>
        <v/>
      </c>
    </row>
    <row r="13" ht="18" customHeight="1" s="96">
      <c r="A13" s="357" t="inlineStr">
        <is>
          <t>ART-007</t>
        </is>
      </c>
      <c r="B13" s="342">
        <f>IFERROR(VLOOKUP(A13,ARTICLES!$A$3:$B$500,2,0),"")</f>
        <v/>
      </c>
      <c r="C13" s="358">
        <f>IFERROR(VLOOKUP(A13,ARTICLES!$A$3:$E$500,5,0),"")</f>
        <v/>
      </c>
      <c r="D13" s="359">
        <f>IFERROR(SUMPRODUCT((MOUVEMENTS!$B$3:$B$500=A13)*(MOUVEMENTS!$D$3:$D$500="IN")*(MOUVEMENTS!$A$3:$A$500&gt;=B5)*(MOUVEMENTS!$A$3:$A$500&lt;=D5)*MOUVEMENTS!$E$3:$E$500),0)</f>
        <v/>
      </c>
      <c r="E13" s="359">
        <f>IFERROR(SUMPRODUCT((MOUVEMENTS!$B$3:$B$500=A13)*(MOUVEMENTS!$D$3:$D$500="OUT")*(MOUVEMENTS!$A$3:$A$500&gt;=B5)*(MOUVEMENTS!$A$3:$A$500&lt;=D5)*MOUVEMENTS!$E$3:$E$500),0)</f>
        <v/>
      </c>
      <c r="F13" s="360">
        <f>D13-E13</f>
        <v/>
      </c>
      <c r="G13" s="359">
        <f>IFERROR(F13*VLOOKUP(A13,ARTICLES!$A$3:$G$500,7,0),0)</f>
        <v/>
      </c>
      <c r="H13" s="357">
        <f>IF(F13&lt;0,"!! NÉGATIF",IF(F13=0,"!! RUPTURE","OK"))</f>
        <v/>
      </c>
    </row>
    <row r="14" ht="18" customHeight="1" s="96">
      <c r="A14" s="361" t="inlineStr">
        <is>
          <t>ART-008</t>
        </is>
      </c>
      <c r="B14" s="362">
        <f>IFERROR(VLOOKUP(A14,ARTICLES!$A$3:$B$500,2,0),"")</f>
        <v/>
      </c>
      <c r="C14" s="363">
        <f>IFERROR(VLOOKUP(A14,ARTICLES!$A$3:$E$500,5,0),"")</f>
        <v/>
      </c>
      <c r="D14" s="364">
        <f>IFERROR(SUMPRODUCT((MOUVEMENTS!$B$3:$B$500=A14)*(MOUVEMENTS!$D$3:$D$500="IN")*(MOUVEMENTS!$A$3:$A$500&gt;=B5)*(MOUVEMENTS!$A$3:$A$500&lt;=D5)*MOUVEMENTS!$E$3:$E$500),0)</f>
        <v/>
      </c>
      <c r="E14" s="364">
        <f>IFERROR(SUMPRODUCT((MOUVEMENTS!$B$3:$B$500=A14)*(MOUVEMENTS!$D$3:$D$500="OUT")*(MOUVEMENTS!$A$3:$A$500&gt;=B5)*(MOUVEMENTS!$A$3:$A$500&lt;=D5)*MOUVEMENTS!$E$3:$E$500),0)</f>
        <v/>
      </c>
      <c r="F14" s="365">
        <f>D14-E14</f>
        <v/>
      </c>
      <c r="G14" s="364">
        <f>IFERROR(F14*VLOOKUP(A14,ARTICLES!$A$3:$G$500,7,0),0)</f>
        <v/>
      </c>
      <c r="H14" s="361">
        <f>IF(F14&lt;0,"!! NÉGATIF",IF(F14=0,"!! RUPTURE","OK"))</f>
        <v/>
      </c>
    </row>
    <row r="15" ht="18" customHeight="1" s="96">
      <c r="A15" s="357" t="inlineStr">
        <is>
          <t>ART-009</t>
        </is>
      </c>
      <c r="B15" s="342">
        <f>IFERROR(VLOOKUP(A15,ARTICLES!$A$3:$B$500,2,0),"")</f>
        <v/>
      </c>
      <c r="C15" s="358">
        <f>IFERROR(VLOOKUP(A15,ARTICLES!$A$3:$E$500,5,0),"")</f>
        <v/>
      </c>
      <c r="D15" s="359">
        <f>IFERROR(SUMPRODUCT((MOUVEMENTS!$B$3:$B$500=A15)*(MOUVEMENTS!$D$3:$D$500="IN")*(MOUVEMENTS!$A$3:$A$500&gt;=B5)*(MOUVEMENTS!$A$3:$A$500&lt;=D5)*MOUVEMENTS!$E$3:$E$500),0)</f>
        <v/>
      </c>
      <c r="E15" s="359">
        <f>IFERROR(SUMPRODUCT((MOUVEMENTS!$B$3:$B$500=A15)*(MOUVEMENTS!$D$3:$D$500="OUT")*(MOUVEMENTS!$A$3:$A$500&gt;=B5)*(MOUVEMENTS!$A$3:$A$500&lt;=D5)*MOUVEMENTS!$E$3:$E$500),0)</f>
        <v/>
      </c>
      <c r="F15" s="360">
        <f>D15-E15</f>
        <v/>
      </c>
      <c r="G15" s="359">
        <f>IFERROR(F15*VLOOKUP(A15,ARTICLES!$A$3:$G$500,7,0),0)</f>
        <v/>
      </c>
      <c r="H15" s="357">
        <f>IF(F15&lt;0,"!! NÉGATIF",IF(F15=0,"!! RUPTURE","OK"))</f>
        <v/>
      </c>
    </row>
    <row r="16" ht="18" customHeight="1" s="96">
      <c r="A16" s="361" t="inlineStr">
        <is>
          <t>ART-010</t>
        </is>
      </c>
      <c r="B16" s="362">
        <f>IFERROR(VLOOKUP(A16,ARTICLES!$A$3:$B$500,2,0),"")</f>
        <v/>
      </c>
      <c r="C16" s="363">
        <f>IFERROR(VLOOKUP(A16,ARTICLES!$A$3:$E$500,5,0),"")</f>
        <v/>
      </c>
      <c r="D16" s="364">
        <f>IFERROR(SUMPRODUCT((MOUVEMENTS!$B$3:$B$500=A16)*(MOUVEMENTS!$D$3:$D$500="IN")*(MOUVEMENTS!$A$3:$A$500&gt;=B5)*(MOUVEMENTS!$A$3:$A$500&lt;=D5)*MOUVEMENTS!$E$3:$E$500),0)</f>
        <v/>
      </c>
      <c r="E16" s="364">
        <f>IFERROR(SUMPRODUCT((MOUVEMENTS!$B$3:$B$500=A16)*(MOUVEMENTS!$D$3:$D$500="OUT")*(MOUVEMENTS!$A$3:$A$500&gt;=B5)*(MOUVEMENTS!$A$3:$A$500&lt;=D5)*MOUVEMENTS!$E$3:$E$500),0)</f>
        <v/>
      </c>
      <c r="F16" s="365">
        <f>D16-E16</f>
        <v/>
      </c>
      <c r="G16" s="364">
        <f>IFERROR(F16*VLOOKUP(A16,ARTICLES!$A$3:$G$500,7,0),0)</f>
        <v/>
      </c>
      <c r="H16" s="361">
        <f>IF(F16&lt;0,"!! NÉGATIF",IF(F16=0,"!! RUPTURE","OK"))</f>
        <v/>
      </c>
    </row>
    <row r="17" ht="18" customHeight="1" s="96">
      <c r="A17" s="357" t="inlineStr">
        <is>
          <t>ART-011</t>
        </is>
      </c>
      <c r="B17" s="342">
        <f>IFERROR(VLOOKUP(A17,ARTICLES!$A$3:$B$500,2,0),"")</f>
        <v/>
      </c>
      <c r="C17" s="358">
        <f>IFERROR(VLOOKUP(A17,ARTICLES!$A$3:$E$500,5,0),"")</f>
        <v/>
      </c>
      <c r="D17" s="359">
        <f>IFERROR(SUMPRODUCT((MOUVEMENTS!$B$3:$B$500=A17)*(MOUVEMENTS!$D$3:$D$500="IN")*(MOUVEMENTS!$A$3:$A$500&gt;=B5)*(MOUVEMENTS!$A$3:$A$500&lt;=D5)*MOUVEMENTS!$E$3:$E$500),0)</f>
        <v/>
      </c>
      <c r="E17" s="359">
        <f>IFERROR(SUMPRODUCT((MOUVEMENTS!$B$3:$B$500=A17)*(MOUVEMENTS!$D$3:$D$500="OUT")*(MOUVEMENTS!$A$3:$A$500&gt;=B5)*(MOUVEMENTS!$A$3:$A$500&lt;=D5)*MOUVEMENTS!$E$3:$E$500),0)</f>
        <v/>
      </c>
      <c r="F17" s="360">
        <f>D17-E17</f>
        <v/>
      </c>
      <c r="G17" s="359">
        <f>IFERROR(F17*VLOOKUP(A17,ARTICLES!$A$3:$G$500,7,0),0)</f>
        <v/>
      </c>
      <c r="H17" s="357">
        <f>IF(F17&lt;0,"!! NÉGATIF",IF(F17=0,"!! RUPTURE","OK"))</f>
        <v/>
      </c>
    </row>
    <row r="18" ht="18" customHeight="1" s="96">
      <c r="A18" s="361" t="inlineStr">
        <is>
          <t>ART-012</t>
        </is>
      </c>
      <c r="B18" s="362">
        <f>IFERROR(VLOOKUP(A18,ARTICLES!$A$3:$B$500,2,0),"")</f>
        <v/>
      </c>
      <c r="C18" s="363">
        <f>IFERROR(VLOOKUP(A18,ARTICLES!$A$3:$E$500,5,0),"")</f>
        <v/>
      </c>
      <c r="D18" s="364">
        <f>IFERROR(SUMPRODUCT((MOUVEMENTS!$B$3:$B$500=A18)*(MOUVEMENTS!$D$3:$D$500="IN")*(MOUVEMENTS!$A$3:$A$500&gt;=B5)*(MOUVEMENTS!$A$3:$A$500&lt;=D5)*MOUVEMENTS!$E$3:$E$500),0)</f>
        <v/>
      </c>
      <c r="E18" s="364">
        <f>IFERROR(SUMPRODUCT((MOUVEMENTS!$B$3:$B$500=A18)*(MOUVEMENTS!$D$3:$D$500="OUT")*(MOUVEMENTS!$A$3:$A$500&gt;=B5)*(MOUVEMENTS!$A$3:$A$500&lt;=D5)*MOUVEMENTS!$E$3:$E$500),0)</f>
        <v/>
      </c>
      <c r="F18" s="365">
        <f>D18-E18</f>
        <v/>
      </c>
      <c r="G18" s="364">
        <f>IFERROR(F18*VLOOKUP(A18,ARTICLES!$A$3:$G$500,7,0),0)</f>
        <v/>
      </c>
      <c r="H18" s="361">
        <f>IF(F18&lt;0,"!! NÉGATIF",IF(F18=0,"!! RUPTURE","OK"))</f>
        <v/>
      </c>
    </row>
    <row r="19" ht="22" customHeight="1" s="96">
      <c r="A19" s="366" t="inlineStr">
        <is>
          <t>TOTAUX</t>
        </is>
      </c>
      <c r="B19" s="366" t="inlineStr">
        <is>
          <t>Total période</t>
        </is>
      </c>
      <c r="D19" s="367">
        <f>SUM(D7:D18)</f>
        <v/>
      </c>
      <c r="E19" s="367">
        <f>SUM(E7:E18)</f>
        <v/>
      </c>
      <c r="F19" s="367">
        <f>SUM(F7:F18)</f>
        <v/>
      </c>
      <c r="G19" s="367">
        <f>SUM(G7:G18)</f>
        <v/>
      </c>
      <c r="H19" s="368" t="inlineStr"/>
    </row>
    <row r="20" ht="26" customHeight="1" s="96">
      <c r="A20" s="369" t="inlineStr">
        <is>
          <t>📌  التقرير الأسبوعي يُطبَع كل اثنين ويُسلَّم لمسؤول الوسائل. يُركِّز على مواد الفئة A (ورق A4 + حبر الطابعة).</t>
        </is>
      </c>
    </row>
    <row r="23" ht="24" customHeight="1" s="96">
      <c r="A23" s="352" t="inlineStr">
        <is>
          <t>▸  التقرير الشهري  —  Rapport Mensuel — Fréquence: fin de chaque mois</t>
        </is>
      </c>
    </row>
    <row r="24" ht="22" customHeight="1" s="96">
      <c r="A24" s="353" t="inlineStr">
        <is>
          <t>من  /  Du :</t>
        </is>
      </c>
      <c r="B24" s="354" t="inlineStr"/>
      <c r="C24" s="340" t="inlineStr">
        <is>
          <t>إلى  /  À :</t>
        </is>
      </c>
      <c r="D24" s="354" t="inlineStr"/>
      <c r="E24" s="355" t="inlineStr">
        <is>
          <t>★ أدخل تواريخ الفترة في الخلايا B و D</t>
        </is>
      </c>
    </row>
    <row r="25" ht="32" customHeight="1" s="96">
      <c r="A25" s="356" t="inlineStr">
        <is>
          <t>رمز المادة</t>
        </is>
      </c>
      <c r="B25" s="356" t="inlineStr">
        <is>
          <t>التسمية</t>
        </is>
      </c>
      <c r="C25" s="356" t="inlineStr">
        <is>
          <t>الفئة</t>
        </is>
      </c>
      <c r="D25" s="356" t="inlineStr">
        <is>
          <t>دخول
(IN)</t>
        </is>
      </c>
      <c r="E25" s="356" t="inlineStr">
        <is>
          <t>خروج
(OUT)</t>
        </is>
      </c>
      <c r="F25" s="356" t="inlineStr">
        <is>
          <t>الرصيد
(Net)</t>
        </is>
      </c>
      <c r="G25" s="356" t="inlineStr">
        <is>
          <t>القيمة
(DA)</t>
        </is>
      </c>
      <c r="H25" s="356" t="inlineStr">
        <is>
          <t>ملاحظة</t>
        </is>
      </c>
    </row>
    <row r="26" ht="18" customHeight="1" s="96">
      <c r="A26" s="357" t="inlineStr">
        <is>
          <t>ART-001</t>
        </is>
      </c>
      <c r="B26" s="342">
        <f>IFERROR(VLOOKUP(A26,ARTICLES!$A$3:$B$500,2,0),"")</f>
        <v/>
      </c>
      <c r="C26" s="358">
        <f>IFERROR(VLOOKUP(A26,ARTICLES!$A$3:$E$500,5,0),"")</f>
        <v/>
      </c>
      <c r="D26" s="359">
        <f>IFERROR(SUMPRODUCT((MOUVEMENTS!$B$3:$B$500=A26)*(MOUVEMENTS!$D$3:$D$500="IN")*(MOUVEMENTS!$A$3:$A$500&gt;=B24)*(MOUVEMENTS!$A$3:$A$500&lt;=D24)*MOUVEMENTS!$E$3:$E$500),0)</f>
        <v/>
      </c>
      <c r="E26" s="359">
        <f>IFERROR(SUMPRODUCT((MOUVEMENTS!$B$3:$B$500=A26)*(MOUVEMENTS!$D$3:$D$500="OUT")*(MOUVEMENTS!$A$3:$A$500&gt;=B24)*(MOUVEMENTS!$A$3:$A$500&lt;=D24)*MOUVEMENTS!$E$3:$E$500),0)</f>
        <v/>
      </c>
      <c r="F26" s="360">
        <f>D26-E26</f>
        <v/>
      </c>
      <c r="G26" s="359">
        <f>IFERROR(F26*VLOOKUP(A26,ARTICLES!$A$3:$G$500,7,0),0)</f>
        <v/>
      </c>
      <c r="H26" s="357">
        <f>IF(F26&lt;0,"!! NÉGATIF",IF(F26=0,"!! RUPTURE","OK"))</f>
        <v/>
      </c>
    </row>
    <row r="27" ht="18" customHeight="1" s="96">
      <c r="A27" s="361" t="inlineStr">
        <is>
          <t>ART-002</t>
        </is>
      </c>
      <c r="B27" s="362">
        <f>IFERROR(VLOOKUP(A27,ARTICLES!$A$3:$B$500,2,0),"")</f>
        <v/>
      </c>
      <c r="C27" s="363">
        <f>IFERROR(VLOOKUP(A27,ARTICLES!$A$3:$E$500,5,0),"")</f>
        <v/>
      </c>
      <c r="D27" s="364">
        <f>IFERROR(SUMPRODUCT((MOUVEMENTS!$B$3:$B$500=A27)*(MOUVEMENTS!$D$3:$D$500="IN")*(MOUVEMENTS!$A$3:$A$500&gt;=B24)*(MOUVEMENTS!$A$3:$A$500&lt;=D24)*MOUVEMENTS!$E$3:$E$500),0)</f>
        <v/>
      </c>
      <c r="E27" s="364">
        <f>IFERROR(SUMPRODUCT((MOUVEMENTS!$B$3:$B$500=A27)*(MOUVEMENTS!$D$3:$D$500="OUT")*(MOUVEMENTS!$A$3:$A$500&gt;=B24)*(MOUVEMENTS!$A$3:$A$500&lt;=D24)*MOUVEMENTS!$E$3:$E$500),0)</f>
        <v/>
      </c>
      <c r="F27" s="365">
        <f>D27-E27</f>
        <v/>
      </c>
      <c r="G27" s="364">
        <f>IFERROR(F27*VLOOKUP(A27,ARTICLES!$A$3:$G$500,7,0),0)</f>
        <v/>
      </c>
      <c r="H27" s="361">
        <f>IF(F27&lt;0,"!! NÉGATIF",IF(F27=0,"!! RUPTURE","OK"))</f>
        <v/>
      </c>
    </row>
    <row r="28" ht="18" customHeight="1" s="96">
      <c r="A28" s="357" t="inlineStr">
        <is>
          <t>ART-003</t>
        </is>
      </c>
      <c r="B28" s="342">
        <f>IFERROR(VLOOKUP(A28,ARTICLES!$A$3:$B$500,2,0),"")</f>
        <v/>
      </c>
      <c r="C28" s="358">
        <f>IFERROR(VLOOKUP(A28,ARTICLES!$A$3:$E$500,5,0),"")</f>
        <v/>
      </c>
      <c r="D28" s="359">
        <f>IFERROR(SUMPRODUCT((MOUVEMENTS!$B$3:$B$500=A28)*(MOUVEMENTS!$D$3:$D$500="IN")*(MOUVEMENTS!$A$3:$A$500&gt;=B24)*(MOUVEMENTS!$A$3:$A$500&lt;=D24)*MOUVEMENTS!$E$3:$E$500),0)</f>
        <v/>
      </c>
      <c r="E28" s="359">
        <f>IFERROR(SUMPRODUCT((MOUVEMENTS!$B$3:$B$500=A28)*(MOUVEMENTS!$D$3:$D$500="OUT")*(MOUVEMENTS!$A$3:$A$500&gt;=B24)*(MOUVEMENTS!$A$3:$A$500&lt;=D24)*MOUVEMENTS!$E$3:$E$500),0)</f>
        <v/>
      </c>
      <c r="F28" s="360">
        <f>D28-E28</f>
        <v/>
      </c>
      <c r="G28" s="359">
        <f>IFERROR(F28*VLOOKUP(A28,ARTICLES!$A$3:$G$500,7,0),0)</f>
        <v/>
      </c>
      <c r="H28" s="357">
        <f>IF(F28&lt;0,"!! NÉGATIF",IF(F28=0,"!! RUPTURE","OK"))</f>
        <v/>
      </c>
    </row>
    <row r="29" ht="18" customHeight="1" s="96">
      <c r="A29" s="361" t="inlineStr">
        <is>
          <t>ART-004</t>
        </is>
      </c>
      <c r="B29" s="362">
        <f>IFERROR(VLOOKUP(A29,ARTICLES!$A$3:$B$500,2,0),"")</f>
        <v/>
      </c>
      <c r="C29" s="363">
        <f>IFERROR(VLOOKUP(A29,ARTICLES!$A$3:$E$500,5,0),"")</f>
        <v/>
      </c>
      <c r="D29" s="364">
        <f>IFERROR(SUMPRODUCT((MOUVEMENTS!$B$3:$B$500=A29)*(MOUVEMENTS!$D$3:$D$500="IN")*(MOUVEMENTS!$A$3:$A$500&gt;=B24)*(MOUVEMENTS!$A$3:$A$500&lt;=D24)*MOUVEMENTS!$E$3:$E$500),0)</f>
        <v/>
      </c>
      <c r="E29" s="364">
        <f>IFERROR(SUMPRODUCT((MOUVEMENTS!$B$3:$B$500=A29)*(MOUVEMENTS!$D$3:$D$500="OUT")*(MOUVEMENTS!$A$3:$A$500&gt;=B24)*(MOUVEMENTS!$A$3:$A$500&lt;=D24)*MOUVEMENTS!$E$3:$E$500),0)</f>
        <v/>
      </c>
      <c r="F29" s="365">
        <f>D29-E29</f>
        <v/>
      </c>
      <c r="G29" s="364">
        <f>IFERROR(F29*VLOOKUP(A29,ARTICLES!$A$3:$G$500,7,0),0)</f>
        <v/>
      </c>
      <c r="H29" s="361">
        <f>IF(F29&lt;0,"!! NÉGATIF",IF(F29=0,"!! RUPTURE","OK"))</f>
        <v/>
      </c>
    </row>
    <row r="30" ht="18" customHeight="1" s="96">
      <c r="A30" s="357" t="inlineStr">
        <is>
          <t>ART-005</t>
        </is>
      </c>
      <c r="B30" s="342">
        <f>IFERROR(VLOOKUP(A30,ARTICLES!$A$3:$B$500,2,0),"")</f>
        <v/>
      </c>
      <c r="C30" s="358">
        <f>IFERROR(VLOOKUP(A30,ARTICLES!$A$3:$E$500,5,0),"")</f>
        <v/>
      </c>
      <c r="D30" s="359">
        <f>IFERROR(SUMPRODUCT((MOUVEMENTS!$B$3:$B$500=A30)*(MOUVEMENTS!$D$3:$D$500="IN")*(MOUVEMENTS!$A$3:$A$500&gt;=B24)*(MOUVEMENTS!$A$3:$A$500&lt;=D24)*MOUVEMENTS!$E$3:$E$500),0)</f>
        <v/>
      </c>
      <c r="E30" s="359">
        <f>IFERROR(SUMPRODUCT((MOUVEMENTS!$B$3:$B$500=A30)*(MOUVEMENTS!$D$3:$D$500="OUT")*(MOUVEMENTS!$A$3:$A$500&gt;=B24)*(MOUVEMENTS!$A$3:$A$500&lt;=D24)*MOUVEMENTS!$E$3:$E$500),0)</f>
        <v/>
      </c>
      <c r="F30" s="360">
        <f>D30-E30</f>
        <v/>
      </c>
      <c r="G30" s="359">
        <f>IFERROR(F30*VLOOKUP(A30,ARTICLES!$A$3:$G$500,7,0),0)</f>
        <v/>
      </c>
      <c r="H30" s="357">
        <f>IF(F30&lt;0,"!! NÉGATIF",IF(F30=0,"!! RUPTURE","OK"))</f>
        <v/>
      </c>
    </row>
    <row r="31" ht="18" customHeight="1" s="96">
      <c r="A31" s="361" t="inlineStr">
        <is>
          <t>ART-006</t>
        </is>
      </c>
      <c r="B31" s="362">
        <f>IFERROR(VLOOKUP(A31,ARTICLES!$A$3:$B$500,2,0),"")</f>
        <v/>
      </c>
      <c r="C31" s="363">
        <f>IFERROR(VLOOKUP(A31,ARTICLES!$A$3:$E$500,5,0),"")</f>
        <v/>
      </c>
      <c r="D31" s="364">
        <f>IFERROR(SUMPRODUCT((MOUVEMENTS!$B$3:$B$500=A31)*(MOUVEMENTS!$D$3:$D$500="IN")*(MOUVEMENTS!$A$3:$A$500&gt;=B24)*(MOUVEMENTS!$A$3:$A$500&lt;=D24)*MOUVEMENTS!$E$3:$E$500),0)</f>
        <v/>
      </c>
      <c r="E31" s="364">
        <f>IFERROR(SUMPRODUCT((MOUVEMENTS!$B$3:$B$500=A31)*(MOUVEMENTS!$D$3:$D$500="OUT")*(MOUVEMENTS!$A$3:$A$500&gt;=B24)*(MOUVEMENTS!$A$3:$A$500&lt;=D24)*MOUVEMENTS!$E$3:$E$500),0)</f>
        <v/>
      </c>
      <c r="F31" s="365">
        <f>D31-E31</f>
        <v/>
      </c>
      <c r="G31" s="364">
        <f>IFERROR(F31*VLOOKUP(A31,ARTICLES!$A$3:$G$500,7,0),0)</f>
        <v/>
      </c>
      <c r="H31" s="361">
        <f>IF(F31&lt;0,"!! NÉGATIF",IF(F31=0,"!! RUPTURE","OK"))</f>
        <v/>
      </c>
    </row>
    <row r="32" ht="18" customHeight="1" s="96">
      <c r="A32" s="357" t="inlineStr">
        <is>
          <t>ART-007</t>
        </is>
      </c>
      <c r="B32" s="342">
        <f>IFERROR(VLOOKUP(A32,ARTICLES!$A$3:$B$500,2,0),"")</f>
        <v/>
      </c>
      <c r="C32" s="358">
        <f>IFERROR(VLOOKUP(A32,ARTICLES!$A$3:$E$500,5,0),"")</f>
        <v/>
      </c>
      <c r="D32" s="359">
        <f>IFERROR(SUMPRODUCT((MOUVEMENTS!$B$3:$B$500=A32)*(MOUVEMENTS!$D$3:$D$500="IN")*(MOUVEMENTS!$A$3:$A$500&gt;=B24)*(MOUVEMENTS!$A$3:$A$500&lt;=D24)*MOUVEMENTS!$E$3:$E$500),0)</f>
        <v/>
      </c>
      <c r="E32" s="359">
        <f>IFERROR(SUMPRODUCT((MOUVEMENTS!$B$3:$B$500=A32)*(MOUVEMENTS!$D$3:$D$500="OUT")*(MOUVEMENTS!$A$3:$A$500&gt;=B24)*(MOUVEMENTS!$A$3:$A$500&lt;=D24)*MOUVEMENTS!$E$3:$E$500),0)</f>
        <v/>
      </c>
      <c r="F32" s="360">
        <f>D32-E32</f>
        <v/>
      </c>
      <c r="G32" s="359">
        <f>IFERROR(F32*VLOOKUP(A32,ARTICLES!$A$3:$G$500,7,0),0)</f>
        <v/>
      </c>
      <c r="H32" s="357">
        <f>IF(F32&lt;0,"!! NÉGATIF",IF(F32=0,"!! RUPTURE","OK"))</f>
        <v/>
      </c>
    </row>
    <row r="33" ht="18" customHeight="1" s="96">
      <c r="A33" s="361" t="inlineStr">
        <is>
          <t>ART-008</t>
        </is>
      </c>
      <c r="B33" s="362">
        <f>IFERROR(VLOOKUP(A33,ARTICLES!$A$3:$B$500,2,0),"")</f>
        <v/>
      </c>
      <c r="C33" s="363">
        <f>IFERROR(VLOOKUP(A33,ARTICLES!$A$3:$E$500,5,0),"")</f>
        <v/>
      </c>
      <c r="D33" s="364">
        <f>IFERROR(SUMPRODUCT((MOUVEMENTS!$B$3:$B$500=A33)*(MOUVEMENTS!$D$3:$D$500="IN")*(MOUVEMENTS!$A$3:$A$500&gt;=B24)*(MOUVEMENTS!$A$3:$A$500&lt;=D24)*MOUVEMENTS!$E$3:$E$500),0)</f>
        <v/>
      </c>
      <c r="E33" s="364">
        <f>IFERROR(SUMPRODUCT((MOUVEMENTS!$B$3:$B$500=A33)*(MOUVEMENTS!$D$3:$D$500="OUT")*(MOUVEMENTS!$A$3:$A$500&gt;=B24)*(MOUVEMENTS!$A$3:$A$500&lt;=D24)*MOUVEMENTS!$E$3:$E$500),0)</f>
        <v/>
      </c>
      <c r="F33" s="365">
        <f>D33-E33</f>
        <v/>
      </c>
      <c r="G33" s="364">
        <f>IFERROR(F33*VLOOKUP(A33,ARTICLES!$A$3:$G$500,7,0),0)</f>
        <v/>
      </c>
      <c r="H33" s="361">
        <f>IF(F33&lt;0,"!! NÉGATIF",IF(F33=0,"!! RUPTURE","OK"))</f>
        <v/>
      </c>
    </row>
    <row r="34" ht="18" customHeight="1" s="96">
      <c r="A34" s="357" t="inlineStr">
        <is>
          <t>ART-009</t>
        </is>
      </c>
      <c r="B34" s="342">
        <f>IFERROR(VLOOKUP(A34,ARTICLES!$A$3:$B$500,2,0),"")</f>
        <v/>
      </c>
      <c r="C34" s="358">
        <f>IFERROR(VLOOKUP(A34,ARTICLES!$A$3:$E$500,5,0),"")</f>
        <v/>
      </c>
      <c r="D34" s="359">
        <f>IFERROR(SUMPRODUCT((MOUVEMENTS!$B$3:$B$500=A34)*(MOUVEMENTS!$D$3:$D$500="IN")*(MOUVEMENTS!$A$3:$A$500&gt;=B24)*(MOUVEMENTS!$A$3:$A$500&lt;=D24)*MOUVEMENTS!$E$3:$E$500),0)</f>
        <v/>
      </c>
      <c r="E34" s="359">
        <f>IFERROR(SUMPRODUCT((MOUVEMENTS!$B$3:$B$500=A34)*(MOUVEMENTS!$D$3:$D$500="OUT")*(MOUVEMENTS!$A$3:$A$500&gt;=B24)*(MOUVEMENTS!$A$3:$A$500&lt;=D24)*MOUVEMENTS!$E$3:$E$500),0)</f>
        <v/>
      </c>
      <c r="F34" s="360">
        <f>D34-E34</f>
        <v/>
      </c>
      <c r="G34" s="359">
        <f>IFERROR(F34*VLOOKUP(A34,ARTICLES!$A$3:$G$500,7,0),0)</f>
        <v/>
      </c>
      <c r="H34" s="357">
        <f>IF(F34&lt;0,"!! NÉGATIF",IF(F34=0,"!! RUPTURE","OK"))</f>
        <v/>
      </c>
    </row>
    <row r="35" ht="18" customHeight="1" s="96">
      <c r="A35" s="361" t="inlineStr">
        <is>
          <t>ART-010</t>
        </is>
      </c>
      <c r="B35" s="362">
        <f>IFERROR(VLOOKUP(A35,ARTICLES!$A$3:$B$500,2,0),"")</f>
        <v/>
      </c>
      <c r="C35" s="363">
        <f>IFERROR(VLOOKUP(A35,ARTICLES!$A$3:$E$500,5,0),"")</f>
        <v/>
      </c>
      <c r="D35" s="364">
        <f>IFERROR(SUMPRODUCT((MOUVEMENTS!$B$3:$B$500=A35)*(MOUVEMENTS!$D$3:$D$500="IN")*(MOUVEMENTS!$A$3:$A$500&gt;=B24)*(MOUVEMENTS!$A$3:$A$500&lt;=D24)*MOUVEMENTS!$E$3:$E$500),0)</f>
        <v/>
      </c>
      <c r="E35" s="364">
        <f>IFERROR(SUMPRODUCT((MOUVEMENTS!$B$3:$B$500=A35)*(MOUVEMENTS!$D$3:$D$500="OUT")*(MOUVEMENTS!$A$3:$A$500&gt;=B24)*(MOUVEMENTS!$A$3:$A$500&lt;=D24)*MOUVEMENTS!$E$3:$E$500),0)</f>
        <v/>
      </c>
      <c r="F35" s="365">
        <f>D35-E35</f>
        <v/>
      </c>
      <c r="G35" s="364">
        <f>IFERROR(F35*VLOOKUP(A35,ARTICLES!$A$3:$G$500,7,0),0)</f>
        <v/>
      </c>
      <c r="H35" s="361">
        <f>IF(F35&lt;0,"!! NÉGATIF",IF(F35=0,"!! RUPTURE","OK"))</f>
        <v/>
      </c>
    </row>
    <row r="36" ht="18" customHeight="1" s="96">
      <c r="A36" s="357" t="inlineStr">
        <is>
          <t>ART-011</t>
        </is>
      </c>
      <c r="B36" s="342">
        <f>IFERROR(VLOOKUP(A36,ARTICLES!$A$3:$B$500,2,0),"")</f>
        <v/>
      </c>
      <c r="C36" s="358">
        <f>IFERROR(VLOOKUP(A36,ARTICLES!$A$3:$E$500,5,0),"")</f>
        <v/>
      </c>
      <c r="D36" s="359">
        <f>IFERROR(SUMPRODUCT((MOUVEMENTS!$B$3:$B$500=A36)*(MOUVEMENTS!$D$3:$D$500="IN")*(MOUVEMENTS!$A$3:$A$500&gt;=B24)*(MOUVEMENTS!$A$3:$A$500&lt;=D24)*MOUVEMENTS!$E$3:$E$500),0)</f>
        <v/>
      </c>
      <c r="E36" s="359">
        <f>IFERROR(SUMPRODUCT((MOUVEMENTS!$B$3:$B$500=A36)*(MOUVEMENTS!$D$3:$D$500="OUT")*(MOUVEMENTS!$A$3:$A$500&gt;=B24)*(MOUVEMENTS!$A$3:$A$500&lt;=D24)*MOUVEMENTS!$E$3:$E$500),0)</f>
        <v/>
      </c>
      <c r="F36" s="360">
        <f>D36-E36</f>
        <v/>
      </c>
      <c r="G36" s="359">
        <f>IFERROR(F36*VLOOKUP(A36,ARTICLES!$A$3:$G$500,7,0),0)</f>
        <v/>
      </c>
      <c r="H36" s="357">
        <f>IF(F36&lt;0,"!! NÉGATIF",IF(F36=0,"!! RUPTURE","OK"))</f>
        <v/>
      </c>
    </row>
    <row r="37" ht="18" customHeight="1" s="96">
      <c r="A37" s="361" t="inlineStr">
        <is>
          <t>ART-012</t>
        </is>
      </c>
      <c r="B37" s="362">
        <f>IFERROR(VLOOKUP(A37,ARTICLES!$A$3:$B$500,2,0),"")</f>
        <v/>
      </c>
      <c r="C37" s="363">
        <f>IFERROR(VLOOKUP(A37,ARTICLES!$A$3:$E$500,5,0),"")</f>
        <v/>
      </c>
      <c r="D37" s="364">
        <f>IFERROR(SUMPRODUCT((MOUVEMENTS!$B$3:$B$500=A37)*(MOUVEMENTS!$D$3:$D$500="IN")*(MOUVEMENTS!$A$3:$A$500&gt;=B24)*(MOUVEMENTS!$A$3:$A$500&lt;=D24)*MOUVEMENTS!$E$3:$E$500),0)</f>
        <v/>
      </c>
      <c r="E37" s="364">
        <f>IFERROR(SUMPRODUCT((MOUVEMENTS!$B$3:$B$500=A37)*(MOUVEMENTS!$D$3:$D$500="OUT")*(MOUVEMENTS!$A$3:$A$500&gt;=B24)*(MOUVEMENTS!$A$3:$A$500&lt;=D24)*MOUVEMENTS!$E$3:$E$500),0)</f>
        <v/>
      </c>
      <c r="F37" s="365">
        <f>D37-E37</f>
        <v/>
      </c>
      <c r="G37" s="364">
        <f>IFERROR(F37*VLOOKUP(A37,ARTICLES!$A$3:$G$500,7,0),0)</f>
        <v/>
      </c>
      <c r="H37" s="361">
        <f>IF(F37&lt;0,"!! NÉGATIF",IF(F37=0,"!! RUPTURE","OK"))</f>
        <v/>
      </c>
    </row>
    <row r="38" ht="22" customHeight="1" s="96">
      <c r="A38" s="366" t="inlineStr">
        <is>
          <t>TOTAUX</t>
        </is>
      </c>
      <c r="B38" s="366" t="inlineStr">
        <is>
          <t>Total période</t>
        </is>
      </c>
      <c r="D38" s="367">
        <f>SUM(D26:D37)</f>
        <v/>
      </c>
      <c r="E38" s="367">
        <f>SUM(E26:E37)</f>
        <v/>
      </c>
      <c r="F38" s="367">
        <f>SUM(F26:F37)</f>
        <v/>
      </c>
      <c r="G38" s="367">
        <f>SUM(G26:G37)</f>
        <v/>
      </c>
      <c r="H38" s="368" t="inlineStr"/>
    </row>
    <row r="39" ht="26" customHeight="1" s="96">
      <c r="A39" s="369" t="inlineStr">
        <is>
          <t>📌  التقرير الشهري يُقدَّم لمصلحة الميزانية. يُقارَن رصيد نهاية الشهر بالرصيد الافتتاحي لقياس معدل الاستهلاك.</t>
        </is>
      </c>
    </row>
    <row r="42" ht="24" customHeight="1" s="96">
      <c r="A42" s="352" t="inlineStr">
        <is>
          <t>▸  التقرير الفصلي (3 أشهر)  —  Rapport Trimestriel — Fréquence: janv / avr / juil / oct</t>
        </is>
      </c>
    </row>
    <row r="43" ht="22" customHeight="1" s="96">
      <c r="A43" s="353" t="inlineStr">
        <is>
          <t>من  /  Du :</t>
        </is>
      </c>
      <c r="B43" s="354" t="inlineStr"/>
      <c r="C43" s="340" t="inlineStr">
        <is>
          <t>إلى  /  À :</t>
        </is>
      </c>
      <c r="D43" s="354" t="inlineStr"/>
      <c r="E43" s="355" t="inlineStr">
        <is>
          <t>★ أدخل تواريخ الفترة في الخلايا B و D</t>
        </is>
      </c>
    </row>
    <row r="44" ht="32" customHeight="1" s="96">
      <c r="A44" s="356" t="inlineStr">
        <is>
          <t>رمز المادة</t>
        </is>
      </c>
      <c r="B44" s="356" t="inlineStr">
        <is>
          <t>التسمية</t>
        </is>
      </c>
      <c r="C44" s="356" t="inlineStr">
        <is>
          <t>الفئة</t>
        </is>
      </c>
      <c r="D44" s="356" t="inlineStr">
        <is>
          <t>دخول
(IN)</t>
        </is>
      </c>
      <c r="E44" s="356" t="inlineStr">
        <is>
          <t>خروج
(OUT)</t>
        </is>
      </c>
      <c r="F44" s="356" t="inlineStr">
        <is>
          <t>الرصيد
(Net)</t>
        </is>
      </c>
      <c r="G44" s="356" t="inlineStr">
        <is>
          <t>القيمة
(DA)</t>
        </is>
      </c>
      <c r="H44" s="356" t="inlineStr">
        <is>
          <t>ملاحظة</t>
        </is>
      </c>
    </row>
    <row r="45" ht="18" customHeight="1" s="96">
      <c r="A45" s="357" t="inlineStr">
        <is>
          <t>ART-001</t>
        </is>
      </c>
      <c r="B45" s="342">
        <f>IFERROR(VLOOKUP(A45,ARTICLES!$A$3:$B$500,2,0),"")</f>
        <v/>
      </c>
      <c r="C45" s="358">
        <f>IFERROR(VLOOKUP(A45,ARTICLES!$A$3:$E$500,5,0),"")</f>
        <v/>
      </c>
      <c r="D45" s="359">
        <f>IFERROR(SUMPRODUCT((MOUVEMENTS!$B$3:$B$500=A45)*(MOUVEMENTS!$D$3:$D$500="IN")*(MOUVEMENTS!$A$3:$A$500&gt;=B43)*(MOUVEMENTS!$A$3:$A$500&lt;=D43)*MOUVEMENTS!$E$3:$E$500),0)</f>
        <v/>
      </c>
      <c r="E45" s="359">
        <f>IFERROR(SUMPRODUCT((MOUVEMENTS!$B$3:$B$500=A45)*(MOUVEMENTS!$D$3:$D$500="OUT")*(MOUVEMENTS!$A$3:$A$500&gt;=B43)*(MOUVEMENTS!$A$3:$A$500&lt;=D43)*MOUVEMENTS!$E$3:$E$500),0)</f>
        <v/>
      </c>
      <c r="F45" s="360">
        <f>D45-E45</f>
        <v/>
      </c>
      <c r="G45" s="359">
        <f>IFERROR(F45*VLOOKUP(A45,ARTICLES!$A$3:$G$500,7,0),0)</f>
        <v/>
      </c>
      <c r="H45" s="357">
        <f>IF(F45&lt;0,"!! NÉGATIF",IF(F45=0,"!! RUPTURE","OK"))</f>
        <v/>
      </c>
    </row>
    <row r="46" ht="18" customHeight="1" s="96">
      <c r="A46" s="361" t="inlineStr">
        <is>
          <t>ART-002</t>
        </is>
      </c>
      <c r="B46" s="362">
        <f>IFERROR(VLOOKUP(A46,ARTICLES!$A$3:$B$500,2,0),"")</f>
        <v/>
      </c>
      <c r="C46" s="363">
        <f>IFERROR(VLOOKUP(A46,ARTICLES!$A$3:$E$500,5,0),"")</f>
        <v/>
      </c>
      <c r="D46" s="364">
        <f>IFERROR(SUMPRODUCT((MOUVEMENTS!$B$3:$B$500=A46)*(MOUVEMENTS!$D$3:$D$500="IN")*(MOUVEMENTS!$A$3:$A$500&gt;=B43)*(MOUVEMENTS!$A$3:$A$500&lt;=D43)*MOUVEMENTS!$E$3:$E$500),0)</f>
        <v/>
      </c>
      <c r="E46" s="364">
        <f>IFERROR(SUMPRODUCT((MOUVEMENTS!$B$3:$B$500=A46)*(MOUVEMENTS!$D$3:$D$500="OUT")*(MOUVEMENTS!$A$3:$A$500&gt;=B43)*(MOUVEMENTS!$A$3:$A$500&lt;=D43)*MOUVEMENTS!$E$3:$E$500),0)</f>
        <v/>
      </c>
      <c r="F46" s="365">
        <f>D46-E46</f>
        <v/>
      </c>
      <c r="G46" s="364">
        <f>IFERROR(F46*VLOOKUP(A46,ARTICLES!$A$3:$G$500,7,0),0)</f>
        <v/>
      </c>
      <c r="H46" s="361">
        <f>IF(F46&lt;0,"!! NÉGATIF",IF(F46=0,"!! RUPTURE","OK"))</f>
        <v/>
      </c>
    </row>
    <row r="47" ht="18" customHeight="1" s="96">
      <c r="A47" s="357" t="inlineStr">
        <is>
          <t>ART-003</t>
        </is>
      </c>
      <c r="B47" s="342">
        <f>IFERROR(VLOOKUP(A47,ARTICLES!$A$3:$B$500,2,0),"")</f>
        <v/>
      </c>
      <c r="C47" s="358">
        <f>IFERROR(VLOOKUP(A47,ARTICLES!$A$3:$E$500,5,0),"")</f>
        <v/>
      </c>
      <c r="D47" s="359">
        <f>IFERROR(SUMPRODUCT((MOUVEMENTS!$B$3:$B$500=A47)*(MOUVEMENTS!$D$3:$D$500="IN")*(MOUVEMENTS!$A$3:$A$500&gt;=B43)*(MOUVEMENTS!$A$3:$A$500&lt;=D43)*MOUVEMENTS!$E$3:$E$500),0)</f>
        <v/>
      </c>
      <c r="E47" s="359">
        <f>IFERROR(SUMPRODUCT((MOUVEMENTS!$B$3:$B$500=A47)*(MOUVEMENTS!$D$3:$D$500="OUT")*(MOUVEMENTS!$A$3:$A$500&gt;=B43)*(MOUVEMENTS!$A$3:$A$500&lt;=D43)*MOUVEMENTS!$E$3:$E$500),0)</f>
        <v/>
      </c>
      <c r="F47" s="360">
        <f>D47-E47</f>
        <v/>
      </c>
      <c r="G47" s="359">
        <f>IFERROR(F47*VLOOKUP(A47,ARTICLES!$A$3:$G$500,7,0),0)</f>
        <v/>
      </c>
      <c r="H47" s="357">
        <f>IF(F47&lt;0,"!! NÉGATIF",IF(F47=0,"!! RUPTURE","OK"))</f>
        <v/>
      </c>
    </row>
    <row r="48" ht="18" customHeight="1" s="96">
      <c r="A48" s="361" t="inlineStr">
        <is>
          <t>ART-004</t>
        </is>
      </c>
      <c r="B48" s="362">
        <f>IFERROR(VLOOKUP(A48,ARTICLES!$A$3:$B$500,2,0),"")</f>
        <v/>
      </c>
      <c r="C48" s="363">
        <f>IFERROR(VLOOKUP(A48,ARTICLES!$A$3:$E$500,5,0),"")</f>
        <v/>
      </c>
      <c r="D48" s="364">
        <f>IFERROR(SUMPRODUCT((MOUVEMENTS!$B$3:$B$500=A48)*(MOUVEMENTS!$D$3:$D$500="IN")*(MOUVEMENTS!$A$3:$A$500&gt;=B43)*(MOUVEMENTS!$A$3:$A$500&lt;=D43)*MOUVEMENTS!$E$3:$E$500),0)</f>
        <v/>
      </c>
      <c r="E48" s="364">
        <f>IFERROR(SUMPRODUCT((MOUVEMENTS!$B$3:$B$500=A48)*(MOUVEMENTS!$D$3:$D$500="OUT")*(MOUVEMENTS!$A$3:$A$500&gt;=B43)*(MOUVEMENTS!$A$3:$A$500&lt;=D43)*MOUVEMENTS!$E$3:$E$500),0)</f>
        <v/>
      </c>
      <c r="F48" s="365">
        <f>D48-E48</f>
        <v/>
      </c>
      <c r="G48" s="364">
        <f>IFERROR(F48*VLOOKUP(A48,ARTICLES!$A$3:$G$500,7,0),0)</f>
        <v/>
      </c>
      <c r="H48" s="361">
        <f>IF(F48&lt;0,"!! NÉGATIF",IF(F48=0,"!! RUPTURE","OK"))</f>
        <v/>
      </c>
    </row>
    <row r="49" ht="18" customHeight="1" s="96">
      <c r="A49" s="357" t="inlineStr">
        <is>
          <t>ART-005</t>
        </is>
      </c>
      <c r="B49" s="342">
        <f>IFERROR(VLOOKUP(A49,ARTICLES!$A$3:$B$500,2,0),"")</f>
        <v/>
      </c>
      <c r="C49" s="358">
        <f>IFERROR(VLOOKUP(A49,ARTICLES!$A$3:$E$500,5,0),"")</f>
        <v/>
      </c>
      <c r="D49" s="359">
        <f>IFERROR(SUMPRODUCT((MOUVEMENTS!$B$3:$B$500=A49)*(MOUVEMENTS!$D$3:$D$500="IN")*(MOUVEMENTS!$A$3:$A$500&gt;=B43)*(MOUVEMENTS!$A$3:$A$500&lt;=D43)*MOUVEMENTS!$E$3:$E$500),0)</f>
        <v/>
      </c>
      <c r="E49" s="359">
        <f>IFERROR(SUMPRODUCT((MOUVEMENTS!$B$3:$B$500=A49)*(MOUVEMENTS!$D$3:$D$500="OUT")*(MOUVEMENTS!$A$3:$A$500&gt;=B43)*(MOUVEMENTS!$A$3:$A$500&lt;=D43)*MOUVEMENTS!$E$3:$E$500),0)</f>
        <v/>
      </c>
      <c r="F49" s="360">
        <f>D49-E49</f>
        <v/>
      </c>
      <c r="G49" s="359">
        <f>IFERROR(F49*VLOOKUP(A49,ARTICLES!$A$3:$G$500,7,0),0)</f>
        <v/>
      </c>
      <c r="H49" s="357">
        <f>IF(F49&lt;0,"!! NÉGATIF",IF(F49=0,"!! RUPTURE","OK"))</f>
        <v/>
      </c>
    </row>
    <row r="50" ht="18" customHeight="1" s="96">
      <c r="A50" s="361" t="inlineStr">
        <is>
          <t>ART-006</t>
        </is>
      </c>
      <c r="B50" s="362">
        <f>IFERROR(VLOOKUP(A50,ARTICLES!$A$3:$B$500,2,0),"")</f>
        <v/>
      </c>
      <c r="C50" s="363">
        <f>IFERROR(VLOOKUP(A50,ARTICLES!$A$3:$E$500,5,0),"")</f>
        <v/>
      </c>
      <c r="D50" s="364">
        <f>IFERROR(SUMPRODUCT((MOUVEMENTS!$B$3:$B$500=A50)*(MOUVEMENTS!$D$3:$D$500="IN")*(MOUVEMENTS!$A$3:$A$500&gt;=B43)*(MOUVEMENTS!$A$3:$A$500&lt;=D43)*MOUVEMENTS!$E$3:$E$500),0)</f>
        <v/>
      </c>
      <c r="E50" s="364">
        <f>IFERROR(SUMPRODUCT((MOUVEMENTS!$B$3:$B$500=A50)*(MOUVEMENTS!$D$3:$D$500="OUT")*(MOUVEMENTS!$A$3:$A$500&gt;=B43)*(MOUVEMENTS!$A$3:$A$500&lt;=D43)*MOUVEMENTS!$E$3:$E$500),0)</f>
        <v/>
      </c>
      <c r="F50" s="365">
        <f>D50-E50</f>
        <v/>
      </c>
      <c r="G50" s="364">
        <f>IFERROR(F50*VLOOKUP(A50,ARTICLES!$A$3:$G$500,7,0),0)</f>
        <v/>
      </c>
      <c r="H50" s="361">
        <f>IF(F50&lt;0,"!! NÉGATIF",IF(F50=0,"!! RUPTURE","OK"))</f>
        <v/>
      </c>
    </row>
    <row r="51" ht="18" customHeight="1" s="96">
      <c r="A51" s="357" t="inlineStr">
        <is>
          <t>ART-007</t>
        </is>
      </c>
      <c r="B51" s="342">
        <f>IFERROR(VLOOKUP(A51,ARTICLES!$A$3:$B$500,2,0),"")</f>
        <v/>
      </c>
      <c r="C51" s="358">
        <f>IFERROR(VLOOKUP(A51,ARTICLES!$A$3:$E$500,5,0),"")</f>
        <v/>
      </c>
      <c r="D51" s="359">
        <f>IFERROR(SUMPRODUCT((MOUVEMENTS!$B$3:$B$500=A51)*(MOUVEMENTS!$D$3:$D$500="IN")*(MOUVEMENTS!$A$3:$A$500&gt;=B43)*(MOUVEMENTS!$A$3:$A$500&lt;=D43)*MOUVEMENTS!$E$3:$E$500),0)</f>
        <v/>
      </c>
      <c r="E51" s="359">
        <f>IFERROR(SUMPRODUCT((MOUVEMENTS!$B$3:$B$500=A51)*(MOUVEMENTS!$D$3:$D$500="OUT")*(MOUVEMENTS!$A$3:$A$500&gt;=B43)*(MOUVEMENTS!$A$3:$A$500&lt;=D43)*MOUVEMENTS!$E$3:$E$500),0)</f>
        <v/>
      </c>
      <c r="F51" s="360">
        <f>D51-E51</f>
        <v/>
      </c>
      <c r="G51" s="359">
        <f>IFERROR(F51*VLOOKUP(A51,ARTICLES!$A$3:$G$500,7,0),0)</f>
        <v/>
      </c>
      <c r="H51" s="357">
        <f>IF(F51&lt;0,"!! NÉGATIF",IF(F51=0,"!! RUPTURE","OK"))</f>
        <v/>
      </c>
    </row>
    <row r="52" ht="18" customHeight="1" s="96">
      <c r="A52" s="361" t="inlineStr">
        <is>
          <t>ART-008</t>
        </is>
      </c>
      <c r="B52" s="362">
        <f>IFERROR(VLOOKUP(A52,ARTICLES!$A$3:$B$500,2,0),"")</f>
        <v/>
      </c>
      <c r="C52" s="363">
        <f>IFERROR(VLOOKUP(A52,ARTICLES!$A$3:$E$500,5,0),"")</f>
        <v/>
      </c>
      <c r="D52" s="364">
        <f>IFERROR(SUMPRODUCT((MOUVEMENTS!$B$3:$B$500=A52)*(MOUVEMENTS!$D$3:$D$500="IN")*(MOUVEMENTS!$A$3:$A$500&gt;=B43)*(MOUVEMENTS!$A$3:$A$500&lt;=D43)*MOUVEMENTS!$E$3:$E$500),0)</f>
        <v/>
      </c>
      <c r="E52" s="364">
        <f>IFERROR(SUMPRODUCT((MOUVEMENTS!$B$3:$B$500=A52)*(MOUVEMENTS!$D$3:$D$500="OUT")*(MOUVEMENTS!$A$3:$A$500&gt;=B43)*(MOUVEMENTS!$A$3:$A$500&lt;=D43)*MOUVEMENTS!$E$3:$E$500),0)</f>
        <v/>
      </c>
      <c r="F52" s="365">
        <f>D52-E52</f>
        <v/>
      </c>
      <c r="G52" s="364">
        <f>IFERROR(F52*VLOOKUP(A52,ARTICLES!$A$3:$G$500,7,0),0)</f>
        <v/>
      </c>
      <c r="H52" s="361">
        <f>IF(F52&lt;0,"!! NÉGATIF",IF(F52=0,"!! RUPTURE","OK"))</f>
        <v/>
      </c>
    </row>
    <row r="53" ht="18" customHeight="1" s="96">
      <c r="A53" s="357" t="inlineStr">
        <is>
          <t>ART-009</t>
        </is>
      </c>
      <c r="B53" s="342">
        <f>IFERROR(VLOOKUP(A53,ARTICLES!$A$3:$B$500,2,0),"")</f>
        <v/>
      </c>
      <c r="C53" s="358">
        <f>IFERROR(VLOOKUP(A53,ARTICLES!$A$3:$E$500,5,0),"")</f>
        <v/>
      </c>
      <c r="D53" s="359">
        <f>IFERROR(SUMPRODUCT((MOUVEMENTS!$B$3:$B$500=A53)*(MOUVEMENTS!$D$3:$D$500="IN")*(MOUVEMENTS!$A$3:$A$500&gt;=B43)*(MOUVEMENTS!$A$3:$A$500&lt;=D43)*MOUVEMENTS!$E$3:$E$500),0)</f>
        <v/>
      </c>
      <c r="E53" s="359">
        <f>IFERROR(SUMPRODUCT((MOUVEMENTS!$B$3:$B$500=A53)*(MOUVEMENTS!$D$3:$D$500="OUT")*(MOUVEMENTS!$A$3:$A$500&gt;=B43)*(MOUVEMENTS!$A$3:$A$500&lt;=D43)*MOUVEMENTS!$E$3:$E$500),0)</f>
        <v/>
      </c>
      <c r="F53" s="360">
        <f>D53-E53</f>
        <v/>
      </c>
      <c r="G53" s="359">
        <f>IFERROR(F53*VLOOKUP(A53,ARTICLES!$A$3:$G$500,7,0),0)</f>
        <v/>
      </c>
      <c r="H53" s="357">
        <f>IF(F53&lt;0,"!! NÉGATIF",IF(F53=0,"!! RUPTURE","OK"))</f>
        <v/>
      </c>
    </row>
    <row r="54" ht="18" customHeight="1" s="96">
      <c r="A54" s="361" t="inlineStr">
        <is>
          <t>ART-010</t>
        </is>
      </c>
      <c r="B54" s="362">
        <f>IFERROR(VLOOKUP(A54,ARTICLES!$A$3:$B$500,2,0),"")</f>
        <v/>
      </c>
      <c r="C54" s="363">
        <f>IFERROR(VLOOKUP(A54,ARTICLES!$A$3:$E$500,5,0),"")</f>
        <v/>
      </c>
      <c r="D54" s="364">
        <f>IFERROR(SUMPRODUCT((MOUVEMENTS!$B$3:$B$500=A54)*(MOUVEMENTS!$D$3:$D$500="IN")*(MOUVEMENTS!$A$3:$A$500&gt;=B43)*(MOUVEMENTS!$A$3:$A$500&lt;=D43)*MOUVEMENTS!$E$3:$E$500),0)</f>
        <v/>
      </c>
      <c r="E54" s="364">
        <f>IFERROR(SUMPRODUCT((MOUVEMENTS!$B$3:$B$500=A54)*(MOUVEMENTS!$D$3:$D$500="OUT")*(MOUVEMENTS!$A$3:$A$500&gt;=B43)*(MOUVEMENTS!$A$3:$A$500&lt;=D43)*MOUVEMENTS!$E$3:$E$500),0)</f>
        <v/>
      </c>
      <c r="F54" s="365">
        <f>D54-E54</f>
        <v/>
      </c>
      <c r="G54" s="364">
        <f>IFERROR(F54*VLOOKUP(A54,ARTICLES!$A$3:$G$500,7,0),0)</f>
        <v/>
      </c>
      <c r="H54" s="361">
        <f>IF(F54&lt;0,"!! NÉGATIF",IF(F54=0,"!! RUPTURE","OK"))</f>
        <v/>
      </c>
    </row>
    <row r="55" ht="18" customHeight="1" s="96">
      <c r="A55" s="357" t="inlineStr">
        <is>
          <t>ART-011</t>
        </is>
      </c>
      <c r="B55" s="342">
        <f>IFERROR(VLOOKUP(A55,ARTICLES!$A$3:$B$500,2,0),"")</f>
        <v/>
      </c>
      <c r="C55" s="358">
        <f>IFERROR(VLOOKUP(A55,ARTICLES!$A$3:$E$500,5,0),"")</f>
        <v/>
      </c>
      <c r="D55" s="359">
        <f>IFERROR(SUMPRODUCT((MOUVEMENTS!$B$3:$B$500=A55)*(MOUVEMENTS!$D$3:$D$500="IN")*(MOUVEMENTS!$A$3:$A$500&gt;=B43)*(MOUVEMENTS!$A$3:$A$500&lt;=D43)*MOUVEMENTS!$E$3:$E$500),0)</f>
        <v/>
      </c>
      <c r="E55" s="359">
        <f>IFERROR(SUMPRODUCT((MOUVEMENTS!$B$3:$B$500=A55)*(MOUVEMENTS!$D$3:$D$500="OUT")*(MOUVEMENTS!$A$3:$A$500&gt;=B43)*(MOUVEMENTS!$A$3:$A$500&lt;=D43)*MOUVEMENTS!$E$3:$E$500),0)</f>
        <v/>
      </c>
      <c r="F55" s="360">
        <f>D55-E55</f>
        <v/>
      </c>
      <c r="G55" s="359">
        <f>IFERROR(F55*VLOOKUP(A55,ARTICLES!$A$3:$G$500,7,0),0)</f>
        <v/>
      </c>
      <c r="H55" s="357">
        <f>IF(F55&lt;0,"!! NÉGATIF",IF(F55=0,"!! RUPTURE","OK"))</f>
        <v/>
      </c>
    </row>
    <row r="56" ht="18" customHeight="1" s="96">
      <c r="A56" s="361" t="inlineStr">
        <is>
          <t>ART-012</t>
        </is>
      </c>
      <c r="B56" s="362">
        <f>IFERROR(VLOOKUP(A56,ARTICLES!$A$3:$B$500,2,0),"")</f>
        <v/>
      </c>
      <c r="C56" s="363">
        <f>IFERROR(VLOOKUP(A56,ARTICLES!$A$3:$E$500,5,0),"")</f>
        <v/>
      </c>
      <c r="D56" s="364">
        <f>IFERROR(SUMPRODUCT((MOUVEMENTS!$B$3:$B$500=A56)*(MOUVEMENTS!$D$3:$D$500="IN")*(MOUVEMENTS!$A$3:$A$500&gt;=B43)*(MOUVEMENTS!$A$3:$A$500&lt;=D43)*MOUVEMENTS!$E$3:$E$500),0)</f>
        <v/>
      </c>
      <c r="E56" s="364">
        <f>IFERROR(SUMPRODUCT((MOUVEMENTS!$B$3:$B$500=A56)*(MOUVEMENTS!$D$3:$D$500="OUT")*(MOUVEMENTS!$A$3:$A$500&gt;=B43)*(MOUVEMENTS!$A$3:$A$500&lt;=D43)*MOUVEMENTS!$E$3:$E$500),0)</f>
        <v/>
      </c>
      <c r="F56" s="365">
        <f>D56-E56</f>
        <v/>
      </c>
      <c r="G56" s="364">
        <f>IFERROR(F56*VLOOKUP(A56,ARTICLES!$A$3:$G$500,7,0),0)</f>
        <v/>
      </c>
      <c r="H56" s="361">
        <f>IF(F56&lt;0,"!! NÉGATIF",IF(F56=0,"!! RUPTURE","OK"))</f>
        <v/>
      </c>
    </row>
    <row r="57" ht="22" customHeight="1" s="96">
      <c r="A57" s="366" t="inlineStr">
        <is>
          <t>TOTAUX</t>
        </is>
      </c>
      <c r="B57" s="366" t="inlineStr">
        <is>
          <t>Total période</t>
        </is>
      </c>
      <c r="D57" s="367">
        <f>SUM(D45:D56)</f>
        <v/>
      </c>
      <c r="E57" s="367">
        <f>SUM(E45:E56)</f>
        <v/>
      </c>
      <c r="F57" s="367">
        <f>SUM(F45:F56)</f>
        <v/>
      </c>
      <c r="G57" s="367">
        <f>SUM(G45:G56)</f>
        <v/>
      </c>
      <c r="H57" s="368" t="inlineStr"/>
    </row>
    <row r="58" ht="26" customHeight="1" s="96">
      <c r="A58" s="369" t="inlineStr">
        <is>
          <t>📌  التقرير الفصلي يشمل جميع الفئات (A+B+C). يُستخدَم لتقدير احتياجات الشراء للفصل القادم وإعداد طلبيات DA.</t>
        </is>
      </c>
    </row>
    <row r="61" ht="24" customHeight="1" s="96">
      <c r="A61" s="352" t="inlineStr">
        <is>
          <t>▸  التقرير السداسي (6 أشهر)  —  Rapport Semestriel — Fréquence: juin / décembre</t>
        </is>
      </c>
    </row>
    <row r="62" ht="22" customHeight="1" s="96">
      <c r="A62" s="353" t="inlineStr">
        <is>
          <t>من  /  Du :</t>
        </is>
      </c>
      <c r="B62" s="354" t="inlineStr"/>
      <c r="C62" s="340" t="inlineStr">
        <is>
          <t>إلى  /  À :</t>
        </is>
      </c>
      <c r="D62" s="354" t="inlineStr"/>
      <c r="E62" s="355" t="inlineStr">
        <is>
          <t>★ أدخل تواريخ الفترة في الخلايا B و D</t>
        </is>
      </c>
    </row>
    <row r="63" ht="32" customHeight="1" s="96">
      <c r="A63" s="356" t="inlineStr">
        <is>
          <t>رمز المادة</t>
        </is>
      </c>
      <c r="B63" s="356" t="inlineStr">
        <is>
          <t>التسمية</t>
        </is>
      </c>
      <c r="C63" s="356" t="inlineStr">
        <is>
          <t>الفئة</t>
        </is>
      </c>
      <c r="D63" s="356" t="inlineStr">
        <is>
          <t>دخول
(IN)</t>
        </is>
      </c>
      <c r="E63" s="356" t="inlineStr">
        <is>
          <t>خروج
(OUT)</t>
        </is>
      </c>
      <c r="F63" s="356" t="inlineStr">
        <is>
          <t>الرصيد
(Net)</t>
        </is>
      </c>
      <c r="G63" s="356" t="inlineStr">
        <is>
          <t>القيمة
(DA)</t>
        </is>
      </c>
      <c r="H63" s="356" t="inlineStr">
        <is>
          <t>ملاحظة</t>
        </is>
      </c>
    </row>
    <row r="64" ht="18" customHeight="1" s="96">
      <c r="A64" s="357" t="inlineStr">
        <is>
          <t>ART-001</t>
        </is>
      </c>
      <c r="B64" s="342">
        <f>IFERROR(VLOOKUP(A64,ARTICLES!$A$3:$B$500,2,0),"")</f>
        <v/>
      </c>
      <c r="C64" s="358">
        <f>IFERROR(VLOOKUP(A64,ARTICLES!$A$3:$E$500,5,0),"")</f>
        <v/>
      </c>
      <c r="D64" s="359">
        <f>IFERROR(SUMPRODUCT((MOUVEMENTS!$B$3:$B$500=A64)*(MOUVEMENTS!$D$3:$D$500="IN")*(MOUVEMENTS!$A$3:$A$500&gt;=B62)*(MOUVEMENTS!$A$3:$A$500&lt;=D62)*MOUVEMENTS!$E$3:$E$500),0)</f>
        <v/>
      </c>
      <c r="E64" s="359">
        <f>IFERROR(SUMPRODUCT((MOUVEMENTS!$B$3:$B$500=A64)*(MOUVEMENTS!$D$3:$D$500="OUT")*(MOUVEMENTS!$A$3:$A$500&gt;=B62)*(MOUVEMENTS!$A$3:$A$500&lt;=D62)*MOUVEMENTS!$E$3:$E$500),0)</f>
        <v/>
      </c>
      <c r="F64" s="360">
        <f>D64-E64</f>
        <v/>
      </c>
      <c r="G64" s="359">
        <f>IFERROR(F64*VLOOKUP(A64,ARTICLES!$A$3:$G$500,7,0),0)</f>
        <v/>
      </c>
      <c r="H64" s="357">
        <f>IF(F64&lt;0,"!! NÉGATIF",IF(F64=0,"!! RUPTURE","OK"))</f>
        <v/>
      </c>
    </row>
    <row r="65" ht="18" customHeight="1" s="96">
      <c r="A65" s="361" t="inlineStr">
        <is>
          <t>ART-002</t>
        </is>
      </c>
      <c r="B65" s="362">
        <f>IFERROR(VLOOKUP(A65,ARTICLES!$A$3:$B$500,2,0),"")</f>
        <v/>
      </c>
      <c r="C65" s="363">
        <f>IFERROR(VLOOKUP(A65,ARTICLES!$A$3:$E$500,5,0),"")</f>
        <v/>
      </c>
      <c r="D65" s="364">
        <f>IFERROR(SUMPRODUCT((MOUVEMENTS!$B$3:$B$500=A65)*(MOUVEMENTS!$D$3:$D$500="IN")*(MOUVEMENTS!$A$3:$A$500&gt;=B62)*(MOUVEMENTS!$A$3:$A$500&lt;=D62)*MOUVEMENTS!$E$3:$E$500),0)</f>
        <v/>
      </c>
      <c r="E65" s="364">
        <f>IFERROR(SUMPRODUCT((MOUVEMENTS!$B$3:$B$500=A65)*(MOUVEMENTS!$D$3:$D$500="OUT")*(MOUVEMENTS!$A$3:$A$500&gt;=B62)*(MOUVEMENTS!$A$3:$A$500&lt;=D62)*MOUVEMENTS!$E$3:$E$500),0)</f>
        <v/>
      </c>
      <c r="F65" s="365">
        <f>D65-E65</f>
        <v/>
      </c>
      <c r="G65" s="364">
        <f>IFERROR(F65*VLOOKUP(A65,ARTICLES!$A$3:$G$500,7,0),0)</f>
        <v/>
      </c>
      <c r="H65" s="361">
        <f>IF(F65&lt;0,"!! NÉGATIF",IF(F65=0,"!! RUPTURE","OK"))</f>
        <v/>
      </c>
    </row>
    <row r="66" ht="18" customHeight="1" s="96">
      <c r="A66" s="357" t="inlineStr">
        <is>
          <t>ART-003</t>
        </is>
      </c>
      <c r="B66" s="342">
        <f>IFERROR(VLOOKUP(A66,ARTICLES!$A$3:$B$500,2,0),"")</f>
        <v/>
      </c>
      <c r="C66" s="358">
        <f>IFERROR(VLOOKUP(A66,ARTICLES!$A$3:$E$500,5,0),"")</f>
        <v/>
      </c>
      <c r="D66" s="359">
        <f>IFERROR(SUMPRODUCT((MOUVEMENTS!$B$3:$B$500=A66)*(MOUVEMENTS!$D$3:$D$500="IN")*(MOUVEMENTS!$A$3:$A$500&gt;=B62)*(MOUVEMENTS!$A$3:$A$500&lt;=D62)*MOUVEMENTS!$E$3:$E$500),0)</f>
        <v/>
      </c>
      <c r="E66" s="359">
        <f>IFERROR(SUMPRODUCT((MOUVEMENTS!$B$3:$B$500=A66)*(MOUVEMENTS!$D$3:$D$500="OUT")*(MOUVEMENTS!$A$3:$A$500&gt;=B62)*(MOUVEMENTS!$A$3:$A$500&lt;=D62)*MOUVEMENTS!$E$3:$E$500),0)</f>
        <v/>
      </c>
      <c r="F66" s="360">
        <f>D66-E66</f>
        <v/>
      </c>
      <c r="G66" s="359">
        <f>IFERROR(F66*VLOOKUP(A66,ARTICLES!$A$3:$G$500,7,0),0)</f>
        <v/>
      </c>
      <c r="H66" s="357">
        <f>IF(F66&lt;0,"!! NÉGATIF",IF(F66=0,"!! RUPTURE","OK"))</f>
        <v/>
      </c>
    </row>
    <row r="67" ht="18" customHeight="1" s="96">
      <c r="A67" s="361" t="inlineStr">
        <is>
          <t>ART-004</t>
        </is>
      </c>
      <c r="B67" s="362">
        <f>IFERROR(VLOOKUP(A67,ARTICLES!$A$3:$B$500,2,0),"")</f>
        <v/>
      </c>
      <c r="C67" s="363">
        <f>IFERROR(VLOOKUP(A67,ARTICLES!$A$3:$E$500,5,0),"")</f>
        <v/>
      </c>
      <c r="D67" s="364">
        <f>IFERROR(SUMPRODUCT((MOUVEMENTS!$B$3:$B$500=A67)*(MOUVEMENTS!$D$3:$D$500="IN")*(MOUVEMENTS!$A$3:$A$500&gt;=B62)*(MOUVEMENTS!$A$3:$A$500&lt;=D62)*MOUVEMENTS!$E$3:$E$500),0)</f>
        <v/>
      </c>
      <c r="E67" s="364">
        <f>IFERROR(SUMPRODUCT((MOUVEMENTS!$B$3:$B$500=A67)*(MOUVEMENTS!$D$3:$D$500="OUT")*(MOUVEMENTS!$A$3:$A$500&gt;=B62)*(MOUVEMENTS!$A$3:$A$500&lt;=D62)*MOUVEMENTS!$E$3:$E$500),0)</f>
        <v/>
      </c>
      <c r="F67" s="365">
        <f>D67-E67</f>
        <v/>
      </c>
      <c r="G67" s="364">
        <f>IFERROR(F67*VLOOKUP(A67,ARTICLES!$A$3:$G$500,7,0),0)</f>
        <v/>
      </c>
      <c r="H67" s="361">
        <f>IF(F67&lt;0,"!! NÉGATIF",IF(F67=0,"!! RUPTURE","OK"))</f>
        <v/>
      </c>
    </row>
    <row r="68" ht="18" customHeight="1" s="96">
      <c r="A68" s="357" t="inlineStr">
        <is>
          <t>ART-005</t>
        </is>
      </c>
      <c r="B68" s="342">
        <f>IFERROR(VLOOKUP(A68,ARTICLES!$A$3:$B$500,2,0),"")</f>
        <v/>
      </c>
      <c r="C68" s="358">
        <f>IFERROR(VLOOKUP(A68,ARTICLES!$A$3:$E$500,5,0),"")</f>
        <v/>
      </c>
      <c r="D68" s="359">
        <f>IFERROR(SUMPRODUCT((MOUVEMENTS!$B$3:$B$500=A68)*(MOUVEMENTS!$D$3:$D$500="IN")*(MOUVEMENTS!$A$3:$A$500&gt;=B62)*(MOUVEMENTS!$A$3:$A$500&lt;=D62)*MOUVEMENTS!$E$3:$E$500),0)</f>
        <v/>
      </c>
      <c r="E68" s="359">
        <f>IFERROR(SUMPRODUCT((MOUVEMENTS!$B$3:$B$500=A68)*(MOUVEMENTS!$D$3:$D$500="OUT")*(MOUVEMENTS!$A$3:$A$500&gt;=B62)*(MOUVEMENTS!$A$3:$A$500&lt;=D62)*MOUVEMENTS!$E$3:$E$500),0)</f>
        <v/>
      </c>
      <c r="F68" s="360">
        <f>D68-E68</f>
        <v/>
      </c>
      <c r="G68" s="359">
        <f>IFERROR(F68*VLOOKUP(A68,ARTICLES!$A$3:$G$500,7,0),0)</f>
        <v/>
      </c>
      <c r="H68" s="357">
        <f>IF(F68&lt;0,"!! NÉGATIF",IF(F68=0,"!! RUPTURE","OK"))</f>
        <v/>
      </c>
    </row>
    <row r="69" ht="18" customHeight="1" s="96">
      <c r="A69" s="361" t="inlineStr">
        <is>
          <t>ART-006</t>
        </is>
      </c>
      <c r="B69" s="362">
        <f>IFERROR(VLOOKUP(A69,ARTICLES!$A$3:$B$500,2,0),"")</f>
        <v/>
      </c>
      <c r="C69" s="363">
        <f>IFERROR(VLOOKUP(A69,ARTICLES!$A$3:$E$500,5,0),"")</f>
        <v/>
      </c>
      <c r="D69" s="364">
        <f>IFERROR(SUMPRODUCT((MOUVEMENTS!$B$3:$B$500=A69)*(MOUVEMENTS!$D$3:$D$500="IN")*(MOUVEMENTS!$A$3:$A$500&gt;=B62)*(MOUVEMENTS!$A$3:$A$500&lt;=D62)*MOUVEMENTS!$E$3:$E$500),0)</f>
        <v/>
      </c>
      <c r="E69" s="364">
        <f>IFERROR(SUMPRODUCT((MOUVEMENTS!$B$3:$B$500=A69)*(MOUVEMENTS!$D$3:$D$500="OUT")*(MOUVEMENTS!$A$3:$A$500&gt;=B62)*(MOUVEMENTS!$A$3:$A$500&lt;=D62)*MOUVEMENTS!$E$3:$E$500),0)</f>
        <v/>
      </c>
      <c r="F69" s="365">
        <f>D69-E69</f>
        <v/>
      </c>
      <c r="G69" s="364">
        <f>IFERROR(F69*VLOOKUP(A69,ARTICLES!$A$3:$G$500,7,0),0)</f>
        <v/>
      </c>
      <c r="H69" s="361">
        <f>IF(F69&lt;0,"!! NÉGATIF",IF(F69=0,"!! RUPTURE","OK"))</f>
        <v/>
      </c>
    </row>
    <row r="70" ht="18" customHeight="1" s="96">
      <c r="A70" s="357" t="inlineStr">
        <is>
          <t>ART-007</t>
        </is>
      </c>
      <c r="B70" s="342">
        <f>IFERROR(VLOOKUP(A70,ARTICLES!$A$3:$B$500,2,0),"")</f>
        <v/>
      </c>
      <c r="C70" s="358">
        <f>IFERROR(VLOOKUP(A70,ARTICLES!$A$3:$E$500,5,0),"")</f>
        <v/>
      </c>
      <c r="D70" s="359">
        <f>IFERROR(SUMPRODUCT((MOUVEMENTS!$B$3:$B$500=A70)*(MOUVEMENTS!$D$3:$D$500="IN")*(MOUVEMENTS!$A$3:$A$500&gt;=B62)*(MOUVEMENTS!$A$3:$A$500&lt;=D62)*MOUVEMENTS!$E$3:$E$500),0)</f>
        <v/>
      </c>
      <c r="E70" s="359">
        <f>IFERROR(SUMPRODUCT((MOUVEMENTS!$B$3:$B$500=A70)*(MOUVEMENTS!$D$3:$D$500="OUT")*(MOUVEMENTS!$A$3:$A$500&gt;=B62)*(MOUVEMENTS!$A$3:$A$500&lt;=D62)*MOUVEMENTS!$E$3:$E$500),0)</f>
        <v/>
      </c>
      <c r="F70" s="360">
        <f>D70-E70</f>
        <v/>
      </c>
      <c r="G70" s="359">
        <f>IFERROR(F70*VLOOKUP(A70,ARTICLES!$A$3:$G$500,7,0),0)</f>
        <v/>
      </c>
      <c r="H70" s="357">
        <f>IF(F70&lt;0,"!! NÉGATIF",IF(F70=0,"!! RUPTURE","OK"))</f>
        <v/>
      </c>
    </row>
    <row r="71" ht="18" customHeight="1" s="96">
      <c r="A71" s="361" t="inlineStr">
        <is>
          <t>ART-008</t>
        </is>
      </c>
      <c r="B71" s="362">
        <f>IFERROR(VLOOKUP(A71,ARTICLES!$A$3:$B$500,2,0),"")</f>
        <v/>
      </c>
      <c r="C71" s="363">
        <f>IFERROR(VLOOKUP(A71,ARTICLES!$A$3:$E$500,5,0),"")</f>
        <v/>
      </c>
      <c r="D71" s="364">
        <f>IFERROR(SUMPRODUCT((MOUVEMENTS!$B$3:$B$500=A71)*(MOUVEMENTS!$D$3:$D$500="IN")*(MOUVEMENTS!$A$3:$A$500&gt;=B62)*(MOUVEMENTS!$A$3:$A$500&lt;=D62)*MOUVEMENTS!$E$3:$E$500),0)</f>
        <v/>
      </c>
      <c r="E71" s="364">
        <f>IFERROR(SUMPRODUCT((MOUVEMENTS!$B$3:$B$500=A71)*(MOUVEMENTS!$D$3:$D$500="OUT")*(MOUVEMENTS!$A$3:$A$500&gt;=B62)*(MOUVEMENTS!$A$3:$A$500&lt;=D62)*MOUVEMENTS!$E$3:$E$500),0)</f>
        <v/>
      </c>
      <c r="F71" s="365">
        <f>D71-E71</f>
        <v/>
      </c>
      <c r="G71" s="364">
        <f>IFERROR(F71*VLOOKUP(A71,ARTICLES!$A$3:$G$500,7,0),0)</f>
        <v/>
      </c>
      <c r="H71" s="361">
        <f>IF(F71&lt;0,"!! NÉGATIF",IF(F71=0,"!! RUPTURE","OK"))</f>
        <v/>
      </c>
    </row>
    <row r="72" ht="18" customHeight="1" s="96">
      <c r="A72" s="357" t="inlineStr">
        <is>
          <t>ART-009</t>
        </is>
      </c>
      <c r="B72" s="342">
        <f>IFERROR(VLOOKUP(A72,ARTICLES!$A$3:$B$500,2,0),"")</f>
        <v/>
      </c>
      <c r="C72" s="358">
        <f>IFERROR(VLOOKUP(A72,ARTICLES!$A$3:$E$500,5,0),"")</f>
        <v/>
      </c>
      <c r="D72" s="359">
        <f>IFERROR(SUMPRODUCT((MOUVEMENTS!$B$3:$B$500=A72)*(MOUVEMENTS!$D$3:$D$500="IN")*(MOUVEMENTS!$A$3:$A$500&gt;=B62)*(MOUVEMENTS!$A$3:$A$500&lt;=D62)*MOUVEMENTS!$E$3:$E$500),0)</f>
        <v/>
      </c>
      <c r="E72" s="359">
        <f>IFERROR(SUMPRODUCT((MOUVEMENTS!$B$3:$B$500=A72)*(MOUVEMENTS!$D$3:$D$500="OUT")*(MOUVEMENTS!$A$3:$A$500&gt;=B62)*(MOUVEMENTS!$A$3:$A$500&lt;=D62)*MOUVEMENTS!$E$3:$E$500),0)</f>
        <v/>
      </c>
      <c r="F72" s="360">
        <f>D72-E72</f>
        <v/>
      </c>
      <c r="G72" s="359">
        <f>IFERROR(F72*VLOOKUP(A72,ARTICLES!$A$3:$G$500,7,0),0)</f>
        <v/>
      </c>
      <c r="H72" s="357">
        <f>IF(F72&lt;0,"!! NÉGATIF",IF(F72=0,"!! RUPTURE","OK"))</f>
        <v/>
      </c>
    </row>
    <row r="73" ht="18" customHeight="1" s="96">
      <c r="A73" s="361" t="inlineStr">
        <is>
          <t>ART-010</t>
        </is>
      </c>
      <c r="B73" s="362">
        <f>IFERROR(VLOOKUP(A73,ARTICLES!$A$3:$B$500,2,0),"")</f>
        <v/>
      </c>
      <c r="C73" s="363">
        <f>IFERROR(VLOOKUP(A73,ARTICLES!$A$3:$E$500,5,0),"")</f>
        <v/>
      </c>
      <c r="D73" s="364">
        <f>IFERROR(SUMPRODUCT((MOUVEMENTS!$B$3:$B$500=A73)*(MOUVEMENTS!$D$3:$D$500="IN")*(MOUVEMENTS!$A$3:$A$500&gt;=B62)*(MOUVEMENTS!$A$3:$A$500&lt;=D62)*MOUVEMENTS!$E$3:$E$500),0)</f>
        <v/>
      </c>
      <c r="E73" s="364">
        <f>IFERROR(SUMPRODUCT((MOUVEMENTS!$B$3:$B$500=A73)*(MOUVEMENTS!$D$3:$D$500="OUT")*(MOUVEMENTS!$A$3:$A$500&gt;=B62)*(MOUVEMENTS!$A$3:$A$500&lt;=D62)*MOUVEMENTS!$E$3:$E$500),0)</f>
        <v/>
      </c>
      <c r="F73" s="365">
        <f>D73-E73</f>
        <v/>
      </c>
      <c r="G73" s="364">
        <f>IFERROR(F73*VLOOKUP(A73,ARTICLES!$A$3:$G$500,7,0),0)</f>
        <v/>
      </c>
      <c r="H73" s="361">
        <f>IF(F73&lt;0,"!! NÉGATIF",IF(F73=0,"!! RUPTURE","OK"))</f>
        <v/>
      </c>
    </row>
    <row r="74" ht="18" customHeight="1" s="96">
      <c r="A74" s="357" t="inlineStr">
        <is>
          <t>ART-011</t>
        </is>
      </c>
      <c r="B74" s="342">
        <f>IFERROR(VLOOKUP(A74,ARTICLES!$A$3:$B$500,2,0),"")</f>
        <v/>
      </c>
      <c r="C74" s="358">
        <f>IFERROR(VLOOKUP(A74,ARTICLES!$A$3:$E$500,5,0),"")</f>
        <v/>
      </c>
      <c r="D74" s="359">
        <f>IFERROR(SUMPRODUCT((MOUVEMENTS!$B$3:$B$500=A74)*(MOUVEMENTS!$D$3:$D$500="IN")*(MOUVEMENTS!$A$3:$A$500&gt;=B62)*(MOUVEMENTS!$A$3:$A$500&lt;=D62)*MOUVEMENTS!$E$3:$E$500),0)</f>
        <v/>
      </c>
      <c r="E74" s="359">
        <f>IFERROR(SUMPRODUCT((MOUVEMENTS!$B$3:$B$500=A74)*(MOUVEMENTS!$D$3:$D$500="OUT")*(MOUVEMENTS!$A$3:$A$500&gt;=B62)*(MOUVEMENTS!$A$3:$A$500&lt;=D62)*MOUVEMENTS!$E$3:$E$500),0)</f>
        <v/>
      </c>
      <c r="F74" s="360">
        <f>D74-E74</f>
        <v/>
      </c>
      <c r="G74" s="359">
        <f>IFERROR(F74*VLOOKUP(A74,ARTICLES!$A$3:$G$500,7,0),0)</f>
        <v/>
      </c>
      <c r="H74" s="357">
        <f>IF(F74&lt;0,"!! NÉGATIF",IF(F74=0,"!! RUPTURE","OK"))</f>
        <v/>
      </c>
    </row>
    <row r="75" ht="18" customHeight="1" s="96">
      <c r="A75" s="361" t="inlineStr">
        <is>
          <t>ART-012</t>
        </is>
      </c>
      <c r="B75" s="362">
        <f>IFERROR(VLOOKUP(A75,ARTICLES!$A$3:$B$500,2,0),"")</f>
        <v/>
      </c>
      <c r="C75" s="363">
        <f>IFERROR(VLOOKUP(A75,ARTICLES!$A$3:$E$500,5,0),"")</f>
        <v/>
      </c>
      <c r="D75" s="364">
        <f>IFERROR(SUMPRODUCT((MOUVEMENTS!$B$3:$B$500=A75)*(MOUVEMENTS!$D$3:$D$500="IN")*(MOUVEMENTS!$A$3:$A$500&gt;=B62)*(MOUVEMENTS!$A$3:$A$500&lt;=D62)*MOUVEMENTS!$E$3:$E$500),0)</f>
        <v/>
      </c>
      <c r="E75" s="364">
        <f>IFERROR(SUMPRODUCT((MOUVEMENTS!$B$3:$B$500=A75)*(MOUVEMENTS!$D$3:$D$500="OUT")*(MOUVEMENTS!$A$3:$A$500&gt;=B62)*(MOUVEMENTS!$A$3:$A$500&lt;=D62)*MOUVEMENTS!$E$3:$E$500),0)</f>
        <v/>
      </c>
      <c r="F75" s="365">
        <f>D75-E75</f>
        <v/>
      </c>
      <c r="G75" s="364">
        <f>IFERROR(F75*VLOOKUP(A75,ARTICLES!$A$3:$G$500,7,0),0)</f>
        <v/>
      </c>
      <c r="H75" s="361">
        <f>IF(F75&lt;0,"!! NÉGATIF",IF(F75=0,"!! RUPTURE","OK"))</f>
        <v/>
      </c>
    </row>
    <row r="76" ht="22" customHeight="1" s="96">
      <c r="A76" s="366" t="inlineStr">
        <is>
          <t>TOTAUX</t>
        </is>
      </c>
      <c r="B76" s="366" t="inlineStr">
        <is>
          <t>Total période</t>
        </is>
      </c>
      <c r="D76" s="367">
        <f>SUM(D64:D75)</f>
        <v/>
      </c>
      <c r="E76" s="367">
        <f>SUM(E64:E75)</f>
        <v/>
      </c>
      <c r="F76" s="367">
        <f>SUM(F64:F75)</f>
        <v/>
      </c>
      <c r="G76" s="367">
        <f>SUM(G64:G75)</f>
        <v/>
      </c>
      <c r="H76" s="368" t="inlineStr"/>
    </row>
    <row r="77" ht="26" customHeight="1" s="96">
      <c r="A77" s="369" t="inlineStr">
        <is>
          <t>📌  التقرير السداسي يُقدَّم في الاجتماع الإداري نصف السنوي. يُركِّز على مطابقة الجرد المحاسبي بالجرد الفيزيائي (راجع ورقة INVENTAIRE).</t>
        </is>
      </c>
    </row>
    <row r="79" ht="14" customHeight="1" s="96">
      <c r="A79" s="351" t="inlineStr">
        <is>
          <t>ERP_Academie_v9  |  مديرية التربية — ولاية البيض  |  ماحي كمال عبد الغني — TAG1801  |  02/04/2026</t>
        </is>
      </c>
    </row>
  </sheetData>
  <mergeCells count="19">
    <mergeCell ref="A39:H39"/>
    <mergeCell ref="A77:H77"/>
    <mergeCell ref="A1:H1"/>
    <mergeCell ref="A79:H79"/>
    <mergeCell ref="A61:H61"/>
    <mergeCell ref="E43:H43"/>
    <mergeCell ref="E62:H62"/>
    <mergeCell ref="B57:C57"/>
    <mergeCell ref="E24:H24"/>
    <mergeCell ref="E5:H5"/>
    <mergeCell ref="B38:C38"/>
    <mergeCell ref="B19:C19"/>
    <mergeCell ref="A2:H2"/>
    <mergeCell ref="A42:H42"/>
    <mergeCell ref="A23:H23"/>
    <mergeCell ref="A4:H4"/>
    <mergeCell ref="A20:H20"/>
    <mergeCell ref="B76:C76"/>
    <mergeCell ref="A58:H5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95" min="1" max="1"/>
    <col width="46" customWidth="1" style="95" min="2" max="2"/>
    <col width="20" customWidth="1" style="95" min="3" max="3"/>
    <col width="16" customWidth="1" style="95" min="4" max="4"/>
  </cols>
  <sheetData>
    <row r="1" ht="27.75" customHeight="1" s="96">
      <c r="A1" s="215" t="inlineStr">
        <is>
          <t>MODÈLE DE WILSON — EOQ  [OPT-03 | D Auto-annualisé | ART-001 | Excel 2010]</t>
        </is>
      </c>
    </row>
    <row r="2"/>
    <row r="3" ht="21.75" customHeight="1" s="96">
      <c r="A3" s="216" t="inlineStr">
        <is>
          <t>D</t>
        </is>
      </c>
      <c r="B3" s="217" t="inlineStr">
        <is>
          <t>Demande annuelle ART-001  [AUTO annualisé ×250 j]</t>
        </is>
      </c>
      <c r="C3" s="218">
        <f>ROUND(SUMPRODUCT((MOUVEMENTS!$B$3:$B$500="ART-001")*(MOUVEMENTS!$D$3:$D$500="OUT")*MOUVEMENTS!$E$3:$E$500)/38*250,0)</f>
        <v/>
      </c>
      <c r="D3" s="165" t="inlineStr">
        <is>
          <t>unités/an</t>
        </is>
      </c>
    </row>
    <row r="4" ht="21.75" customHeight="1" s="96">
      <c r="A4" s="216" t="inlineStr">
        <is>
          <t>CL</t>
        </is>
      </c>
      <c r="B4" s="217" t="inlineStr">
        <is>
          <t>Coût passation par commande (DA)  [modifiable]</t>
        </is>
      </c>
      <c r="C4" s="218" t="n">
        <v>50</v>
      </c>
      <c r="D4" s="165" t="inlineStr">
        <is>
          <t>DA/cmd</t>
        </is>
      </c>
    </row>
    <row r="5" ht="21.75" customHeight="1" s="96">
      <c r="A5" s="216" t="inlineStr">
        <is>
          <t>PU</t>
        </is>
      </c>
      <c r="B5" s="217" t="inlineStr">
        <is>
          <t>Prix unitaire ART-001 (DA)  [confirmé terrain]</t>
        </is>
      </c>
      <c r="C5" s="218" t="n">
        <v>400</v>
      </c>
      <c r="D5" s="165" t="inlineStr">
        <is>
          <t>DA/rame</t>
        </is>
      </c>
    </row>
    <row r="6" ht="21.75" customHeight="1" s="96">
      <c r="A6" s="216" t="inlineStr">
        <is>
          <t>t</t>
        </is>
      </c>
      <c r="B6" s="217" t="inlineStr">
        <is>
          <t>Taux de possession annuel</t>
        </is>
      </c>
      <c r="C6" s="219" t="n">
        <v>0.2</v>
      </c>
      <c r="D6" s="165" t="inlineStr">
        <is>
          <t>%</t>
        </is>
      </c>
    </row>
    <row r="7" ht="21.75" customHeight="1" s="96">
      <c r="A7" s="216" t="inlineStr">
        <is>
          <t>SS</t>
        </is>
      </c>
      <c r="B7" s="217" t="inlineStr">
        <is>
          <t>Stock de sécurité (unités)  [modifiable]</t>
        </is>
      </c>
      <c r="C7" s="218" t="n">
        <v>200</v>
      </c>
      <c r="D7" s="165" t="inlineStr">
        <is>
          <t>unités</t>
        </is>
      </c>
    </row>
    <row r="8" ht="21.75" customHeight="1" s="96">
      <c r="A8" s="216" t="inlineStr">
        <is>
          <t>LT</t>
        </is>
      </c>
      <c r="B8" s="217" t="inlineStr">
        <is>
          <t>Délai livraison Oran→Bayadh (jours ouvrés)</t>
        </is>
      </c>
      <c r="C8" s="218" t="n">
        <v>2</v>
      </c>
      <c r="D8" s="165" t="inlineStr">
        <is>
          <t>jours</t>
        </is>
      </c>
    </row>
    <row r="9" ht="9.75" customHeight="1" s="96"/>
    <row r="10" ht="15" customHeight="1" s="96">
      <c r="A10" s="220" t="inlineStr">
        <is>
          <t>RÉSULTATS DU MODÈLE  —  Q*, N, ROP, CVT</t>
        </is>
      </c>
    </row>
    <row r="11" ht="21.75" customHeight="1" s="96">
      <c r="A11" s="221" t="inlineStr">
        <is>
          <t>EOQ</t>
        </is>
      </c>
      <c r="B11" s="217" t="inlineStr">
        <is>
          <t>Quantité économique Q* = √(2·D·CL / Cs)  où Cs = PU·t</t>
        </is>
      </c>
      <c r="C11" s="222">
        <f>ROUND(SQRT(2*C3*C4/(C6*C5)),0)</f>
        <v/>
      </c>
      <c r="D11" s="165" t="inlineStr">
        <is>
          <t>unités</t>
        </is>
      </c>
    </row>
    <row r="12" ht="21.75" customHeight="1" s="96">
      <c r="A12" s="221" t="inlineStr">
        <is>
          <t>N</t>
        </is>
      </c>
      <c r="B12" s="217" t="inlineStr">
        <is>
          <t>Nombre de commandes par an  N = D / Q*</t>
        </is>
      </c>
      <c r="C12" s="222">
        <f>ROUND(C3/C11,1)</f>
        <v/>
      </c>
      <c r="D12" s="165" t="inlineStr">
        <is>
          <t>cmd/an</t>
        </is>
      </c>
    </row>
    <row r="13" ht="21.75" customHeight="1" s="96">
      <c r="A13" s="221" t="inlineStr">
        <is>
          <t>ROP</t>
        </is>
      </c>
      <c r="B13" s="217" t="inlineStr">
        <is>
          <t>Point de réappro  ROP = SS + CMJ·LT  [CMJ=D/250]</t>
        </is>
      </c>
      <c r="C13" s="222">
        <f>ROUND(C7+(C3/250)*C8,0)</f>
        <v/>
      </c>
      <c r="D13" s="165" t="inlineStr">
        <is>
          <t>unités</t>
        </is>
      </c>
    </row>
    <row r="14" ht="21.75" customHeight="1" s="96">
      <c r="A14" s="221" t="inlineStr">
        <is>
          <t>Cp</t>
        </is>
      </c>
      <c r="B14" s="217" t="inlineStr">
        <is>
          <t>Coût de passation annuel  Cp = (D/Q*)·CL</t>
        </is>
      </c>
      <c r="C14" s="222">
        <f>ROUND((C3/C11)*C4,0)</f>
        <v/>
      </c>
      <c r="D14" s="165" t="inlineStr">
        <is>
          <t>DA/an</t>
        </is>
      </c>
    </row>
    <row r="15" ht="21.75" customHeight="1" s="96">
      <c r="A15" s="221" t="inlineStr">
        <is>
          <t>Cd</t>
        </is>
      </c>
      <c r="B15" s="217" t="inlineStr">
        <is>
          <t>Coût de détention annuel  Cd = (Q*/2+SS)·Cs</t>
        </is>
      </c>
      <c r="C15" s="222">
        <f>ROUND((C11/2+C7)*C6*C5,0)</f>
        <v/>
      </c>
      <c r="D15" s="165" t="inlineStr">
        <is>
          <t>DA/an</t>
        </is>
      </c>
    </row>
    <row r="16" ht="21.75" customHeight="1" s="96">
      <c r="A16" s="221" t="inlineStr">
        <is>
          <t>CVT</t>
        </is>
      </c>
      <c r="B16" s="217" t="inlineStr">
        <is>
          <t>Coût Variable Total  CVT = Cp + Cd</t>
        </is>
      </c>
      <c r="C16" s="222">
        <f>C14+C15</f>
        <v/>
      </c>
      <c r="D16" s="165" t="inlineStr">
        <is>
          <t>DA/an</t>
        </is>
      </c>
    </row>
    <row r="17"/>
    <row r="18" ht="36" customHeight="1" s="96">
      <c r="A18" s="223" t="inlineStr">
        <is>
          <t>📌  EOQ est calculé pour ART-001 (رزمة A4) uniquement, article de classe A.  D est auto-annualisé depuis MOUVEMENTS (38j obs. × 250j ouvrables).  Valeurs attendues : EOQ ≈ 60 rames | ROP ≈ 216 rames | CVT ≈ 4817 DA/an</t>
        </is>
      </c>
    </row>
  </sheetData>
  <mergeCells count="3">
    <mergeCell ref="A1:D1"/>
    <mergeCell ref="A18:D18"/>
    <mergeCell ref="A10:D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95" min="1" max="1"/>
    <col width="15" customWidth="1" style="95" min="2" max="2"/>
    <col width="12" customWidth="1" style="95" min="3" max="3"/>
    <col width="22" customWidth="1" style="95" min="4" max="4"/>
    <col width="16" customWidth="1" style="95" min="5" max="5"/>
    <col width="14" customWidth="1" style="95" min="6" max="6"/>
    <col width="16" customWidth="1" style="95" min="7" max="7"/>
  </cols>
  <sheetData>
    <row r="1" ht="27.75" customHeight="1" s="96">
      <c r="A1" s="215" t="inlineStr">
        <is>
          <t>HISTORIQUE DES COMMANDES  —  سجل الطلبيات  [Bon de Commande]</t>
        </is>
      </c>
    </row>
    <row r="2" ht="21.75" customHeight="1" s="96">
      <c r="A2" s="162" t="inlineStr">
        <is>
          <t>N° BC</t>
        </is>
      </c>
      <c r="B2" s="162" t="inlineStr">
        <is>
          <t>Date commande</t>
        </is>
      </c>
      <c r="C2" s="162" t="inlineStr">
        <is>
          <t>Code Article</t>
        </is>
      </c>
      <c r="D2" s="162" t="inlineStr">
        <is>
          <t>Fournisseur</t>
        </is>
      </c>
      <c r="E2" s="162" t="inlineStr">
        <is>
          <t>Qté commandée</t>
        </is>
      </c>
      <c r="F2" s="162" t="inlineStr">
        <is>
          <t>Qté livrée</t>
        </is>
      </c>
      <c r="G2" s="162" t="inlineStr">
        <is>
          <t>Statut</t>
        </is>
      </c>
    </row>
    <row r="3" ht="15" customHeight="1" s="96">
      <c r="A3" s="149" t="inlineStr">
        <is>
          <t>BC-001</t>
        </is>
      </c>
      <c r="B3" s="149" t="inlineStr">
        <is>
          <t>2025-12-15</t>
        </is>
      </c>
      <c r="C3" s="149" t="inlineStr">
        <is>
          <t>ART-001</t>
        </is>
      </c>
      <c r="D3" s="149" t="inlineStr">
        <is>
          <t>ENAP Alger</t>
        </is>
      </c>
      <c r="E3" s="148" t="n">
        <v>500</v>
      </c>
      <c r="F3" s="148" t="n">
        <v>405</v>
      </c>
      <c r="G3" s="149" t="inlineStr">
        <is>
          <t>✔ Livré</t>
        </is>
      </c>
    </row>
    <row r="4" ht="15" customHeight="1" s="96">
      <c r="A4" s="149" t="inlineStr">
        <is>
          <t>BC-002</t>
        </is>
      </c>
      <c r="B4" s="149" t="inlineStr">
        <is>
          <t>2026-01-28</t>
        </is>
      </c>
      <c r="C4" s="149" t="inlineStr">
        <is>
          <t>ART-002</t>
        </is>
      </c>
      <c r="D4" s="149" t="inlineStr">
        <is>
          <t>Bureautique Oran</t>
        </is>
      </c>
      <c r="E4" s="148" t="n">
        <v>5</v>
      </c>
      <c r="F4" s="148" t="n">
        <v>5</v>
      </c>
      <c r="G4" s="149" t="inlineStr">
        <is>
          <t>✔ Livré</t>
        </is>
      </c>
    </row>
    <row r="5" ht="15" customHeight="1" s="96">
      <c r="A5" s="149" t="inlineStr">
        <is>
          <t>BC-003</t>
        </is>
      </c>
      <c r="B5" s="149" t="inlineStr">
        <is>
          <t>2026-01-28</t>
        </is>
      </c>
      <c r="C5" s="149" t="inlineStr">
        <is>
          <t>ART-003</t>
        </is>
      </c>
      <c r="D5" s="149" t="inlineStr">
        <is>
          <t>ENAP Alger</t>
        </is>
      </c>
      <c r="E5" s="148" t="n">
        <v>100</v>
      </c>
      <c r="F5" s="148" t="n">
        <v>100</v>
      </c>
      <c r="G5" s="149" t="inlineStr">
        <is>
          <t>✔ Livré</t>
        </is>
      </c>
    </row>
    <row r="6" ht="15" customHeight="1" s="96">
      <c r="A6" s="158" t="inlineStr">
        <is>
          <t>BC-004</t>
        </is>
      </c>
      <c r="B6" s="158" t="inlineStr">
        <is>
          <t>2026-03-09</t>
        </is>
      </c>
      <c r="C6" s="158" t="inlineStr">
        <is>
          <t>ART-001</t>
        </is>
      </c>
      <c r="D6" s="158" t="inlineStr">
        <is>
          <t>ENAP Alger</t>
        </is>
      </c>
      <c r="E6" s="157" t="n">
        <v>60</v>
      </c>
      <c r="F6" s="157" t="n"/>
      <c r="G6" s="158" t="inlineStr">
        <is>
          <t>⏳ En attente</t>
        </is>
      </c>
    </row>
    <row r="7" ht="15" customHeight="1" s="96">
      <c r="A7" s="158" t="inlineStr">
        <is>
          <t>BC-005</t>
        </is>
      </c>
      <c r="B7" s="158" t="inlineStr">
        <is>
          <t>2026-03-09</t>
        </is>
      </c>
      <c r="C7" s="158" t="inlineStr">
        <is>
          <t>ART-002</t>
        </is>
      </c>
      <c r="D7" s="158" t="inlineStr">
        <is>
          <t>Bureautique Oran</t>
        </is>
      </c>
      <c r="E7" s="157" t="n">
        <v>5</v>
      </c>
      <c r="F7" s="157" t="n"/>
      <c r="G7" s="158" t="inlineStr">
        <is>
          <t>⏳ En attente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selection activeCell="A1" sqref="A1"/>
    </sheetView>
  </sheetViews>
  <sheetFormatPr baseColWidth="8" defaultRowHeight="15"/>
  <cols>
    <col width="4" customWidth="1" style="96" min="1" max="1"/>
    <col width="12" customWidth="1" style="96" min="2" max="2"/>
    <col width="32" customWidth="1" style="96" min="3" max="3"/>
    <col width="10" customWidth="1" style="96" min="4" max="4"/>
    <col width="10" customWidth="1" style="96" min="5" max="5"/>
    <col width="14" customWidth="1" style="96" min="6" max="6"/>
    <col width="13" customWidth="1" style="96" min="7" max="7"/>
    <col width="14" customWidth="1" style="96" min="8" max="8"/>
  </cols>
  <sheetData>
    <row r="1" ht="20" customHeight="1" s="96">
      <c r="A1" s="370" t="inlineStr">
        <is>
          <t>الجمهورية الجزائرية الديمقراطية الشعبية</t>
        </is>
      </c>
    </row>
    <row r="2" ht="18" customHeight="1" s="96">
      <c r="A2" s="371" t="inlineStr">
        <is>
          <t>وزارة التربية الوطنية  |  مديرية التربية — ولاية البيض</t>
        </is>
      </c>
    </row>
    <row r="3" ht="16" customHeight="1" s="96">
      <c r="A3" s="372" t="inlineStr">
        <is>
          <t>مصلحة الإدارة والوسائل العامة  —  مخزن المديرية</t>
        </is>
      </c>
    </row>
    <row r="4" ht="6" customHeight="1" s="96"/>
    <row r="5" ht="30" customHeight="1" s="96">
      <c r="A5" s="327" t="inlineStr">
        <is>
          <t>وصل الاستلام  —  BON DE RÉCEPTION</t>
        </is>
      </c>
    </row>
    <row r="6" ht="22" customHeight="1" s="96">
      <c r="B6" s="353" t="inlineStr">
        <is>
          <t>رقم الوصل  /  N° Bon de Réception :</t>
        </is>
      </c>
      <c r="D6" s="373" t="inlineStr"/>
    </row>
    <row r="7" ht="14" customHeight="1" s="96">
      <c r="A7" s="374" t="inlineStr">
        <is>
          <t>★  مثال — Exemple :  BR-2026-001   (BR = Bon Réception  |  2026 = année  |  001 = numéro ordre)</t>
        </is>
      </c>
    </row>
    <row r="8" ht="22" customHeight="1" s="96">
      <c r="B8" s="353" t="inlineStr">
        <is>
          <t>تاريخ الاستلام  /  Date réception :</t>
        </is>
      </c>
      <c r="D8" s="375">
        <f>TODAY()</f>
        <v/>
      </c>
    </row>
    <row r="9" ht="22" customHeight="1" s="96">
      <c r="B9" s="353" t="inlineStr">
        <is>
          <t>المورد  /  Fournisseur :</t>
        </is>
      </c>
      <c r="D9" s="376" t="inlineStr"/>
    </row>
    <row r="10" ht="22" customHeight="1" s="96">
      <c r="B10" s="353" t="inlineStr">
        <is>
          <t>رقم أمر الشراء  /  N° Bon de Commande (BC) :</t>
        </is>
      </c>
      <c r="D10" s="376" t="inlineStr"/>
    </row>
    <row r="11" ht="14" customHeight="1" s="96">
      <c r="A11" s="374" t="inlineStr">
        <is>
          <t>★  مثال — Exemple :  BC-2026-001   — يرتبط بأمر الشراء الذي أنشأ هذا الاستلام</t>
        </is>
      </c>
    </row>
    <row r="12" ht="6" customHeight="1" s="96"/>
    <row r="13" ht="32" customHeight="1" s="96">
      <c r="A13" s="377" t="inlineStr">
        <is>
          <t>#</t>
        </is>
      </c>
      <c r="B13" s="377" t="inlineStr">
        <is>
          <t>Code
Article</t>
        </is>
      </c>
      <c r="C13" s="377" t="inlineStr">
        <is>
          <t>Désignation  /  التسمية</t>
        </is>
      </c>
      <c r="D13" s="377" t="inlineStr">
        <is>
          <t>Unité</t>
        </is>
      </c>
      <c r="E13" s="377" t="inlineStr">
        <is>
          <t>Qté
Demandée</t>
        </is>
      </c>
      <c r="F13" s="377" t="inlineStr">
        <is>
          <t>Qté
Servie / Livrée</t>
        </is>
      </c>
      <c r="G13" s="377" t="inlineStr">
        <is>
          <t>Prix Unit.
(DA)</t>
        </is>
      </c>
      <c r="H13" s="377" t="inlineStr">
        <is>
          <t>Valeur
(DA)</t>
        </is>
      </c>
    </row>
    <row r="14" ht="20" customHeight="1" s="96">
      <c r="A14" s="372" t="n">
        <v>1</v>
      </c>
      <c r="B14" s="371" t="inlineStr"/>
      <c r="C14" s="378">
        <f>IFERROR(VLOOKUP(B14,ARTICLES!$A$3:$G$500,2,0),"")</f>
        <v/>
      </c>
      <c r="D14" s="379">
        <f>IFERROR(VLOOKUP(B14,ARTICLES!$A$3:$G$500,3,0),"")</f>
        <v/>
      </c>
      <c r="E14" s="380" t="inlineStr"/>
      <c r="F14" s="380" t="inlineStr"/>
      <c r="G14" s="364">
        <f>IFERROR(VLOOKUP(B14,ARTICLES!$A$3:$G$500,7,0),"")</f>
        <v/>
      </c>
      <c r="H14" s="364">
        <f>IFERROR(F14*G14,"")</f>
        <v/>
      </c>
    </row>
    <row r="15" ht="20" customHeight="1" s="96">
      <c r="A15" s="372" t="n">
        <v>2</v>
      </c>
      <c r="B15" s="371" t="inlineStr"/>
      <c r="C15" s="378">
        <f>IFERROR(VLOOKUP(B15,ARTICLES!$A$3:$G$500,2,0),"")</f>
        <v/>
      </c>
      <c r="D15" s="379">
        <f>IFERROR(VLOOKUP(B15,ARTICLES!$A$3:$G$500,3,0),"")</f>
        <v/>
      </c>
      <c r="E15" s="380" t="inlineStr"/>
      <c r="F15" s="380" t="inlineStr"/>
      <c r="G15" s="364">
        <f>IFERROR(VLOOKUP(B15,ARTICLES!$A$3:$G$500,7,0),"")</f>
        <v/>
      </c>
      <c r="H15" s="364">
        <f>IFERROR(F15*G15,"")</f>
        <v/>
      </c>
    </row>
    <row r="16" ht="20" customHeight="1" s="96">
      <c r="A16" s="372" t="n">
        <v>3</v>
      </c>
      <c r="B16" s="371" t="inlineStr"/>
      <c r="C16" s="378">
        <f>IFERROR(VLOOKUP(B16,ARTICLES!$A$3:$G$500,2,0),"")</f>
        <v/>
      </c>
      <c r="D16" s="379">
        <f>IFERROR(VLOOKUP(B16,ARTICLES!$A$3:$G$500,3,0),"")</f>
        <v/>
      </c>
      <c r="E16" s="380" t="inlineStr"/>
      <c r="F16" s="380" t="inlineStr"/>
      <c r="G16" s="364">
        <f>IFERROR(VLOOKUP(B16,ARTICLES!$A$3:$G$500,7,0),"")</f>
        <v/>
      </c>
      <c r="H16" s="364">
        <f>IFERROR(F16*G16,"")</f>
        <v/>
      </c>
    </row>
    <row r="17" ht="20" customHeight="1" s="96">
      <c r="A17" s="372" t="n">
        <v>4</v>
      </c>
      <c r="B17" s="371" t="inlineStr"/>
      <c r="C17" s="378">
        <f>IFERROR(VLOOKUP(B17,ARTICLES!$A$3:$G$500,2,0),"")</f>
        <v/>
      </c>
      <c r="D17" s="379">
        <f>IFERROR(VLOOKUP(B17,ARTICLES!$A$3:$G$500,3,0),"")</f>
        <v/>
      </c>
      <c r="E17" s="380" t="inlineStr"/>
      <c r="F17" s="380" t="inlineStr"/>
      <c r="G17" s="364">
        <f>IFERROR(VLOOKUP(B17,ARTICLES!$A$3:$G$500,7,0),"")</f>
        <v/>
      </c>
      <c r="H17" s="364">
        <f>IFERROR(F17*G17,"")</f>
        <v/>
      </c>
    </row>
    <row r="18" ht="20" customHeight="1" s="96">
      <c r="A18" s="372" t="n">
        <v>5</v>
      </c>
      <c r="B18" s="371" t="inlineStr"/>
      <c r="C18" s="378">
        <f>IFERROR(VLOOKUP(B18,ARTICLES!$A$3:$G$500,2,0),"")</f>
        <v/>
      </c>
      <c r="D18" s="379">
        <f>IFERROR(VLOOKUP(B18,ARTICLES!$A$3:$G$500,3,0),"")</f>
        <v/>
      </c>
      <c r="E18" s="380" t="inlineStr"/>
      <c r="F18" s="380" t="inlineStr"/>
      <c r="G18" s="364">
        <f>IFERROR(VLOOKUP(B18,ARTICLES!$A$3:$G$500,7,0),"")</f>
        <v/>
      </c>
      <c r="H18" s="364">
        <f>IFERROR(F18*G18,"")</f>
        <v/>
      </c>
    </row>
    <row r="19" ht="20" customHeight="1" s="96">
      <c r="A19" s="372" t="n">
        <v>6</v>
      </c>
      <c r="B19" s="371" t="inlineStr"/>
      <c r="C19" s="378">
        <f>IFERROR(VLOOKUP(B19,ARTICLES!$A$3:$G$500,2,0),"")</f>
        <v/>
      </c>
      <c r="D19" s="379">
        <f>IFERROR(VLOOKUP(B19,ARTICLES!$A$3:$G$500,3,0),"")</f>
        <v/>
      </c>
      <c r="E19" s="380" t="inlineStr"/>
      <c r="F19" s="380" t="inlineStr"/>
      <c r="G19" s="364">
        <f>IFERROR(VLOOKUP(B19,ARTICLES!$A$3:$G$500,7,0),"")</f>
        <v/>
      </c>
      <c r="H19" s="364">
        <f>IFERROR(F19*G19,"")</f>
        <v/>
      </c>
    </row>
    <row r="20" ht="20" customHeight="1" s="96">
      <c r="A20" s="372" t="n">
        <v>7</v>
      </c>
      <c r="B20" s="371" t="inlineStr"/>
      <c r="C20" s="378">
        <f>IFERROR(VLOOKUP(B20,ARTICLES!$A$3:$G$500,2,0),"")</f>
        <v/>
      </c>
      <c r="D20" s="379">
        <f>IFERROR(VLOOKUP(B20,ARTICLES!$A$3:$G$500,3,0),"")</f>
        <v/>
      </c>
      <c r="E20" s="380" t="inlineStr"/>
      <c r="F20" s="380" t="inlineStr"/>
      <c r="G20" s="364">
        <f>IFERROR(VLOOKUP(B20,ARTICLES!$A$3:$G$500,7,0),"")</f>
        <v/>
      </c>
      <c r="H20" s="364">
        <f>IFERROR(F20*G20,"")</f>
        <v/>
      </c>
    </row>
    <row r="21" ht="20" customHeight="1" s="96">
      <c r="A21" s="372" t="n">
        <v>8</v>
      </c>
      <c r="B21" s="371" t="inlineStr"/>
      <c r="C21" s="378">
        <f>IFERROR(VLOOKUP(B21,ARTICLES!$A$3:$G$500,2,0),"")</f>
        <v/>
      </c>
      <c r="D21" s="379">
        <f>IFERROR(VLOOKUP(B21,ARTICLES!$A$3:$G$500,3,0),"")</f>
        <v/>
      </c>
      <c r="E21" s="380" t="inlineStr"/>
      <c r="F21" s="380" t="inlineStr"/>
      <c r="G21" s="364">
        <f>IFERROR(VLOOKUP(B21,ARTICLES!$A$3:$G$500,7,0),"")</f>
        <v/>
      </c>
      <c r="H21" s="364">
        <f>IFERROR(F21*G21,"")</f>
        <v/>
      </c>
    </row>
    <row r="22" ht="22" customHeight="1" s="96">
      <c r="A22" s="366" t="inlineStr">
        <is>
          <t>TOTAL  (DA)  |  المجموع الإجمالي</t>
        </is>
      </c>
      <c r="H22" s="381">
        <f>SUM(H14:H21)</f>
        <v/>
      </c>
    </row>
    <row r="23" ht="14" customHeight="1" s="96">
      <c r="A23" s="374" t="inlineStr">
        <is>
          <t>★  الخلايا الصفراء للإدخال اليدوي  |  عمود B: أدخل الرمز (ART-001...) — تتعبأ التسمية والسعر تلقائياً</t>
        </is>
      </c>
    </row>
    <row r="24" ht="18" customHeight="1" s="96">
      <c r="A24" s="382" t="inlineStr">
        <is>
          <t>ملاحظات  /  Observations :</t>
        </is>
      </c>
    </row>
    <row r="25" ht="18" customHeight="1" s="96">
      <c r="A25" s="383" t="inlineStr"/>
    </row>
    <row r="26" ht="18" customHeight="1" s="96"/>
    <row r="27" ht="8" customHeight="1" s="96"/>
    <row r="28" ht="24" customHeight="1" s="96">
      <c r="A28" s="377" t="inlineStr">
        <is>
          <t>المستلِم (أمين المخزن)
Magasinier</t>
        </is>
      </c>
      <c r="D28" s="377" t="inlineStr">
        <is>
          <t>المسؤول عن المادة
Responsable Matériel</t>
        </is>
      </c>
      <c r="G28" s="377" t="inlineStr">
        <is>
          <t xml:space="preserve">مصلحة الميزانية
Visa Budget
</t>
        </is>
      </c>
    </row>
    <row r="29" ht="24" customHeight="1" s="96">
      <c r="A29" s="384" t="inlineStr">
        <is>
          <t>الإمضاء والختم  /  Signature &amp; Cachet</t>
        </is>
      </c>
      <c r="D29" s="384" t="inlineStr">
        <is>
          <t>الإمضاء والختم  /  Signature &amp; Cachet</t>
        </is>
      </c>
      <c r="G29" s="384" t="inlineStr">
        <is>
          <t>الإمضاء والختم  /  Signature &amp; Cachet</t>
        </is>
      </c>
    </row>
    <row r="30" ht="24" customHeight="1" s="96"/>
    <row r="31" ht="14" customHeight="1" s="96">
      <c r="A31" s="374" t="inlineStr">
        <is>
          <t>★  للطباعة بنصف الصفحة (A5): ضبط منطقة الطباعة من Page Layout → Print Area → الصفوف 1 إلى 22</t>
        </is>
      </c>
    </row>
    <row r="32" ht="14" customHeight="1" s="96">
      <c r="A32" s="351" t="inlineStr">
        <is>
          <t>ERP_Academie_v9  |  مديرية التربية — ولاية البيض  |  ماحي كمال عبد الغني — TAG1801  |  02/04/2026</t>
        </is>
      </c>
    </row>
  </sheetData>
  <mergeCells count="26">
    <mergeCell ref="A25:H26"/>
    <mergeCell ref="D29:F30"/>
    <mergeCell ref="D10:H10"/>
    <mergeCell ref="A24:H24"/>
    <mergeCell ref="A22:G22"/>
    <mergeCell ref="G29:H30"/>
    <mergeCell ref="A11:H11"/>
    <mergeCell ref="A1:H1"/>
    <mergeCell ref="D28:F28"/>
    <mergeCell ref="D6:H6"/>
    <mergeCell ref="A7:H7"/>
    <mergeCell ref="G28:H28"/>
    <mergeCell ref="B8:C8"/>
    <mergeCell ref="A28:C28"/>
    <mergeCell ref="A3:H3"/>
    <mergeCell ref="A2:H2"/>
    <mergeCell ref="B10:C10"/>
    <mergeCell ref="A5:H5"/>
    <mergeCell ref="A23:H23"/>
    <mergeCell ref="B9:C9"/>
    <mergeCell ref="A32:H32"/>
    <mergeCell ref="D9:H9"/>
    <mergeCell ref="B6:C6"/>
    <mergeCell ref="D8:H8"/>
    <mergeCell ref="A31:H31"/>
    <mergeCell ref="A29:C30"/>
  </mergeCells>
  <pageMargins left="0.6" right="0.4" top="0.5" bottom="0.5" header="0.2" footer="0.2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4" customWidth="1" style="96" min="1" max="1"/>
    <col width="12" customWidth="1" style="96" min="2" max="2"/>
    <col width="32" customWidth="1" style="96" min="3" max="3"/>
    <col width="10" customWidth="1" style="96" min="4" max="4"/>
    <col width="10" customWidth="1" style="96" min="5" max="5"/>
    <col width="14" customWidth="1" style="96" min="6" max="6"/>
    <col width="13" customWidth="1" style="96" min="7" max="7"/>
    <col width="14" customWidth="1" style="96" min="8" max="8"/>
  </cols>
  <sheetData>
    <row r="1" ht="20" customHeight="1" s="96">
      <c r="A1" s="370" t="inlineStr">
        <is>
          <t>الجمهورية الجزائرية الديمقراطية الشعبية</t>
        </is>
      </c>
    </row>
    <row r="2" ht="18" customHeight="1" s="96">
      <c r="A2" s="371" t="inlineStr">
        <is>
          <t>وزارة التربية الوطنية  |  مديرية التربية — ولاية البيض</t>
        </is>
      </c>
    </row>
    <row r="3" ht="16" customHeight="1" s="96">
      <c r="A3" s="372" t="inlineStr">
        <is>
          <t>مصلحة الإدارة والوسائل العامة  —  مخزن المديرية</t>
        </is>
      </c>
    </row>
    <row r="4" ht="6" customHeight="1" s="96"/>
    <row r="5" ht="30" customHeight="1" s="96">
      <c r="A5" s="327" t="inlineStr">
        <is>
          <t>وصل الخروج (الصرف)  —  BON DE SORTIE</t>
        </is>
      </c>
    </row>
    <row r="6" ht="22" customHeight="1" s="96">
      <c r="B6" s="353" t="inlineStr">
        <is>
          <t>رقم وصل الخروج  /  N° Bon de Sortie :</t>
        </is>
      </c>
      <c r="D6" s="373" t="inlineStr"/>
    </row>
    <row r="7" ht="14" customHeight="1" s="96">
      <c r="A7" s="374" t="inlineStr">
        <is>
          <t>★  مثال — Exemple :  BS-2026-001   (BS = Bon Sortie  |  001 = numéro ordre séquentiel)</t>
        </is>
      </c>
    </row>
    <row r="8" ht="22" customHeight="1" s="96">
      <c r="B8" s="353" t="inlineStr">
        <is>
          <t>تاريخ الصرف  /  Date sortie :</t>
        </is>
      </c>
      <c r="D8" s="375">
        <f>TODAY()</f>
        <v/>
      </c>
    </row>
    <row r="9" ht="22" customHeight="1" s="96">
      <c r="B9" s="353" t="inlineStr">
        <is>
          <t>المصلحة الطالبة  /  Service demandeur :</t>
        </is>
      </c>
      <c r="D9" s="383" t="inlineStr"/>
    </row>
    <row r="10" ht="14" customHeight="1" s="96">
      <c r="A10" s="374" t="inlineStr">
        <is>
          <t>★  مثال: مصلحة الرواتب  |  مصلحة الامتحانات  |  مكتب المدير  |  مصلحة التعليم</t>
        </is>
      </c>
    </row>
    <row r="11" ht="22" customHeight="1" s="96">
      <c r="B11" s="353" t="inlineStr">
        <is>
          <t>رقم طلب الشراء المرجعي (DA) :</t>
        </is>
      </c>
      <c r="D11" s="383" t="inlineStr"/>
    </row>
    <row r="12" ht="14" customHeight="1" s="96">
      <c r="A12" s="374" t="inlineStr">
        <is>
          <t>★  مثال: DA-2026-003  — رقم طلب الشراء الداخلي الذي أنشأ هذا الخروج (اختياري إن لم يكن متوفراً)</t>
        </is>
      </c>
    </row>
    <row r="13" ht="6" customHeight="1" s="96"/>
    <row r="14" ht="32" customHeight="1" s="96">
      <c r="A14" s="377" t="inlineStr">
        <is>
          <t>#</t>
        </is>
      </c>
      <c r="B14" s="377" t="inlineStr">
        <is>
          <t>Code
Article</t>
        </is>
      </c>
      <c r="C14" s="377" t="inlineStr">
        <is>
          <t>Désignation  /  التسمية</t>
        </is>
      </c>
      <c r="D14" s="377" t="inlineStr">
        <is>
          <t>Unité</t>
        </is>
      </c>
      <c r="E14" s="377" t="inlineStr">
        <is>
          <t>Qté
Demandée</t>
        </is>
      </c>
      <c r="F14" s="377" t="inlineStr">
        <is>
          <t>Qté
Servie / Livrée</t>
        </is>
      </c>
      <c r="G14" s="377" t="inlineStr">
        <is>
          <t>Prix Unit.
(DA)</t>
        </is>
      </c>
      <c r="H14" s="377" t="inlineStr">
        <is>
          <t>Valeur
(DA)</t>
        </is>
      </c>
    </row>
    <row r="15" ht="20" customHeight="1" s="96">
      <c r="A15" s="372" t="n">
        <v>1</v>
      </c>
      <c r="B15" s="371" t="inlineStr"/>
      <c r="C15" s="378">
        <f>IFERROR(VLOOKUP(B15,ARTICLES!$A$3:$G$500,2,0),"")</f>
        <v/>
      </c>
      <c r="D15" s="379">
        <f>IFERROR(VLOOKUP(B15,ARTICLES!$A$3:$G$500,3,0),"")</f>
        <v/>
      </c>
      <c r="E15" s="380" t="inlineStr"/>
      <c r="F15" s="380" t="inlineStr"/>
      <c r="G15" s="364">
        <f>IFERROR(VLOOKUP(B15,ARTICLES!$A$3:$G$500,7,0),"")</f>
        <v/>
      </c>
      <c r="H15" s="364">
        <f>IFERROR(F15*G15,"")</f>
        <v/>
      </c>
    </row>
    <row r="16" ht="20" customHeight="1" s="96">
      <c r="A16" s="372" t="n">
        <v>2</v>
      </c>
      <c r="B16" s="371" t="inlineStr"/>
      <c r="C16" s="378">
        <f>IFERROR(VLOOKUP(B16,ARTICLES!$A$3:$G$500,2,0),"")</f>
        <v/>
      </c>
      <c r="D16" s="379">
        <f>IFERROR(VLOOKUP(B16,ARTICLES!$A$3:$G$500,3,0),"")</f>
        <v/>
      </c>
      <c r="E16" s="380" t="inlineStr"/>
      <c r="F16" s="380" t="inlineStr"/>
      <c r="G16" s="364">
        <f>IFERROR(VLOOKUP(B16,ARTICLES!$A$3:$G$500,7,0),"")</f>
        <v/>
      </c>
      <c r="H16" s="364">
        <f>IFERROR(F16*G16,"")</f>
        <v/>
      </c>
    </row>
    <row r="17" ht="20" customHeight="1" s="96">
      <c r="A17" s="372" t="n">
        <v>3</v>
      </c>
      <c r="B17" s="371" t="inlineStr"/>
      <c r="C17" s="378">
        <f>IFERROR(VLOOKUP(B17,ARTICLES!$A$3:$G$500,2,0),"")</f>
        <v/>
      </c>
      <c r="D17" s="379">
        <f>IFERROR(VLOOKUP(B17,ARTICLES!$A$3:$G$500,3,0),"")</f>
        <v/>
      </c>
      <c r="E17" s="380" t="inlineStr"/>
      <c r="F17" s="380" t="inlineStr"/>
      <c r="G17" s="364">
        <f>IFERROR(VLOOKUP(B17,ARTICLES!$A$3:$G$500,7,0),"")</f>
        <v/>
      </c>
      <c r="H17" s="364">
        <f>IFERROR(F17*G17,"")</f>
        <v/>
      </c>
    </row>
    <row r="18" ht="20" customHeight="1" s="96">
      <c r="A18" s="372" t="n">
        <v>4</v>
      </c>
      <c r="B18" s="371" t="inlineStr"/>
      <c r="C18" s="378">
        <f>IFERROR(VLOOKUP(B18,ARTICLES!$A$3:$G$500,2,0),"")</f>
        <v/>
      </c>
      <c r="D18" s="379">
        <f>IFERROR(VLOOKUP(B18,ARTICLES!$A$3:$G$500,3,0),"")</f>
        <v/>
      </c>
      <c r="E18" s="380" t="inlineStr"/>
      <c r="F18" s="380" t="inlineStr"/>
      <c r="G18" s="364">
        <f>IFERROR(VLOOKUP(B18,ARTICLES!$A$3:$G$500,7,0),"")</f>
        <v/>
      </c>
      <c r="H18" s="364">
        <f>IFERROR(F18*G18,"")</f>
        <v/>
      </c>
    </row>
    <row r="19" ht="20" customHeight="1" s="96">
      <c r="A19" s="372" t="n">
        <v>5</v>
      </c>
      <c r="B19" s="371" t="inlineStr"/>
      <c r="C19" s="378">
        <f>IFERROR(VLOOKUP(B19,ARTICLES!$A$3:$G$500,2,0),"")</f>
        <v/>
      </c>
      <c r="D19" s="379">
        <f>IFERROR(VLOOKUP(B19,ARTICLES!$A$3:$G$500,3,0),"")</f>
        <v/>
      </c>
      <c r="E19" s="380" t="inlineStr"/>
      <c r="F19" s="380" t="inlineStr"/>
      <c r="G19" s="364">
        <f>IFERROR(VLOOKUP(B19,ARTICLES!$A$3:$G$500,7,0),"")</f>
        <v/>
      </c>
      <c r="H19" s="364">
        <f>IFERROR(F19*G19,"")</f>
        <v/>
      </c>
    </row>
    <row r="20" ht="20" customHeight="1" s="96">
      <c r="A20" s="372" t="n">
        <v>6</v>
      </c>
      <c r="B20" s="371" t="inlineStr"/>
      <c r="C20" s="378">
        <f>IFERROR(VLOOKUP(B20,ARTICLES!$A$3:$G$500,2,0),"")</f>
        <v/>
      </c>
      <c r="D20" s="379">
        <f>IFERROR(VLOOKUP(B20,ARTICLES!$A$3:$G$500,3,0),"")</f>
        <v/>
      </c>
      <c r="E20" s="380" t="inlineStr"/>
      <c r="F20" s="380" t="inlineStr"/>
      <c r="G20" s="364">
        <f>IFERROR(VLOOKUP(B20,ARTICLES!$A$3:$G$500,7,0),"")</f>
        <v/>
      </c>
      <c r="H20" s="364">
        <f>IFERROR(F20*G20,"")</f>
        <v/>
      </c>
    </row>
    <row r="21" ht="22" customHeight="1" s="96">
      <c r="A21" s="366" t="inlineStr">
        <is>
          <t>TOTAL  (DA)  |  المجموع الإجمالي</t>
        </is>
      </c>
      <c r="H21" s="381">
        <f>SUM(H15:H20)</f>
        <v/>
      </c>
    </row>
    <row r="22" ht="14" customHeight="1" s="96">
      <c r="A22" s="374" t="inlineStr">
        <is>
          <t>★  للطباعة بنصف الصفحة (A5) لإصدار مادة واحدة: Print Area → الصفوف 1 إلى 24</t>
        </is>
      </c>
    </row>
    <row r="23" ht="18" customHeight="1" s="96">
      <c r="A23" s="382" t="inlineStr">
        <is>
          <t>ملاحظات  /  Observations :</t>
        </is>
      </c>
    </row>
    <row r="24" ht="18" customHeight="1" s="96">
      <c r="A24" s="383" t="inlineStr"/>
    </row>
    <row r="25" ht="18" customHeight="1" s="96"/>
    <row r="26" ht="8" customHeight="1" s="96"/>
    <row r="27" ht="24" customHeight="1" s="96">
      <c r="A27" s="377" t="inlineStr">
        <is>
          <t xml:space="preserve">المستلِم
Bénéficiaire
</t>
        </is>
      </c>
      <c r="C27" s="377" t="inlineStr">
        <is>
          <t xml:space="preserve">أمين المخزن
Magasinier
</t>
        </is>
      </c>
      <c r="F27" s="377" t="inlineStr">
        <is>
          <t xml:space="preserve">مسؤول الوسائل + ختم
Responsable + Cachet
</t>
        </is>
      </c>
    </row>
    <row r="28" ht="24" customHeight="1" s="96">
      <c r="A28" s="384" t="inlineStr">
        <is>
          <t>الإمضاء والختم  /  Signature &amp; Cachet</t>
        </is>
      </c>
      <c r="C28" s="384" t="inlineStr">
        <is>
          <t>الإمضاء والختم  /  Signature &amp; Cachet</t>
        </is>
      </c>
      <c r="F28" s="384" t="inlineStr">
        <is>
          <t>الإمضاء والختم  /  Signature &amp; Cachet</t>
        </is>
      </c>
    </row>
    <row r="29" ht="24" customHeight="1" s="96"/>
    <row r="30" ht="14" customHeight="1" s="96">
      <c r="A30" s="374" t="inlineStr">
        <is>
          <t>★  يُعبَّأ هذا الوصل في نسختين: نسخة للمصلحة المستفيدة + نسخة للمخزن — الختم إلزامي لإتمام الدورة المستندية</t>
        </is>
      </c>
    </row>
    <row r="31" ht="14" customHeight="1" s="96">
      <c r="A31" s="351" t="inlineStr">
        <is>
          <t>ERP_Academie_v9  |  مديرية التربية — ولاية البيض  |  ماحي كمال عبد الغني — TAG1801  |  02/04/2026</t>
        </is>
      </c>
    </row>
  </sheetData>
  <mergeCells count="27">
    <mergeCell ref="A30:H30"/>
    <mergeCell ref="A1:H1"/>
    <mergeCell ref="C28:E29"/>
    <mergeCell ref="D6:H6"/>
    <mergeCell ref="C27:E27"/>
    <mergeCell ref="A7:H7"/>
    <mergeCell ref="B11:C11"/>
    <mergeCell ref="F27:H27"/>
    <mergeCell ref="D11:H11"/>
    <mergeCell ref="A27:B27"/>
    <mergeCell ref="B8:C8"/>
    <mergeCell ref="A12:H12"/>
    <mergeCell ref="A3:H3"/>
    <mergeCell ref="A28:B29"/>
    <mergeCell ref="A2:H2"/>
    <mergeCell ref="A5:H5"/>
    <mergeCell ref="A23:H23"/>
    <mergeCell ref="B9:C9"/>
    <mergeCell ref="A22:H22"/>
    <mergeCell ref="D9:H9"/>
    <mergeCell ref="A24:H25"/>
    <mergeCell ref="B6:C6"/>
    <mergeCell ref="D8:H8"/>
    <mergeCell ref="A21:G21"/>
    <mergeCell ref="A10:H10"/>
    <mergeCell ref="F28:H29"/>
    <mergeCell ref="A31:H31"/>
  </mergeCells>
  <pageMargins left="0.6" right="0.4" top="0.5" bottom="0.5" header="0.2" footer="0.2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selection activeCell="A1" sqref="A1"/>
    </sheetView>
  </sheetViews>
  <sheetFormatPr baseColWidth="8" defaultRowHeight="15"/>
  <cols>
    <col width="4" customWidth="1" style="96" min="1" max="1"/>
    <col width="12" customWidth="1" style="96" min="2" max="2"/>
    <col width="32" customWidth="1" style="96" min="3" max="3"/>
    <col width="10" customWidth="1" style="96" min="4" max="4"/>
    <col width="10" customWidth="1" style="96" min="5" max="5"/>
    <col width="14" customWidth="1" style="96" min="6" max="6"/>
    <col width="13" customWidth="1" style="96" min="7" max="7"/>
    <col width="14" customWidth="1" style="96" min="8" max="8"/>
  </cols>
  <sheetData>
    <row r="1" ht="20" customHeight="1" s="96">
      <c r="A1" s="370" t="inlineStr">
        <is>
          <t>الجمهورية الجزائرية الديمقراطية الشعبية</t>
        </is>
      </c>
    </row>
    <row r="2" ht="18" customHeight="1" s="96">
      <c r="A2" s="371" t="inlineStr">
        <is>
          <t>وزارة التربية الوطنية  |  مديرية التربية — ولاية البيض</t>
        </is>
      </c>
    </row>
    <row r="3" ht="16" customHeight="1" s="96">
      <c r="A3" s="372" t="inlineStr">
        <is>
          <t>مصلحة الإدارة والوسائل العامة  —  مخزن المديرية</t>
        </is>
      </c>
    </row>
    <row r="4" ht="6" customHeight="1" s="96"/>
    <row r="5" ht="30" customHeight="1" s="96">
      <c r="A5" s="327" t="inlineStr">
        <is>
          <t>أمر الشراء  —  BON DE COMMANDE (BC)</t>
        </is>
      </c>
    </row>
    <row r="6" ht="22" customHeight="1" s="96">
      <c r="B6" s="353" t="inlineStr">
        <is>
          <t>رقم أمر الشراء  /  N° Bon de Commande :</t>
        </is>
      </c>
      <c r="D6" s="373" t="inlineStr"/>
    </row>
    <row r="7" ht="14" customHeight="1" s="96">
      <c r="A7" s="374" t="inlineStr">
        <is>
          <t>★  مثال — Exemple :  BC-2026-001   (BC = Bon Commande  |  001 = n° séquentiel)</t>
        </is>
      </c>
    </row>
    <row r="8" ht="22" customHeight="1" s="96">
      <c r="B8" s="353" t="inlineStr">
        <is>
          <t>تاريخ الطلبية  /  Date commande :</t>
        </is>
      </c>
      <c r="D8" s="375">
        <f>TODAY()</f>
        <v/>
      </c>
    </row>
    <row r="9" ht="22" customHeight="1" s="96">
      <c r="B9" s="353" t="inlineStr">
        <is>
          <t>المورد  /  Fournisseur :</t>
        </is>
      </c>
      <c r="D9" s="383" t="inlineStr"/>
    </row>
    <row r="10" ht="14" customHeight="1" s="96">
      <c r="A10" s="374" t="inlineStr">
        <is>
          <t>★  مثال: ENAP Alger  |  Bureautique Center Oran  |  Bureau Plus Mascara — انظر ورقة FOURNISSEURS</t>
        </is>
      </c>
    </row>
    <row r="11" ht="22" customHeight="1" s="96">
      <c r="B11" s="353" t="inlineStr">
        <is>
          <t>طلب الشراء المرجعي  /  Réf. DA :</t>
        </is>
      </c>
      <c r="D11" s="383" t="inlineStr"/>
    </row>
    <row r="12" ht="14" customHeight="1" s="96">
      <c r="A12" s="374" t="inlineStr">
        <is>
          <t>★  مثال: DA-2026-002  — رقم طلب الشراء الداخلي الذي استوجب إصدار هذا الأمر</t>
        </is>
      </c>
    </row>
    <row r="13" ht="22" customHeight="1" s="96">
      <c r="B13" s="353" t="inlineStr">
        <is>
          <t>طريقة الدفع  /  Mode de règlement :</t>
        </is>
      </c>
      <c r="D13" s="383" t="inlineStr"/>
    </row>
    <row r="14" ht="14" customHeight="1" s="96">
      <c r="A14" s="374" t="inlineStr">
        <is>
          <t>★  مثال: تحويل بنكي  |  شيك  |  خزينة الولاية — وفق الإجراءات المحاسبية المعتمدة</t>
        </is>
      </c>
    </row>
    <row r="15" ht="6" customHeight="1" s="96"/>
    <row r="16" ht="32" customHeight="1" s="96">
      <c r="A16" s="377" t="inlineStr">
        <is>
          <t>#</t>
        </is>
      </c>
      <c r="B16" s="377" t="inlineStr">
        <is>
          <t>Code
Article</t>
        </is>
      </c>
      <c r="C16" s="377" t="inlineStr">
        <is>
          <t>Désignation  /  التسمية</t>
        </is>
      </c>
      <c r="D16" s="377" t="inlineStr">
        <is>
          <t>Unité</t>
        </is>
      </c>
      <c r="E16" s="377" t="inlineStr">
        <is>
          <t>Qté
Demandée</t>
        </is>
      </c>
      <c r="F16" s="377" t="inlineStr">
        <is>
          <t>Qté
Servie / Livrée</t>
        </is>
      </c>
      <c r="G16" s="377" t="inlineStr">
        <is>
          <t>Prix Unit.
(DA)</t>
        </is>
      </c>
      <c r="H16" s="377" t="inlineStr">
        <is>
          <t>Valeur
(DA)</t>
        </is>
      </c>
    </row>
    <row r="17" ht="20" customHeight="1" s="96">
      <c r="A17" s="372" t="n">
        <v>1</v>
      </c>
      <c r="B17" s="371" t="inlineStr"/>
      <c r="C17" s="378">
        <f>IFERROR(VLOOKUP(B17,ARTICLES!$A$3:$G$500,2,0),"")</f>
        <v/>
      </c>
      <c r="D17" s="379">
        <f>IFERROR(VLOOKUP(B17,ARTICLES!$A$3:$G$500,3,0),"")</f>
        <v/>
      </c>
      <c r="E17" s="380" t="inlineStr"/>
      <c r="F17" s="380" t="inlineStr"/>
      <c r="G17" s="364">
        <f>IFERROR(VLOOKUP(B17,ARTICLES!$A$3:$G$500,7,0),"")</f>
        <v/>
      </c>
      <c r="H17" s="364">
        <f>IFERROR(F17*G17,"")</f>
        <v/>
      </c>
    </row>
    <row r="18" ht="20" customHeight="1" s="96">
      <c r="A18" s="372" t="n">
        <v>2</v>
      </c>
      <c r="B18" s="371" t="inlineStr"/>
      <c r="C18" s="378">
        <f>IFERROR(VLOOKUP(B18,ARTICLES!$A$3:$G$500,2,0),"")</f>
        <v/>
      </c>
      <c r="D18" s="379">
        <f>IFERROR(VLOOKUP(B18,ARTICLES!$A$3:$G$500,3,0),"")</f>
        <v/>
      </c>
      <c r="E18" s="380" t="inlineStr"/>
      <c r="F18" s="380" t="inlineStr"/>
      <c r="G18" s="364">
        <f>IFERROR(VLOOKUP(B18,ARTICLES!$A$3:$G$500,7,0),"")</f>
        <v/>
      </c>
      <c r="H18" s="364">
        <f>IFERROR(F18*G18,"")</f>
        <v/>
      </c>
    </row>
    <row r="19" ht="20" customHeight="1" s="96">
      <c r="A19" s="372" t="n">
        <v>3</v>
      </c>
      <c r="B19" s="371" t="inlineStr"/>
      <c r="C19" s="378">
        <f>IFERROR(VLOOKUP(B19,ARTICLES!$A$3:$G$500,2,0),"")</f>
        <v/>
      </c>
      <c r="D19" s="379">
        <f>IFERROR(VLOOKUP(B19,ARTICLES!$A$3:$G$500,3,0),"")</f>
        <v/>
      </c>
      <c r="E19" s="380" t="inlineStr"/>
      <c r="F19" s="380" t="inlineStr"/>
      <c r="G19" s="364">
        <f>IFERROR(VLOOKUP(B19,ARTICLES!$A$3:$G$500,7,0),"")</f>
        <v/>
      </c>
      <c r="H19" s="364">
        <f>IFERROR(F19*G19,"")</f>
        <v/>
      </c>
    </row>
    <row r="20" ht="20" customHeight="1" s="96">
      <c r="A20" s="372" t="n">
        <v>4</v>
      </c>
      <c r="B20" s="371" t="inlineStr"/>
      <c r="C20" s="378">
        <f>IFERROR(VLOOKUP(B20,ARTICLES!$A$3:$G$500,2,0),"")</f>
        <v/>
      </c>
      <c r="D20" s="379">
        <f>IFERROR(VLOOKUP(B20,ARTICLES!$A$3:$G$500,3,0),"")</f>
        <v/>
      </c>
      <c r="E20" s="380" t="inlineStr"/>
      <c r="F20" s="380" t="inlineStr"/>
      <c r="G20" s="364">
        <f>IFERROR(VLOOKUP(B20,ARTICLES!$A$3:$G$500,7,0),"")</f>
        <v/>
      </c>
      <c r="H20" s="364">
        <f>IFERROR(F20*G20,"")</f>
        <v/>
      </c>
    </row>
    <row r="21" ht="20" customHeight="1" s="96">
      <c r="A21" s="372" t="n">
        <v>5</v>
      </c>
      <c r="B21" s="371" t="inlineStr"/>
      <c r="C21" s="378">
        <f>IFERROR(VLOOKUP(B21,ARTICLES!$A$3:$G$500,2,0),"")</f>
        <v/>
      </c>
      <c r="D21" s="379">
        <f>IFERROR(VLOOKUP(B21,ARTICLES!$A$3:$G$500,3,0),"")</f>
        <v/>
      </c>
      <c r="E21" s="380" t="inlineStr"/>
      <c r="F21" s="380" t="inlineStr"/>
      <c r="G21" s="364">
        <f>IFERROR(VLOOKUP(B21,ARTICLES!$A$3:$G$500,7,0),"")</f>
        <v/>
      </c>
      <c r="H21" s="364">
        <f>IFERROR(F21*G21,"")</f>
        <v/>
      </c>
    </row>
    <row r="22" ht="20" customHeight="1" s="96">
      <c r="A22" s="372" t="n">
        <v>6</v>
      </c>
      <c r="B22" s="371" t="inlineStr"/>
      <c r="C22" s="378">
        <f>IFERROR(VLOOKUP(B22,ARTICLES!$A$3:$G$500,2,0),"")</f>
        <v/>
      </c>
      <c r="D22" s="379">
        <f>IFERROR(VLOOKUP(B22,ARTICLES!$A$3:$G$500,3,0),"")</f>
        <v/>
      </c>
      <c r="E22" s="380" t="inlineStr"/>
      <c r="F22" s="380" t="inlineStr"/>
      <c r="G22" s="364">
        <f>IFERROR(VLOOKUP(B22,ARTICLES!$A$3:$G$500,7,0),"")</f>
        <v/>
      </c>
      <c r="H22" s="364">
        <f>IFERROR(F22*G22,"")</f>
        <v/>
      </c>
    </row>
    <row r="23" ht="20" customHeight="1" s="96">
      <c r="A23" s="372" t="n">
        <v>7</v>
      </c>
      <c r="B23" s="371" t="inlineStr"/>
      <c r="C23" s="378">
        <f>IFERROR(VLOOKUP(B23,ARTICLES!$A$3:$G$500,2,0),"")</f>
        <v/>
      </c>
      <c r="D23" s="379">
        <f>IFERROR(VLOOKUP(B23,ARTICLES!$A$3:$G$500,3,0),"")</f>
        <v/>
      </c>
      <c r="E23" s="380" t="inlineStr"/>
      <c r="F23" s="380" t="inlineStr"/>
      <c r="G23" s="364">
        <f>IFERROR(VLOOKUP(B23,ARTICLES!$A$3:$G$500,7,0),"")</f>
        <v/>
      </c>
      <c r="H23" s="364">
        <f>IFERROR(F23*G23,"")</f>
        <v/>
      </c>
    </row>
    <row r="24" ht="20" customHeight="1" s="96">
      <c r="A24" s="372" t="n">
        <v>8</v>
      </c>
      <c r="B24" s="371" t="inlineStr"/>
      <c r="C24" s="378">
        <f>IFERROR(VLOOKUP(B24,ARTICLES!$A$3:$G$500,2,0),"")</f>
        <v/>
      </c>
      <c r="D24" s="379">
        <f>IFERROR(VLOOKUP(B24,ARTICLES!$A$3:$G$500,3,0),"")</f>
        <v/>
      </c>
      <c r="E24" s="380" t="inlineStr"/>
      <c r="F24" s="380" t="inlineStr"/>
      <c r="G24" s="364">
        <f>IFERROR(VLOOKUP(B24,ARTICLES!$A$3:$G$500,7,0),"")</f>
        <v/>
      </c>
      <c r="H24" s="364">
        <f>IFERROR(F24*G24,"")</f>
        <v/>
      </c>
    </row>
    <row r="25" ht="22" customHeight="1" s="96">
      <c r="A25" s="366" t="inlineStr">
        <is>
          <t>TOTAL  (DA)  |  المجموع الإجمالي</t>
        </is>
      </c>
      <c r="H25" s="381">
        <f>SUM(H17:H24)</f>
        <v/>
      </c>
    </row>
    <row r="26" ht="18" customHeight="1" s="96">
      <c r="A26" s="382" t="inlineStr">
        <is>
          <t>شروط التسليم  /  Conditions de livraison :</t>
        </is>
      </c>
    </row>
    <row r="27" ht="18" customHeight="1" s="96">
      <c r="A27" s="383" t="inlineStr"/>
    </row>
    <row r="28" ht="18" customHeight="1" s="96"/>
    <row r="29" ht="8" customHeight="1" s="96"/>
    <row r="30" ht="24" customHeight="1" s="96">
      <c r="A30" s="377" t="inlineStr">
        <is>
          <t xml:space="preserve">المسؤول عن المادة
Responsable Matériel
</t>
        </is>
      </c>
      <c r="C30" s="377" t="inlineStr">
        <is>
          <t xml:space="preserve">المدير / المقتصد
Directeur / Intendant
</t>
        </is>
      </c>
      <c r="F30" s="377" t="inlineStr">
        <is>
          <t xml:space="preserve">ختم وإمضاء المدير
Cachet + Signature Directeur
</t>
        </is>
      </c>
    </row>
    <row r="31" ht="24" customHeight="1" s="96">
      <c r="A31" s="384" t="inlineStr">
        <is>
          <t>الإمضاء والختم  /  Signature &amp; Cachet</t>
        </is>
      </c>
      <c r="C31" s="384" t="inlineStr">
        <is>
          <t>الإمضاء والختم  /  Signature &amp; Cachet</t>
        </is>
      </c>
      <c r="F31" s="384" t="inlineStr">
        <is>
          <t>الإمضاء والختم  /  Signature &amp; Cachet</t>
        </is>
      </c>
    </row>
    <row r="32" ht="24" customHeight="1" s="96"/>
    <row r="33" ht="14" customHeight="1" s="96">
      <c r="A33" s="374" t="inlineStr">
        <is>
          <t>★  يُرسَل أمر الشراء للمورد في نسختين — أصل للمورد، نسخة للمصلحة المالية</t>
        </is>
      </c>
    </row>
    <row r="34" ht="14" customHeight="1" s="96">
      <c r="A34" s="351" t="inlineStr">
        <is>
          <t>ERP_Academie_v9  |  مديرية التربية — ولاية البيض  |  ماحي كمال عبد الغني — TAG1801  |  02/04/2026</t>
        </is>
      </c>
    </row>
  </sheetData>
  <mergeCells count="29">
    <mergeCell ref="A30:B30"/>
    <mergeCell ref="A1:H1"/>
    <mergeCell ref="D6:H6"/>
    <mergeCell ref="A7:H7"/>
    <mergeCell ref="B11:C11"/>
    <mergeCell ref="D11:H11"/>
    <mergeCell ref="D13:H13"/>
    <mergeCell ref="B8:C8"/>
    <mergeCell ref="A12:H12"/>
    <mergeCell ref="B13:C13"/>
    <mergeCell ref="A3:H3"/>
    <mergeCell ref="A26:H26"/>
    <mergeCell ref="A2:H2"/>
    <mergeCell ref="A31:B32"/>
    <mergeCell ref="A33:H33"/>
    <mergeCell ref="A14:H14"/>
    <mergeCell ref="A25:G25"/>
    <mergeCell ref="A5:H5"/>
    <mergeCell ref="B9:C9"/>
    <mergeCell ref="C30:E30"/>
    <mergeCell ref="D9:H9"/>
    <mergeCell ref="C31:E32"/>
    <mergeCell ref="B6:C6"/>
    <mergeCell ref="D8:H8"/>
    <mergeCell ref="F31:H32"/>
    <mergeCell ref="A10:H10"/>
    <mergeCell ref="F30:H30"/>
    <mergeCell ref="A27:H28"/>
    <mergeCell ref="A34:H34"/>
  </mergeCells>
  <pageMargins left="0.6" right="0.4" top="0.5" bottom="0.5" header="0.2" footer="0.2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selection activeCell="A1" sqref="A1"/>
    </sheetView>
  </sheetViews>
  <sheetFormatPr baseColWidth="8" defaultRowHeight="15"/>
  <cols>
    <col width="4" customWidth="1" style="96" min="1" max="1"/>
    <col width="12" customWidth="1" style="96" min="2" max="2"/>
    <col width="30" customWidth="1" style="96" min="3" max="3"/>
    <col width="10" customWidth="1" style="96" min="4" max="4"/>
    <col width="13" customWidth="1" style="96" min="5" max="5"/>
    <col width="13" customWidth="1" style="96" min="6" max="6"/>
    <col width="22" customWidth="1" style="96" min="7" max="7"/>
    <col width="10" customWidth="1" style="96" min="8" max="8"/>
  </cols>
  <sheetData>
    <row r="1" ht="20" customHeight="1" s="96">
      <c r="A1" s="370" t="inlineStr">
        <is>
          <t>الجمهورية الجزائرية الديمقراطية الشعبية</t>
        </is>
      </c>
    </row>
    <row r="2" ht="18" customHeight="1" s="96">
      <c r="A2" s="371" t="inlineStr">
        <is>
          <t>مديرية التربية لولاية البيض</t>
        </is>
      </c>
    </row>
    <row r="3" ht="6" customHeight="1" s="96"/>
    <row r="4" ht="30" customHeight="1" s="96">
      <c r="A4" s="327" t="inlineStr">
        <is>
          <t>طلب الاحتياج من المواد (DA)  —  DEMANDE D'ACHAT / D'APPROVISIONNEMENT</t>
        </is>
      </c>
    </row>
    <row r="5" ht="6" customHeight="1" s="96"/>
    <row r="6" ht="22" customHeight="1" s="96">
      <c r="B6" s="353" t="inlineStr">
        <is>
          <t>رقم الطلب  /  N° DA :</t>
        </is>
      </c>
      <c r="D6" s="376" t="inlineStr"/>
    </row>
    <row r="7" ht="14" customHeight="1" s="96">
      <c r="A7" s="374" t="inlineStr">
        <is>
          <t>★  DA-2026-001   (DA = Demande d'Achat  |  numéro séquentiel)</t>
        </is>
      </c>
    </row>
    <row r="8" ht="22" customHeight="1" s="96">
      <c r="B8" s="353" t="inlineStr">
        <is>
          <t>التاريخ  /  Date :</t>
        </is>
      </c>
      <c r="D8" s="375">
        <f>TODAY()</f>
        <v/>
      </c>
    </row>
    <row r="9" ht="22" customHeight="1" s="96">
      <c r="B9" s="353" t="inlineStr">
        <is>
          <t>المصلحة الطالبة  /  Service demandeur :</t>
        </is>
      </c>
      <c r="D9" s="376" t="inlineStr"/>
    </row>
    <row r="10" ht="14" customHeight="1" s="96">
      <c r="A10" s="374" t="inlineStr">
        <is>
          <t>★  مثال: مصلحة الرواتب  |  مكتب المدير  |  مصلحة الامتحانات</t>
        </is>
      </c>
    </row>
    <row r="11" ht="22" customHeight="1" s="96">
      <c r="B11" s="353" t="inlineStr">
        <is>
          <t>المسؤول عن المصلحة  /  Responsable :</t>
        </is>
      </c>
      <c r="D11" s="376" t="inlineStr"/>
    </row>
    <row r="12" ht="14" customHeight="1" s="96">
      <c r="A12" s="374" t="inlineStr">
        <is>
          <t>★  الاسم الكامل + الصفة الوظيفية</t>
        </is>
      </c>
    </row>
    <row r="13" ht="22" customHeight="1" s="96">
      <c r="B13" s="353" t="inlineStr">
        <is>
          <t>الغرض  /  Objet / Motif :</t>
        </is>
      </c>
      <c r="D13" s="376" t="inlineStr"/>
    </row>
    <row r="14" ht="14" customHeight="1" s="96">
      <c r="A14" s="374" t="inlineStr">
        <is>
          <t>★  مثال: تموين احتياجات الطباعة لشهر أفريل 2026  |  تجهيز قاعة الامتحانات</t>
        </is>
      </c>
    </row>
    <row r="15" ht="6" customHeight="1" s="96"/>
    <row r="16" ht="32" customHeight="1" s="96">
      <c r="A16" s="377" t="inlineStr">
        <is>
          <t>#</t>
        </is>
      </c>
      <c r="B16" s="377" t="inlineStr">
        <is>
          <t>Code Article</t>
        </is>
      </c>
      <c r="C16" s="377" t="inlineStr">
        <is>
          <t>Désignation  /  التسمية</t>
        </is>
      </c>
      <c r="D16" s="377" t="inlineStr">
        <is>
          <t>Unité</t>
        </is>
      </c>
      <c r="E16" s="377" t="inlineStr">
        <is>
          <t>Quantité
Demandée</t>
        </is>
      </c>
      <c r="F16" s="377" t="inlineStr">
        <is>
          <t>Quantité
Approuvée</t>
        </is>
      </c>
      <c r="G16" s="377" t="inlineStr">
        <is>
          <t>Observations</t>
        </is>
      </c>
      <c r="H16" s="377" t="inlineStr">
        <is>
          <t>Disponib.
Stock</t>
        </is>
      </c>
    </row>
    <row r="17" ht="20" customHeight="1" s="96">
      <c r="A17" s="363" t="n">
        <v>1</v>
      </c>
      <c r="B17" s="371" t="inlineStr"/>
      <c r="C17" s="378">
        <f>IFERROR(VLOOKUP(B17,ARTICLES!$A$3:$G$500,2,0),"")</f>
        <v/>
      </c>
      <c r="D17" s="379">
        <f>IFERROR(VLOOKUP(B17,ARTICLES!$A$3:$G$500,3,0),"")</f>
        <v/>
      </c>
      <c r="E17" s="380" t="inlineStr"/>
      <c r="F17" s="385" t="inlineStr"/>
      <c r="G17" s="378" t="inlineStr"/>
      <c r="H17" s="340">
        <f>IFERROR(IF(B17="","",SUMIFS(MOUVEMENTS!$E$3:$E$500,MOUVEMENTS!$B$3:$B$500,B17,MOUVEMENTS!$D$3:$D$500,"IN")-SUMIFS(MOUVEMENTS!$E$3:$E$500,MOUVEMENTS!$B$3:$B$500,B17,MOUVEMENTS!$D$3:$D$500,"OUT")),"?")</f>
        <v/>
      </c>
    </row>
    <row r="18" ht="20" customHeight="1" s="96">
      <c r="A18" s="363" t="n">
        <v>2</v>
      </c>
      <c r="B18" s="371" t="inlineStr"/>
      <c r="C18" s="378">
        <f>IFERROR(VLOOKUP(B18,ARTICLES!$A$3:$G$500,2,0),"")</f>
        <v/>
      </c>
      <c r="D18" s="379">
        <f>IFERROR(VLOOKUP(B18,ARTICLES!$A$3:$G$500,3,0),"")</f>
        <v/>
      </c>
      <c r="E18" s="380" t="inlineStr"/>
      <c r="F18" s="385" t="inlineStr"/>
      <c r="G18" s="378" t="inlineStr"/>
      <c r="H18" s="340">
        <f>IFERROR(IF(B18="","",SUMIFS(MOUVEMENTS!$E$3:$E$500,MOUVEMENTS!$B$3:$B$500,B18,MOUVEMENTS!$D$3:$D$500,"IN")-SUMIFS(MOUVEMENTS!$E$3:$E$500,MOUVEMENTS!$B$3:$B$500,B18,MOUVEMENTS!$D$3:$D$500,"OUT")),"?")</f>
        <v/>
      </c>
    </row>
    <row r="19" ht="20" customHeight="1" s="96">
      <c r="A19" s="363" t="n">
        <v>3</v>
      </c>
      <c r="B19" s="371" t="inlineStr"/>
      <c r="C19" s="378">
        <f>IFERROR(VLOOKUP(B19,ARTICLES!$A$3:$G$500,2,0),"")</f>
        <v/>
      </c>
      <c r="D19" s="379">
        <f>IFERROR(VLOOKUP(B19,ARTICLES!$A$3:$G$500,3,0),"")</f>
        <v/>
      </c>
      <c r="E19" s="380" t="inlineStr"/>
      <c r="F19" s="385" t="inlineStr"/>
      <c r="G19" s="378" t="inlineStr"/>
      <c r="H19" s="340">
        <f>IFERROR(IF(B19="","",SUMIFS(MOUVEMENTS!$E$3:$E$500,MOUVEMENTS!$B$3:$B$500,B19,MOUVEMENTS!$D$3:$D$500,"IN")-SUMIFS(MOUVEMENTS!$E$3:$E$500,MOUVEMENTS!$B$3:$B$500,B19,MOUVEMENTS!$D$3:$D$500,"OUT")),"?")</f>
        <v/>
      </c>
    </row>
    <row r="20" ht="20" customHeight="1" s="96">
      <c r="A20" s="363" t="n">
        <v>4</v>
      </c>
      <c r="B20" s="371" t="inlineStr"/>
      <c r="C20" s="378">
        <f>IFERROR(VLOOKUP(B20,ARTICLES!$A$3:$G$500,2,0),"")</f>
        <v/>
      </c>
      <c r="D20" s="379">
        <f>IFERROR(VLOOKUP(B20,ARTICLES!$A$3:$G$500,3,0),"")</f>
        <v/>
      </c>
      <c r="E20" s="380" t="inlineStr"/>
      <c r="F20" s="385" t="inlineStr"/>
      <c r="G20" s="378" t="inlineStr"/>
      <c r="H20" s="340">
        <f>IFERROR(IF(B20="","",SUMIFS(MOUVEMENTS!$E$3:$E$500,MOUVEMENTS!$B$3:$B$500,B20,MOUVEMENTS!$D$3:$D$500,"IN")-SUMIFS(MOUVEMENTS!$E$3:$E$500,MOUVEMENTS!$B$3:$B$500,B20,MOUVEMENTS!$D$3:$D$500,"OUT")),"?")</f>
        <v/>
      </c>
    </row>
    <row r="21" ht="20" customHeight="1" s="96">
      <c r="A21" s="363" t="n">
        <v>5</v>
      </c>
      <c r="B21" s="371" t="inlineStr"/>
      <c r="C21" s="378">
        <f>IFERROR(VLOOKUP(B21,ARTICLES!$A$3:$G$500,2,0),"")</f>
        <v/>
      </c>
      <c r="D21" s="379">
        <f>IFERROR(VLOOKUP(B21,ARTICLES!$A$3:$G$500,3,0),"")</f>
        <v/>
      </c>
      <c r="E21" s="380" t="inlineStr"/>
      <c r="F21" s="385" t="inlineStr"/>
      <c r="G21" s="378" t="inlineStr"/>
      <c r="H21" s="340">
        <f>IFERROR(IF(B21="","",SUMIFS(MOUVEMENTS!$E$3:$E$500,MOUVEMENTS!$B$3:$B$500,B21,MOUVEMENTS!$D$3:$D$500,"IN")-SUMIFS(MOUVEMENTS!$E$3:$E$500,MOUVEMENTS!$B$3:$B$500,B21,MOUVEMENTS!$D$3:$D$500,"OUT")),"?")</f>
        <v/>
      </c>
    </row>
    <row r="22" ht="20" customHeight="1" s="96">
      <c r="A22" s="363" t="n">
        <v>6</v>
      </c>
      <c r="B22" s="371" t="inlineStr"/>
      <c r="C22" s="378">
        <f>IFERROR(VLOOKUP(B22,ARTICLES!$A$3:$G$500,2,0),"")</f>
        <v/>
      </c>
      <c r="D22" s="379">
        <f>IFERROR(VLOOKUP(B22,ARTICLES!$A$3:$G$500,3,0),"")</f>
        <v/>
      </c>
      <c r="E22" s="380" t="inlineStr"/>
      <c r="F22" s="385" t="inlineStr"/>
      <c r="G22" s="378" t="inlineStr"/>
      <c r="H22" s="340">
        <f>IFERROR(IF(B22="","",SUMIFS(MOUVEMENTS!$E$3:$E$500,MOUVEMENTS!$B$3:$B$500,B22,MOUVEMENTS!$D$3:$D$500,"IN")-SUMIFS(MOUVEMENTS!$E$3:$E$500,MOUVEMENTS!$B$3:$B$500,B22,MOUVEMENTS!$D$3:$D$500,"OUT")),"?")</f>
        <v/>
      </c>
    </row>
    <row r="23" ht="20" customHeight="1" s="96">
      <c r="A23" s="363" t="n">
        <v>7</v>
      </c>
      <c r="B23" s="371" t="inlineStr"/>
      <c r="C23" s="378">
        <f>IFERROR(VLOOKUP(B23,ARTICLES!$A$3:$G$500,2,0),"")</f>
        <v/>
      </c>
      <c r="D23" s="379">
        <f>IFERROR(VLOOKUP(B23,ARTICLES!$A$3:$G$500,3,0),"")</f>
        <v/>
      </c>
      <c r="E23" s="380" t="inlineStr"/>
      <c r="F23" s="385" t="inlineStr"/>
      <c r="G23" s="378" t="inlineStr"/>
      <c r="H23" s="340">
        <f>IFERROR(IF(B23="","",SUMIFS(MOUVEMENTS!$E$3:$E$500,MOUVEMENTS!$B$3:$B$500,B23,MOUVEMENTS!$D$3:$D$500,"IN")-SUMIFS(MOUVEMENTS!$E$3:$E$500,MOUVEMENTS!$B$3:$B$500,B23,MOUVEMENTS!$D$3:$D$500,"OUT")),"?")</f>
        <v/>
      </c>
    </row>
    <row r="24" ht="20" customHeight="1" s="96">
      <c r="A24" s="363" t="n">
        <v>8</v>
      </c>
      <c r="B24" s="371" t="inlineStr"/>
      <c r="C24" s="378">
        <f>IFERROR(VLOOKUP(B24,ARTICLES!$A$3:$G$500,2,0),"")</f>
        <v/>
      </c>
      <c r="D24" s="379">
        <f>IFERROR(VLOOKUP(B24,ARTICLES!$A$3:$G$500,3,0),"")</f>
        <v/>
      </c>
      <c r="E24" s="380" t="inlineStr"/>
      <c r="F24" s="385" t="inlineStr"/>
      <c r="G24" s="378" t="inlineStr"/>
      <c r="H24" s="340">
        <f>IFERROR(IF(B24="","",SUMIFS(MOUVEMENTS!$E$3:$E$500,MOUVEMENTS!$B$3:$B$500,B24,MOUVEMENTS!$D$3:$D$500,"IN")-SUMIFS(MOUVEMENTS!$E$3:$E$500,MOUVEMENTS!$B$3:$B$500,B24,MOUVEMENTS!$D$3:$D$500,"OUT")),"?")</f>
        <v/>
      </c>
    </row>
    <row r="25" ht="6" customHeight="1" s="96">
      <c r="A25" s="386" t="inlineStr"/>
    </row>
    <row r="26" ht="22" customHeight="1" s="96">
      <c r="A26" s="387" t="inlineStr">
        <is>
          <t>ملاحظة للمصلحة الطالبة: تُعبَّأ الخانات البيضاء (رمز المادة + الكمية المطلوبة + الغرض) وتُرسل هذه الورقة إلى مصلحة الوسائل العامة.
ملاحظة للمخزن: الخانة (الكمية المعتمدة) والخانة (المخزون الحالي) تُعبَّأن بعد التحقق من الرصيد الفعلي في النظام.
الدورة المستندية: DA → (إن متوفر) BS  |  DA → (غير متوفر) BC → BR → BS</t>
        </is>
      </c>
    </row>
    <row r="27" ht="22" customHeight="1" s="96"/>
    <row r="28" ht="22" customHeight="1" s="96"/>
    <row r="29" ht="8" customHeight="1" s="96"/>
    <row r="30" ht="24" customHeight="1" s="96">
      <c r="A30" s="377" t="inlineStr">
        <is>
          <t xml:space="preserve">توقيع المصلحة الطالبة
Signature du Service
</t>
        </is>
      </c>
      <c r="D30" s="377" t="inlineStr">
        <is>
          <t xml:space="preserve">اعتماد مسؤول المخزن
Visa Magasinier
</t>
        </is>
      </c>
      <c r="G30" s="377" t="inlineStr">
        <is>
          <t xml:space="preserve">مصادقة المدير
Visa Directeur
</t>
        </is>
      </c>
    </row>
    <row r="31" ht="24" customHeight="1" s="96">
      <c r="A31" s="384" t="inlineStr">
        <is>
          <t>الإمضاء والختم  /  Signature &amp; Cachet</t>
        </is>
      </c>
      <c r="D31" s="384" t="inlineStr">
        <is>
          <t>الإمضاء والختم  /  Signature &amp; Cachet</t>
        </is>
      </c>
      <c r="G31" s="384" t="inlineStr">
        <is>
          <t>الإمضاء والختم  /  Signature &amp; Cachet</t>
        </is>
      </c>
    </row>
    <row r="32" ht="24" customHeight="1" s="96"/>
    <row r="33" ht="14" customHeight="1" s="96">
      <c r="A33" s="351" t="inlineStr">
        <is>
          <t>ERP_Academie_v9  |  مديرية التربية — ولاية البيض  |  ماحي كمال عبد الغني — TAG1801  |  02/04/2026</t>
        </is>
      </c>
    </row>
  </sheetData>
  <mergeCells count="26">
    <mergeCell ref="A1:H1"/>
    <mergeCell ref="D31:F32"/>
    <mergeCell ref="A31:C32"/>
    <mergeCell ref="D6:H6"/>
    <mergeCell ref="A7:H7"/>
    <mergeCell ref="B11:C11"/>
    <mergeCell ref="A25:H25"/>
    <mergeCell ref="D11:H11"/>
    <mergeCell ref="D13:H13"/>
    <mergeCell ref="D30:F30"/>
    <mergeCell ref="B8:C8"/>
    <mergeCell ref="A12:H12"/>
    <mergeCell ref="B13:C13"/>
    <mergeCell ref="G30:H30"/>
    <mergeCell ref="A2:H2"/>
    <mergeCell ref="G31:H32"/>
    <mergeCell ref="A33:H33"/>
    <mergeCell ref="A14:H14"/>
    <mergeCell ref="A30:C30"/>
    <mergeCell ref="B9:C9"/>
    <mergeCell ref="D9:H9"/>
    <mergeCell ref="A4:H4"/>
    <mergeCell ref="B6:C6"/>
    <mergeCell ref="A26:H28"/>
    <mergeCell ref="D8:H8"/>
    <mergeCell ref="A10:H10"/>
  </mergeCells>
  <pageMargins left="0.6" right="0.4" top="0.5" bottom="0.5" header="0.2" footer="0.2"/>
  <pageSetup orientation="portrait" paperSize="9" fitToHeight="1" fitToWidth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B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95" min="1" max="1"/>
    <col width="72" customWidth="1" style="95" min="2" max="2"/>
  </cols>
  <sheetData>
    <row r="1" ht="31.5" customHeight="1" s="96">
      <c r="A1" s="245" t="inlineStr">
        <is>
          <t>GUIDE D'UTILISATION  —  دليل الاستخدام  |  ERP_Academie_v8  [v7 + Automation]</t>
        </is>
      </c>
    </row>
    <row r="2" ht="24" customHeight="1" s="96">
      <c r="A2" s="246" t="inlineStr">
        <is>
          <t>SECTION</t>
        </is>
      </c>
      <c r="B2" s="247" t="inlineStr">
        <is>
          <t>CORRECTIONS v7 vs v6  (bugs résolus)</t>
        </is>
      </c>
    </row>
    <row r="3" ht="18" customHeight="1" s="96">
      <c r="A3" s="248" t="inlineStr">
        <is>
          <t>✔</t>
        </is>
      </c>
      <c r="B3" s="249" t="inlineStr">
        <is>
          <t>OPT-01  Range ARTICLES étendu à 12 articles (lignes 3-14). Toutes les formules VLOOKUP utilisent $A$3:$G$500</t>
        </is>
      </c>
    </row>
    <row r="4" ht="18" customHeight="1" s="96">
      <c r="A4" s="248" t="inlineStr">
        <is>
          <t>✔</t>
        </is>
      </c>
      <c r="B4" s="250" t="inlineStr">
        <is>
          <t>OPT-02  CMUP colonne L : dénominateur protégé par MAX(1,…) → aucune erreur DIV/0 possible</t>
        </is>
      </c>
    </row>
    <row r="5" ht="18" customHeight="1" s="96">
      <c r="A5" s="248" t="inlineStr">
        <is>
          <t>✔</t>
        </is>
      </c>
      <c r="B5" s="249" t="inlineStr">
        <is>
          <t>OPT-03  Calcul Wilson (EOQ) déplacé dans la feuille CALCULS_EOQ (était dans TABLEAU DE BORD)</t>
        </is>
      </c>
    </row>
    <row r="6" ht="18" customHeight="1" s="96">
      <c r="A6" s="248" t="inlineStr">
        <is>
          <t>✔</t>
        </is>
      </c>
      <c r="B6" s="250" t="inlineStr">
        <is>
          <t>FIX-01  Préfixe MOUVEMENTS! supprimé dans les formules de la feuille MOUVEMENTS (référence circulaire évitée)</t>
        </is>
      </c>
    </row>
    <row r="7" ht="18" customHeight="1" s="96">
      <c r="A7" s="248" t="inlineStr">
        <is>
          <t>✔</t>
        </is>
      </c>
      <c r="B7" s="249" t="inlineStr">
        <is>
          <t>FIX-02  Colonne J MOUVEMENTS renommée «Stock Net (IN−OUT)» — label correct</t>
        </is>
      </c>
    </row>
    <row r="8" ht="18" customHeight="1" s="96">
      <c r="A8" s="248" t="inlineStr">
        <is>
          <t>✔</t>
        </is>
      </c>
      <c r="B8" s="250" t="inlineStr">
        <is>
          <t>FIX-03  5 feuilles manquantes ajoutées: ACCUEIL, FOURNISSEURS, INVENTAIRE, CALCULS_EOQ, HISTORIQUE</t>
        </is>
      </c>
    </row>
    <row r="9" ht="18" customHeight="1" s="96">
      <c r="A9" s="248" t="inlineStr">
        <is>
          <t>✔</t>
        </is>
      </c>
      <c r="B9" s="249" t="inlineStr">
        <is>
          <t>FIX-04  Catalogue: 12 articles conformes à l'analyse ABC du terrain (vs 8 dans v6)</t>
        </is>
      </c>
    </row>
    <row r="10" ht="18" customHeight="1" s="96">
      <c r="A10" s="248" t="inlineStr">
        <is>
          <t>✔</t>
        </is>
      </c>
      <c r="B10" s="250" t="inlineStr">
        <is>
          <t>FIX-05  Registre: 29 mouvements depuis données réelles des bطاقات المخزون</t>
        </is>
      </c>
    </row>
    <row r="11" ht="18" customHeight="1" s="96">
      <c r="A11" s="248" t="n"/>
      <c r="B11" s="249" t="n"/>
    </row>
    <row r="12" ht="24" customHeight="1" s="96">
      <c r="A12" s="246" t="inlineStr">
        <is>
          <t>SECTION</t>
        </is>
      </c>
      <c r="B12" s="247" t="inlineStr">
        <is>
          <t>COMPATIBILITÉ EXCEL 2010 / WINDOWS 7</t>
        </is>
      </c>
    </row>
    <row r="13" ht="18" customHeight="1" s="96">
      <c r="A13" s="248" t="inlineStr">
        <is>
          <t>✔</t>
        </is>
      </c>
      <c r="B13" s="249" t="inlineStr">
        <is>
          <t>Aucune fonction moderne (XLOOKUP, UNIQUE, FILTER, tableaux dynamiques)</t>
        </is>
      </c>
    </row>
    <row r="14" ht="18" customHeight="1" s="96">
      <c r="A14" s="248" t="inlineStr">
        <is>
          <t>✔</t>
        </is>
      </c>
      <c r="B14" s="250" t="inlineStr">
        <is>
          <t>VLOOKUP, SUMIFS, SUMPRODUCT, IFERROR, MAX uniquement</t>
        </is>
      </c>
    </row>
    <row r="15" ht="18" customHeight="1" s="96">
      <c r="A15" s="248" t="inlineStr">
        <is>
          <t>✔</t>
        </is>
      </c>
      <c r="B15" s="249" t="inlineStr">
        <is>
          <t>LOOKUP(2,1/(array=val),result) pour trouver la dernière valeur CMUP par article</t>
        </is>
      </c>
    </row>
    <row r="16" ht="18" customHeight="1" s="96">
      <c r="A16" s="248" t="n"/>
      <c r="B16" s="250" t="n"/>
    </row>
    <row r="17" ht="24" customHeight="1" s="96">
      <c r="A17" s="246" t="inlineStr">
        <is>
          <t>SECTION</t>
        </is>
      </c>
      <c r="B17" s="247" t="inlineStr">
        <is>
          <t>VBA — MACROS À AJOUTER MANUELLEMENT (ALT+F11)</t>
        </is>
      </c>
    </row>
    <row r="18" ht="18" customHeight="1" s="96">
      <c r="A18" s="248" t="inlineStr">
        <is>
          <t>►</t>
        </is>
      </c>
      <c r="B18" s="250" t="inlineStr">
        <is>
          <t>Sub AjouterMouvement() — Demande code, type, qté, ref → insère ligne en MOUVEMENTS, rafraîchit TDB</t>
        </is>
      </c>
    </row>
    <row r="19" ht="18" customHeight="1" s="96">
      <c r="A19" s="248" t="inlineStr">
        <is>
          <t>►</t>
        </is>
      </c>
      <c r="B19" s="249" t="inlineStr">
        <is>
          <t>Sub VerifierAlertes() — Boucle sur TABLEAU DE BORD col K, MsgBox si COMMANDER ou RUPTURE</t>
        </is>
      </c>
    </row>
    <row r="20" ht="18" customHeight="1" s="96">
      <c r="A20" s="248" t="inlineStr">
        <is>
          <t>►</t>
        </is>
      </c>
      <c r="B20" s="250" t="inlineStr">
        <is>
          <t>Sub RafraichirTableauBord() — Force recalcul (Application.Calculate), met à jour date ACCUEIL</t>
        </is>
      </c>
    </row>
    <row r="21" ht="18" customHeight="1" s="96">
      <c r="A21" s="248" t="n"/>
      <c r="B21" s="249" t="n"/>
    </row>
    <row r="22" ht="24" customHeight="1" s="96">
      <c r="A22" s="246" t="inlineStr">
        <is>
          <t>SECTION</t>
        </is>
      </c>
      <c r="B22" s="247" t="inlineStr">
        <is>
          <t>COMMENT AJOUTER UN MOUVEMENT</t>
        </is>
      </c>
    </row>
    <row r="23" ht="18" customHeight="1" s="96">
      <c r="A23" s="248" t="inlineStr">
        <is>
          <t>1.</t>
        </is>
      </c>
      <c r="B23" s="249" t="inlineStr">
        <is>
          <t>Aller dans la feuille MOUVEMENTS</t>
        </is>
      </c>
    </row>
    <row r="24" ht="18" customHeight="1" s="96">
      <c r="A24" s="248" t="inlineStr">
        <is>
          <t>2.</t>
        </is>
      </c>
      <c r="B24" s="250" t="inlineStr">
        <is>
          <t>Saisir la date (col A), le code article (col B), IN/OUT (col D), quantité (col E), réf. doc (col H)</t>
        </is>
      </c>
    </row>
    <row r="25" ht="18" customHeight="1" s="96">
      <c r="A25" s="248" t="inlineStr">
        <is>
          <t>3.</t>
        </is>
      </c>
      <c r="B25" s="249" t="inlineStr">
        <is>
          <t>Les colonnes C, F, G, I, J, K, L se calculent automatiquement</t>
        </is>
      </c>
    </row>
    <row r="26" ht="18" customHeight="1" s="96">
      <c r="A26" s="248" t="inlineStr">
        <is>
          <t>4.</t>
        </is>
      </c>
      <c r="B26" s="250" t="inlineStr">
        <is>
          <t>Le TABLEAU DE BORD se met à jour dès que vous revenez sur cet onglet</t>
        </is>
      </c>
    </row>
    <row r="27" ht="18" customHeight="1" s="96">
      <c r="A27" s="248" t="n"/>
      <c r="B27" s="249" t="n"/>
    </row>
    <row r="28" ht="24" customHeight="1" s="96">
      <c r="A28" s="246" t="inlineStr">
        <is>
          <t>SECTION</t>
        </is>
      </c>
      <c r="B28" s="247" t="inlineStr">
        <is>
          <t>PARAMÈTRES AJUSTABLES (TABLEAU DE BORD, colonnes M-N)</t>
        </is>
      </c>
    </row>
    <row r="29" ht="18" customHeight="1" s="96">
      <c r="A29" s="248" t="inlineStr">
        <is>
          <t>N4</t>
        </is>
      </c>
      <c r="B29" s="249" t="inlineStr">
        <is>
          <t>Jours d'observation = 38 jours (période terrain 01/02 – 09/03/2026). Modifier si nouvelle période.</t>
        </is>
      </c>
    </row>
    <row r="30" ht="18" customHeight="1" s="96">
      <c r="A30" s="248" t="inlineStr">
        <is>
          <t>N6</t>
        </is>
      </c>
      <c r="B30" s="250" t="inlineStr">
        <is>
          <t>Lead Time = 2 jours (Oran → El Bayadh). Modifier si délai change.</t>
        </is>
      </c>
    </row>
    <row r="31" ht="18" customHeight="1" s="96">
      <c r="A31" s="248" t="n"/>
      <c r="B31" s="249" t="n"/>
    </row>
    <row r="32" ht="24" customHeight="1" s="96">
      <c r="A32" s="246" t="inlineStr">
        <is>
          <t>SECTION</t>
        </is>
      </c>
      <c r="B32" s="247" t="inlineStr">
        <is>
          <t>CALCULS_EOQ — WILSON</t>
        </is>
      </c>
    </row>
    <row r="33" ht="18" customHeight="1" s="96">
      <c r="A33" s="248" t="inlineStr">
        <is>
          <t>C3</t>
        </is>
      </c>
      <c r="B33" s="249" t="inlineStr">
        <is>
          <t>D = Demande annuelle ART-001 (calculée auto depuis MOUVEMENTS)</t>
        </is>
      </c>
    </row>
    <row r="34" ht="18" customHeight="1" s="96">
      <c r="A34" s="248" t="inlineStr">
        <is>
          <t>C4</t>
        </is>
      </c>
      <c r="B34" s="250" t="inlineStr">
        <is>
          <t>CL = 50 DA par commande (modifiable)</t>
        </is>
      </c>
    </row>
    <row r="35" ht="18" customHeight="1" s="96">
      <c r="A35" s="248" t="inlineStr">
        <is>
          <t>C5</t>
        </is>
      </c>
      <c r="B35" s="249" t="inlineStr">
        <is>
          <t>PU = 400 DA/rame (confirmé terrain — NE PAS changer)</t>
        </is>
      </c>
    </row>
    <row r="36" ht="18" customHeight="1" s="96">
      <c r="A36" s="248" t="inlineStr">
        <is>
          <t>C6</t>
        </is>
      </c>
      <c r="B36" s="250" t="inlineStr">
        <is>
          <t>t = 20% taux de possession (standard secteur public)</t>
        </is>
      </c>
    </row>
    <row r="37" ht="18" customHeight="1" s="96">
      <c r="A37" s="248" t="inlineStr">
        <is>
          <t>C7</t>
        </is>
      </c>
      <c r="B37" s="249" t="inlineStr">
        <is>
          <t>SS = 200 rames (stock de sécurité — modifiable)</t>
        </is>
      </c>
    </row>
    <row r="38" ht="18" customHeight="1" s="96">
      <c r="A38" s="248" t="inlineStr">
        <is>
          <t>C8</t>
        </is>
      </c>
      <c r="B38" s="250" t="inlineStr">
        <is>
          <t>LT = 2 jours (modifiable)</t>
        </is>
      </c>
    </row>
    <row r="39" ht="18" customHeight="1" s="96">
      <c r="A39" s="248" t="n"/>
      <c r="B39" s="249" t="n"/>
    </row>
    <row r="40" ht="24" customHeight="1" s="96">
      <c r="A40" s="246" t="inlineStr">
        <is>
          <t>SECTION</t>
        </is>
      </c>
      <c r="B40" s="247" t="inlineStr">
        <is>
          <t>MÉMOIRE — Références mذكرة تخرج</t>
        </is>
      </c>
    </row>
    <row r="41" ht="18" customHeight="1" s="96">
      <c r="A41" s="248" t="inlineStr">
        <is>
          <t>§</t>
        </is>
      </c>
      <c r="B41" s="249" t="inlineStr">
        <is>
          <t>Chapitre 3, §3.2 : Tableau ABC → ART-001 = 72.2% de la valeur totale</t>
        </is>
      </c>
    </row>
    <row r="42" ht="18" customHeight="1" s="96">
      <c r="A42" s="248" t="inlineStr">
        <is>
          <t>§</t>
        </is>
      </c>
      <c r="B42" s="250" t="inlineStr">
        <is>
          <t>Chapitre 3, §3.3 : CMUP = K ÷ MAX(1,ΣIN) → formule colonne L, MOUVEMENTS</t>
        </is>
      </c>
    </row>
    <row r="43" ht="18" customHeight="1" s="96">
      <c r="A43" s="248" t="inlineStr">
        <is>
          <t>§</t>
        </is>
      </c>
      <c r="B43" s="249" t="inlineStr">
        <is>
          <t>Chapitre 3, §3.4 : Wilson EOQ ≈ 60 rames | ROP ≈ 216 rames | CVT ≈ 4817 DA/an</t>
        </is>
      </c>
    </row>
    <row r="44" ht="18" customHeight="1" s="96">
      <c r="A44" s="248" t="inlineStr">
        <is>
          <t>§</t>
        </is>
      </c>
      <c r="B44" s="250" t="inlineStr">
        <is>
          <t>Chapitre 4, §4.2 : 9 feuilles, 12 articles, VLOOKUP+SUMPRODUCT, Excel 2010</t>
        </is>
      </c>
    </row>
    <row r="45"/>
    <row r="46" ht="26" customHeight="1" s="96">
      <c r="A46" s="251" t="inlineStr">
        <is>
          <t>SECTION</t>
        </is>
      </c>
      <c r="B46" s="252" t="inlineStr">
        <is>
          <t>NOUVELLES FEUILLES v8 (depuis analyse Gemini)</t>
        </is>
      </c>
    </row>
    <row r="47" ht="20" customHeight="1" s="96">
      <c r="A47" s="253" t="inlineStr">
        <is>
          <t>★</t>
        </is>
      </c>
      <c r="B47" s="254" t="inlineStr">
        <is>
          <t>ALERTE_DASHBOARD  — Sentinelle formule: 4 KPIs (ruptures, commander, alerte, OK) + table détail</t>
        </is>
      </c>
    </row>
    <row r="48" ht="20" customHeight="1" s="96">
      <c r="A48" s="253" t="inlineStr">
        <is>
          <t>★</t>
        </is>
      </c>
      <c r="B48" s="255" t="inlineStr">
        <is>
          <t>BON_RECEPTION     — Template A4 imprimable: header institutionnel + VLOOKUP auto + QR placeholder + PDF VBA</t>
        </is>
      </c>
    </row>
    <row r="49" ht="20" customHeight="1" s="96">
      <c r="A49" s="253" t="inlineStr">
        <is>
          <t>★</t>
        </is>
      </c>
      <c r="B49" s="254" t="inlineStr">
        <is>
          <t>AUDIT_LOG         — Journal fantôme pré-formaté pour VBA JournaliserAction()</t>
        </is>
      </c>
    </row>
    <row r="50" ht="20" customHeight="1" s="96">
      <c r="A50" s="253" t="inlineStr">
        <is>
          <t>★</t>
        </is>
      </c>
      <c r="B50" s="255" t="inlineStr">
        <is>
          <t>VBA_MODULES       — Code complet production-ready à coller dans ALT+F11 (4 modules + UserForm)</t>
        </is>
      </c>
    </row>
    <row r="51" ht="20" customHeight="1" s="96">
      <c r="A51" s="256" t="inlineStr"/>
      <c r="B51" s="257" t="inlineStr"/>
    </row>
    <row r="52" ht="26" customHeight="1" s="96">
      <c r="A52" s="251" t="inlineStr">
        <is>
          <t>SECTION</t>
        </is>
      </c>
      <c r="B52" s="252" t="inlineStr">
        <is>
          <t>WORKFLOW COMPLET v8</t>
        </is>
      </c>
    </row>
    <row r="53" ht="20" customHeight="1" s="96">
      <c r="A53" s="256" t="inlineStr">
        <is>
          <t>1.</t>
        </is>
      </c>
      <c r="B53" s="257" t="inlineStr">
        <is>
          <t>Ouvrir le fichier → Workbook_Open vérifie les ruptures automatiquement</t>
        </is>
      </c>
    </row>
    <row r="54" ht="20" customHeight="1" s="96">
      <c r="A54" s="256" t="inlineStr">
        <is>
          <t>2.</t>
        </is>
      </c>
      <c r="B54" s="258" t="inlineStr">
        <is>
          <t>ALT+F8 → AjouterMouvement → frmDataEntry s'ouvre (ComboBox filtrés par classe ABC)</t>
        </is>
      </c>
    </row>
    <row r="55" ht="20" customHeight="1" s="96">
      <c r="A55" s="256" t="inlineStr">
        <is>
          <t>3.</t>
        </is>
      </c>
      <c r="B55" s="257" t="inlineStr">
        <is>
          <t>Sélectionner article, type IN/OUT, quantité, N° doc → ✔ Enregistrer</t>
        </is>
      </c>
    </row>
    <row r="56" ht="20" customHeight="1" s="96">
      <c r="A56" s="256" t="inlineStr">
        <is>
          <t>4.</t>
        </is>
      </c>
      <c r="B56" s="258" t="inlineStr">
        <is>
          <t>La macro valide le stock (bloque si OUT &gt; stock actuel), écrit dans MOUVEMENTS, recalcule</t>
        </is>
      </c>
    </row>
    <row r="57" ht="20" customHeight="1" s="96">
      <c r="A57" s="256" t="inlineStr">
        <is>
          <t>5.</t>
        </is>
      </c>
      <c r="B57" s="257" t="inlineStr">
        <is>
          <t>ALERTE_DASHBOARD et TABLEAU DE BORD se mettent à jour automatiquement</t>
        </is>
      </c>
    </row>
    <row r="58" ht="20" customHeight="1" s="96">
      <c r="A58" s="256" t="inlineStr">
        <is>
          <t>6.</t>
        </is>
      </c>
      <c r="B58" s="258" t="inlineStr">
        <is>
          <t>ALT+F8 → GenererBonReception → PDF exporté avec nom horodaté</t>
        </is>
      </c>
    </row>
    <row r="59" ht="20" customHeight="1" s="96">
      <c r="A59" s="256" t="inlineStr">
        <is>
          <t>7.</t>
        </is>
      </c>
      <c r="B59" s="257" t="inlineStr">
        <is>
          <t>AUDIT_LOG reçoit silencieusement chaque action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2" customWidth="1" style="96" min="1" max="1"/>
    <col width="105" customWidth="1" style="96" min="2" max="2"/>
  </cols>
  <sheetData>
    <row r="1" ht="28" customHeight="1" s="96">
      <c r="A1" s="322" t="inlineStr">
        <is>
          <t>VBA_MODULES  —  Code source complet v8.1  |  Gemini-refined  |  ALT+F11 → Module → Coller</t>
        </is>
      </c>
    </row>
    <row r="2" ht="28" customHeight="1" s="96">
      <c r="A2" s="323" t="inlineStr">
        <is>
          <t>══ MODULE 1 — MAIN_MACROS  ══  Insert → Module, Name it 'MAIN_MACROS'</t>
        </is>
      </c>
      <c r="B2" s="283" t="n"/>
    </row>
    <row r="3" ht="28" customHeight="1" s="96">
      <c r="A3" s="261" t="inlineStr">
        <is>
          <t>Sub AjouterMouvement()</t>
        </is>
      </c>
      <c r="B3" s="324" t="inlineStr">
        <is>
          <t>' Launch the data entry UserForm
frmDataEntry.Show
End Sub</t>
        </is>
      </c>
    </row>
    <row r="4" ht="280" customHeight="1" s="96">
      <c r="A4" s="261" t="inlineStr">
        <is>
          <t>Sub VerifierAlertes()</t>
        </is>
      </c>
      <c r="B4" s="324" t="inlineStr">
        <is>
          <t>Dim ws As Worksheet, msg As String, rupt As String, cmd As String
Set ws = ThisWorkbook.Sheets("TABLEAU DE BORD")
Dim i As Integer
For i = 4 To 15
    Dim code As String, st As String, desig As String
    code = ws.Cells(i,1).Value : st = ws.Cells(i,11).Value : desig = ws.Cells(i,2).Value
    If code &lt;&gt; "" Then
        If st = "!! RUPTURE"   Then rupt = rupt &amp; "  !! " &amp; code &amp; " — " &amp; desig &amp; Chr(13)
        If st = "&gt;&gt; COMMANDER" Then cmd  = cmd  &amp; "  &gt;&gt; " &amp; code &amp; " — " &amp; desig &amp; Chr(13)
    End If
Next i
If rupt = "" And cmd = "" Then
    MsgBox "OK — All items at satisfactory level.", vbInformation, "ERP v8.1"
Else
    If rupt &lt;&gt; "" Then msg = msg &amp; "=== RUPTURES ===" &amp; Chr(13) &amp; rupt &amp; Chr(13)
    If cmd  &lt;&gt; "" Then msg = msg &amp; "=== TO ORDER ===" &amp; Chr(13) &amp; cmd
    MsgBox msg, vbExclamation, "STOCK ALERTS — ERP v8.1"
End If
On Error Resume Next
ThisWorkbook.Sheets("ALERTE_DASHBOARD").Range("C3").Value = "Last check: " &amp; Format(Now(),"DD/MM/YYYY HH:MM")
End Sub</t>
        </is>
      </c>
    </row>
    <row r="5" ht="70" customHeight="1" s="96">
      <c r="A5" s="261" t="inlineStr">
        <is>
          <t>Sub RafraichirTableauBord()</t>
        </is>
      </c>
      <c r="B5" s="324" t="inlineStr">
        <is>
          <t>Application.ScreenUpdating = False
Application.Calculate
Application.ScreenUpdating = True
ThisWorkbook.Sheets("TABLEAU DE BORD").Activate
MsgBox "Recalculation complete — " &amp; Format(Now(),"DD/MM/YYYY HH:MM"), vbInformation, "ERP v8.1"
End Sub</t>
        </is>
      </c>
    </row>
    <row r="6" ht="294" customHeight="1" s="96">
      <c r="A6" s="261" t="inlineStr">
        <is>
          <t>Sub GenererBonReception()</t>
        </is>
      </c>
      <c r="B6" s="324" t="inlineStr">
        <is>
          <t>Dim wsMouv As Worksheet, wsBon As Worksheet
Set wsMouv = ThisWorkbook.Sheets("MOUVEMENTS")
Set wsBon  = ThisWorkbook.Sheets("BON_RECEPTION")
Dim r As Long, code As String, ref As String, qty As Long
For r = wsMouv.Cells(wsMouv.Rows.Count,"A").End(xlUp).Row To 3 Step -1
    If wsMouv.Cells(r,4).Value = "IN" Then
        code = wsMouv.Cells(r,2).Value
        qty  = wsMouv.Cells(r,5).Value
        ref  = wsMouv.Cells(r,8).Value
        Exit For
    End If
Next r
If code = "" Then MsgBox "No IN movement found.", vbInformation : Exit Sub
wsBon.Range("E6").Value = ref
wsBon.Range("B12").Value = code
wsBon.Range("F12").Value = qty
Dim pdfPath As String
pdfPath = ThisWorkbook.Path &amp; "\BR_" &amp; ref &amp; "_" &amp; Format(Date,"YYYYMMDD") &amp; ".pdf"
wsBon.ExportAsFixedFormat Type:=xlTypePDF, Filename:=pdfPath, Quality:=xlQualityStandard, OpenAfterPublish:=True
Call JournaliserAction("PDF_BR", ref &amp; " → " &amp; pdfPath)
MsgBox "PDF exported:" &amp; Chr(13) &amp; pdfPath, vbInformation, "ERP v8.1"
End Sub</t>
        </is>
      </c>
    </row>
    <row r="7" ht="308" customHeight="1" s="96">
      <c r="A7" s="261" t="inlineStr">
        <is>
          <t>Sub GenererBonSortie()</t>
        </is>
      </c>
      <c r="B7" s="324" t="inlineStr">
        <is>
          <t>' NEW v8.1 — generates a BON_SORTIE PDF for the last OUT movement
Dim wsMouv As Worksheet, wsBon As Worksheet
Set wsMouv = ThisWorkbook.Sheets("MOUVEMENTS")
Set wsBon  = ThisWorkbook.Sheets("BON_SORTIE")
Dim r As Long, code As String, ref As String, qty As Long
For r = wsMouv.Cells(wsMouv.Rows.Count,"A").End(xlUp).Row To 3 Step -1
    If wsMouv.Cells(r,4).Value = "OUT" Then
        code = wsMouv.Cells(r,2).Value
        qty  = wsMouv.Cells(r,5).Value
        ref  = wsMouv.Cells(r,8).Value
        Exit For
    End If
Next r
If code = "" Then MsgBox "No OUT movement found.", vbInformation : Exit Sub
wsBon.Range("E6").Value = ref
wsBon.Range("B12").Value = code
wsBon.Range("F12").Value = qty
Dim pdfPath As String
pdfPath = ThisWorkbook.Path &amp; "\BS_" &amp; ref &amp; "_" &amp; Format(Date,"YYYYMMDD") &amp; ".pdf"
wsBon.ExportAsFixedFormat Type:=xlTypePDF, Filename:=pdfPath, Quality:=xlQualityStandard, OpenAfterPublish:=True
Call JournaliserAction("PDF_BS", ref &amp; " → " &amp; pdfPath)
MsgBox "Bon de Sortie PDF exported:" &amp; Chr(13) &amp; pdfPath, vbInformation, "ERP v8.1"
End Sub</t>
        </is>
      </c>
    </row>
    <row r="8" ht="154" customHeight="1" s="96">
      <c r="A8" s="261" t="inlineStr">
        <is>
          <t>Sub JournaliserAction(ActionType As String, Details As String)</t>
        </is>
      </c>
      <c r="B8" s="324" t="inlineStr">
        <is>
          <t>On Error GoTo ErrHandler
Dim wsA As Worksheet, lr As Long
Set wsA = ThisWorkbook.Sheets("AUDIT_LOG")
lr = wsA.Cells(wsA.Rows.Count,"A").End(xlUp).Row + 1
wsA.Cells(lr,1).Value = Now() : wsA.Cells(lr,1).NumberFormat = "DD/MM/YYYY HH:MM:SS"
wsA.Cells(lr,2).Value = Environ("USERNAME")
wsA.Cells(lr,3).Value = ActionType
wsA.Cells(lr,4).Value = Details
wsA.Cells(lr,5).Value = Application.UserName
Exit Sub
ErrHandler:  ' Silent fail
End Sub</t>
        </is>
      </c>
    </row>
    <row r="9" ht="420" customHeight="1" s="96">
      <c r="A9" s="261" t="inlineStr">
        <is>
          <t>Sub ProcesserTransaction(TypeMvt As String, CodeArt As String, Qty As Long, RefDoc As String, Notes As String)</t>
        </is>
      </c>
      <c r="B9" s="324" t="inlineStr">
        <is>
          <t>Dim ws As Worksheet
Set ws = ThisWorkbook.Sheets("MOUVEMENTS")
Dim lr As Long : lr = ws.Cells(ws.Rows.Count,"A").End(xlUp).Row + 1
' --- VALIDATION: block negative stock on OUT ---
If TypeMvt = "OUT" Then
    Dim sIN As Long, sOUT As Long
    sIN  = Application.WorksheetFunction.SumIfs(ws.Range("E3:E500"),ws.Range("B3:B500"),CodeArt,ws.Range("D3:D500"),"IN")
    sOUT = Application.WorksheetFunction.SumIfs(ws.Range("E3:E500"),ws.Range("B3:B500"),CodeArt,ws.Range("D3:D500"),"OUT")
    If Qty &gt; (sIN - sOUT) Then
        MsgBox "Stock insuffisant!" &amp; Chr(13) &amp; "Actuel: " &amp; (sIN-sOUT) &amp; " | Requested: " &amp; Qty, vbCritical, "Sortie refusee"
        Exit Sub
    End If
End If
' --- WRITE static values ---
ws.Cells(lr,1).Value = Date : ws.Cells(lr,2).Value = CodeArt
ws.Cells(lr,4).Value = TypeMvt : ws.Cells(lr,5).Value = Qty
ws.Cells(lr,8).Value = RefDoc  : ws.Cells(lr,13).Value = Notes
' --- COPY expanding SUMPRODUCT formulas from previous row ---
Dim pr As Long : pr = lr - 1
If pr &gt;= 3 Then
    Dim fJ As String, fK As String, fL As String
    fJ = Replace(Replace(ws.Cells(pr,10).Formula, "$B"&amp;pr, "$B"&amp;lr), "$D"&amp;pr, "$D"&amp;lr)
    fJ = Replace(fJ, "$E"&amp;pr, "$E"&amp;lr)
    fK = Replace(Replace(ws.Cells(pr,11).Formula, "$B"&amp;pr, "$B"&amp;lr), "$D"&amp;pr, "$D"&amp;lr)
    fK = Replace(Replace(fK, "$E"&amp;pr, "$E"&amp;lr), "$F"&amp;pr, "$F"&amp;lr)
    fL = Replace(Replace(ws.Cells(pr,12).Formula, "$B"&amp;pr, "$B"&amp;lr), "$D"&amp;pr, "$D"&amp;lr)
    fL = Replace(fL, "$E"&amp;pr, "$E"&amp;lr)
    ws.Cells(lr,3).Formula  = ws.Cells(pr,3).Formula
    ws.Cells(lr,6).Formula  = ws.Cells(pr,6).Formula
    ws.Cells(lr,7).Formula  = "=E" &amp; lr &amp; "*F" &amp; lr
    ws.Cells(lr,9).Formula  = ws.Cells(pr,9).Formula
    ws.Cells(lr,10).Formula = fJ
    ws.Cells(lr,11).Formula = fK
    ws.Cells(lr,12).Formula = fL
End If
Call JournaliserAction("MOUVEMENT_" &amp; TypeMvt, CodeArt &amp; " | Qty:" &amp; Qty &amp; " | Ref:" &amp; RefDoc)
Application.Calculate
MsgBox "Recorded: " &amp; TypeMvt &amp; " | " &amp; CodeArt &amp; " | Qty: " &amp; Qty, vbInformation, "ERP v8.1"
End Sub</t>
        </is>
      </c>
    </row>
    <row r="10" ht="28" customHeight="1" s="96">
      <c r="A10" s="323" t="inlineStr">
        <is>
          <t>══ MODULE 2 — THISWORKBOOK EVENTS  ══  Double-click ThisWorkbook in VBAProject</t>
        </is>
      </c>
      <c r="B10" s="283" t="n"/>
    </row>
    <row r="11" ht="140" customHeight="1" s="96">
      <c r="A11" s="261" t="inlineStr">
        <is>
          <t>Private Sub Workbook_Open()</t>
        </is>
      </c>
      <c r="B11" s="324" t="inlineStr">
        <is>
          <t>On Error Resume Next
Application.Calculate
ThisWorkbook.Sheets("ALERTE_DASHBOARD").Range("C3").Value = "Opened: " &amp; Format(Now(),"DD/MM/YYYY HH:MM")
Dim ws As Worksheet : Set ws = ThisWorkbook.Sheets("TABLEAU DE BORD")
Dim nRupt As Integer
nRupt = Application.WorksheetFunction.CountIf(ws.Range("K4:K15"),"!! RUPTURE")
If nRupt &gt; 0 Then
    MsgBox nRupt &amp; " RUPTURE(s) detected at startup!" &amp; Chr(13) &amp; "Check ALERTE_DASHBOARD.", vbExclamation, "ERP v8.1"
End If
On Error GoTo 0
End Sub</t>
        </is>
      </c>
    </row>
    <row r="12" ht="28" customHeight="1" s="96">
      <c r="A12" s="323" t="inlineStr">
        <is>
          <t>══ MODULE 3 — MOUVEMENTS SHEET EVENT  ══  Double-click Feuille MOUVEMENTS</t>
        </is>
      </c>
      <c r="B12" s="283" t="n"/>
    </row>
    <row r="13" ht="70" customHeight="1" s="96">
      <c r="A13" s="261" t="inlineStr">
        <is>
          <t>Private Sub Worksheet_Change(ByVal Target As Range)</t>
        </is>
      </c>
      <c r="B13" s="324" t="inlineStr">
        <is>
          <t>If Not Intersect(Target, Me.Range("A3:H500")) Is Nothing Then
    If Target.Rows.Count = 1 And Target.Columns.Count = 1 Then
        Call JournaliserAction("CELL_EDIT","MOUVEMENTS " &amp; Target.Address &amp; " -&gt; " &amp; CStr(Target.Value))
    End If
End If
End Sub</t>
        </is>
      </c>
    </row>
    <row r="14" ht="28" customHeight="1" s="96">
      <c r="A14" s="323" t="inlineStr">
        <is>
          <t>══ MODULE 4 — frmDataEntry UserForm  ══  FULL GEMINI-REFINED RTL VERSION</t>
        </is>
      </c>
      <c r="B14" s="283" t="n"/>
    </row>
    <row r="15" ht="406" customHeight="1" s="96">
      <c r="A15" s="261" t="inlineStr">
        <is>
          <t>frmDataEntry — CONTROLS REQUIRED (Properties window F4)</t>
        </is>
      </c>
      <c r="B15" s="324" t="inlineStr">
        <is>
          <t xml:space="preserve">UserForm properties:
  Name        = frmDataEntry
  Caption     = ERP v8.1 — Saisie Mouvement | إضافة حركة مخزون
  BackColor   = &amp;H00FFFFFF&amp;   (white — not default grey)
  Width       = 340
  Height      = 380
Controls to add (all TextAlign = 3-fmTextAlignRight, all fonts = Traditional Arabic 11):
  [Frame1]        Caption="نوع الحركة"    Top=10  Left=10  Width=315  Height=55
    cmbTypeTransaction (ComboBox) Width=290 Height=22 Top=20 Left=12
  [Frame2]        Caption="تفاصيل المادة"  Top=70  Left=10  Width=315  Height=120
    Label: "الفئة"       Top=15  Left=200
    cmbCategorie (ComboBox)       Top=12  Left=10  Width=185
    Label: "الصنف / Article"  Top=50  Left=200
    cmbArticle  (ComboBox)        Top=47  Left=10  Width=185
    lblStockActuel (Label)        Top=80  Left=10  Width=290  Height=24
       — shows real-time stock in green/orange/red
  [Frame3]        Caption="بيانات الحركة"  Top=196 Left=10  Width=315  Height=110
    Label: "الكمية"    Top=15  Left=240
    txtQuantite (TextBox)         Top=12  Left=10  Width=220
    Label: "رقم الوصل ★" Top=45  Left=240
    txtNumeroBon (TextBox)        Top=42  Left=10  Width=220
    Label: "ملاحظات"   Top=75  Left=240
    txtNotes    (TextBox)         Top=72  Left=10  Width=220
  btnSubmit   (CommandButton)  Caption="✔ تسجيل"  Top=314  Left=10   Width=150  BackColor=green
  btnFermer   (CommandButton)  Caption="✗ إغلاق"  Top=314  Left=175  Width=150  BackColor=grey
</t>
        </is>
      </c>
    </row>
    <row r="16" ht="420" customHeight="1" s="96">
      <c r="A16" s="261" t="inlineStr">
        <is>
          <t>frmDataEntry — UserForm_Initialize  (double-click form background)</t>
        </is>
      </c>
      <c r="B16" s="324" t="inlineStr">
        <is>
          <t>Private Sub UserForm_Initialize()
    ' ── Type dropdown ──
    cmbTypeTransaction.Clear
    cmbTypeTransaction.AddItem "IN  — دخول (استلام)"
    cmbTypeTransaction.AddItem "OUT — خروج (إصدار)"
    cmbTypeTransaction.ListIndex = 0
    cmbTypeTransaction.TextAlign = 3   ' fmTextAlignRight
    ' ── Category dropdown — built from ARTICLES col 11 (Catégorie) ──
    ' NEW v8.1: uses Catégorie column instead of ABC class
    cmbCategorie.Clear
    Dim wsA As Worksheet : Set wsA = ThisWorkbook.Sheets("ARTICLES")
    Dim cats As New Collection
    On Error Resume Next
    Dim i As Integer
    For i = 3 To 20
        If wsA.Cells(i,1).Value = "" Then Exit For
        Dim cat As String : cat = wsA.Cells(i,11).Value  ' Catégorie col 11
        If cat &lt;&gt; "" Then cats.Add cat, cat              ' Collection deduplicates by key
    Next i
    On Error GoTo 0
    cmbCategorie.AddItem "All — جميع الأصناف"
    Dim c As Variant
    For Each c In cats
        cmbCategorie.AddItem c
    Next c
    cmbCategorie.ListIndex = 0
    cmbCategorie.TextAlign = 3
    ' ── Load all articles initially ──
    Call LoadArticlesByCategory("")
    Me.Caption = "ERP v8.1 — " &amp; Format(Date,"DD/MM/YYYY")
End Sub</t>
        </is>
      </c>
    </row>
    <row r="17" ht="364" customHeight="1" s="96">
      <c r="A17" s="261" t="inlineStr">
        <is>
          <t>frmDataEntry — cmbCategorie_Change  (cascading dropdown logic)</t>
        </is>
      </c>
      <c r="B17" s="324" t="inlineStr">
        <is>
          <t>Private Sub cmbCategorie_Change()
    ' CASCADING DROPDOWN — Gemini architecture implemented
    Dim selected As String : selected = cmbCategorie.Value
    If selected = "All — جميع الأصناف" Or selected = "" Then
        Call LoadArticlesByCategory("")
    Else
        Call LoadArticlesByCategory(selected)
    End If
End Sub
Private Sub LoadArticlesByCategory(filterCat As String)
    cmbArticle.Clear
    Dim wsA As Worksheet : Set wsA = ThisWorkbook.Sheets("ARTICLES")
    Dim i As Integer
    For i = 3 To 20
        Dim code As String : code = wsA.Cells(i,1).Value
        If code = "" Then Exit For
        Dim cat As String : cat = wsA.Cells(i,11).Value   ' col 11 = Catégorie
        If filterCat = "" Or cat = filterCat Then
            ' Display: "ART-001 | رزمة ورق A4 80غ"
            cmbArticle.AddItem code &amp; "  |  " &amp; wsA.Cells(i,3).Value  ' col 3 = Arabic name
        End If
    Next i
    If cmbArticle.ListCount &gt; 0 Then cmbArticle.ListIndex = 0
    cmbArticle.TextAlign = 3
    Call UpdateStockLabel
End Sub</t>
        </is>
      </c>
    </row>
    <row r="18" ht="420" customHeight="1" s="96">
      <c r="A18" s="261" t="inlineStr">
        <is>
          <t>frmDataEntry — cmbArticle_Change  (real-time stock indicator)</t>
        </is>
      </c>
      <c r="B18" s="324" t="inlineStr">
        <is>
          <t>Private Sub cmbArticle_Change()
    Call UpdateStockLabel
End Sub
Private Sub cmbTypeTransaction_Change()
    Call UpdateStockLabel
End Sub
Private Sub UpdateStockLabel()
    ' REAL-TIME STOCK FEEDBACK — Gemini recommendation implemented
    If cmbArticle.ListCount = 0 Or Len(Trim(cmbArticle.Value)) &lt; 7 Then
        lblStockActuel.Caption = "Stock actuel : —"
        lblStockActuel.ForeColor = RGB(100,100,100)
        Exit Sub
    End If
    ' Extract the 7-character code from "ART-001  |  ..."
    Dim code As String : code = Trim(Left(cmbArticle.Value, 7))
    ' Lookup current stock from MOUVEMENTS using SUMIFS logic
    Dim wsMouv As Worksheet : Set wsMouv = ThisWorkbook.Sheets("MOUVEMENTS")
    Dim sIN As Long, sOUT As Long
    On Error Resume Next
    sIN  = Application.WorksheetFunction.SumIfs( _
               wsMouv.Range("E3:E500"), wsMouv.Range("B3:B500"), code, wsMouv.Range("D3:D500"), "IN")
    sOUT = Application.WorksheetFunction.SumIfs( _
               wsMouv.Range("E3:E500"), wsMouv.Range("B3:B500"), code, wsMouv.Range("D3:D500"), "OUT")
    On Error GoTo 0
    Dim net As Long : net = sIN - sOUT
    ' Also lookup ROP from TABLEAU DE BORD for context
    Dim rop As Long : rop = 0
    Dim wsTDB As Worksheet : Set wsTDB = ThisWorkbook.Sheets("TABLEAU DE BORD")
    Dim j As Integer
    For j = 4 To 15
        If Trim(wsTDB.Cells(j,1).Value) = code Then
            rop = wsTDB.Cells(j,10).Value : Exit For
        End If
    Next j
    ' Display with color coding
    Dim typeStr As String : typeStr = Left(cmbTypeTransaction.Value, 2)
    If net &lt;= 0 Then
        lblStockActuel.Caption = "Stock: " &amp; net &amp; " — !! RUPTURE"
        lblStockActuel.ForeColor = RGB(180,0,0)
    ElseIf net &lt;= rop Then
        lblStockActuel.Caption = "Stock: " &amp; net &amp; " — &gt;&gt; A COMMANDER (ROP=" &amp; rop &amp; ")"
        lblStockActuel.ForeColor = RGB(186,117,23)
    Else
        lblStockActuel.Caption = "Stock actuel : " &amp; net &amp; " unites  (ROP=" &amp; rop &amp; ")"
        lblStockActuel.ForeColor = RGB(31,107,46)
    End If
End Sub</t>
        </is>
      </c>
    </row>
    <row r="19" ht="420" customHeight="1" s="96">
      <c r="A19" s="261" t="inlineStr">
        <is>
          <t>frmDataEntry — btnSubmit_Click  (full validation — Gemini pattern)</t>
        </is>
      </c>
      <c r="B19" s="324" t="inlineStr">
        <is>
          <t>Private Sub btnSubmit_Click()
    ' ── 1. Article validation ──
    If cmbArticle.ListCount = 0 Or cmbArticle.Value = "" Then
        MsgBox "Please select an article.", vbExclamation, "Input Error"
        cmbArticle.SetFocus : Exit Sub
    End If
    ' ── 2. Quantity validation ──
    If Not IsNumeric(txtQuantite.Value) Or CLng(txtQuantite.Value) &lt;= 0 Then
        MsgBox "Invalid quantity (integer &gt; 0 required).", vbExclamation, "Input Error"
        txtQuantite.SetFocus : Exit Sub
    End If
    ' ── 3. MANDATORY BON NUMBER — Gemini traceability lock ──
    ' This single check eliminates the zero-traceability problem found in the audit
    If Trim(txtNumeroBon.Value) = "" Then
        MsgBox "N° de document obligatoire (BR-xxx ou BS-xxx)." &amp; Chr(13) &amp; _
               "الرجاء إدخال رقم الوصل قبل المتابعة.", vbCritical, "Bon Number Required"
        txtNumeroBon.SetFocus : Exit Sub
    End If
    ' ── 4. Extract code and process ──
    Dim code As String : code = Trim(Left(cmbArticle.Value, 7))
    Dim typeStr As String
    typeStr = IIf(InStr(cmbTypeTransaction.Value,"IN") &gt; 0, "IN", "OUT")
    ' ── 5. Call the processor (includes negative-stock guard internally) ──
    Call ProcesserTransaction(typeStr, code, CLng(txtQuantite.Value), _
                              Trim(txtNumeroBon.Value), Trim(txtNotes.Value))
    ' ── 6. Reset for next entry (keep type and category selected) ──
    txtQuantite.Value = ""
    txtNumeroBon.Value = ""
    txtNotes.Value = ""
    Call UpdateStockLabel   ' refresh the stock indicator immediately
End Sub
Private Sub btnFermer_Click()
    Unload Me
End Sub</t>
        </is>
      </c>
    </row>
    <row r="20" ht="28" customHeight="1" s="96">
      <c r="A20" s="323" t="inlineStr">
        <is>
          <t>══ INSTALLATION — 5 STEPS  ══</t>
        </is>
      </c>
      <c r="B20" s="283" t="n"/>
    </row>
    <row r="21" ht="28" customHeight="1" s="96">
      <c r="A21" s="261" t="inlineStr">
        <is>
          <t>STEP 1 — Save as .xlsm</t>
        </is>
      </c>
      <c r="B21" s="324" t="inlineStr">
        <is>
          <t>File → Save As → Excel Macro-Enabled Workbook (*.xlsm)
NAME IT: ERP_Academie_v8_1.xlsm
MANDATORY — macros will NOT run in .xlsx format.</t>
        </is>
      </c>
    </row>
    <row r="22" ht="56" customHeight="1" s="96">
      <c r="A22" s="261" t="inlineStr">
        <is>
          <t>STEP 2 — Paste Module 1 (MAIN_MACROS)</t>
        </is>
      </c>
      <c r="B22" s="324" t="inlineStr">
        <is>
          <t>1. Open the file → press ALT+F11
2. In the VBAProject tree → right-click → Insert → Module
3. Rename it MAIN_MACROS (double-click the module name)
4. Copy all code from this sheet (MODULE 1 section above)
5. Paste into the module editor</t>
        </is>
      </c>
    </row>
    <row r="23" ht="84" customHeight="1" s="96">
      <c r="A23" s="261" t="inlineStr">
        <is>
          <t>STEP 3 — Paste Workbook &amp; Sheet Events</t>
        </is>
      </c>
      <c r="B23" s="324" t="inlineStr">
        <is>
          <t>THISWORKBOOK:
  In VBAProject → double-click "ThisWorkbook"
  Paste MODULE 2 code (Workbook_Open)
MOUVEMENTS SHEET:
  In VBAProject → double-click the MOUVEMENTS sheet object
  Paste MODULE 3 code (Worksheet_Change)</t>
        </is>
      </c>
    </row>
    <row r="24" ht="70" customHeight="1" s="96">
      <c r="A24" s="261" t="inlineStr">
        <is>
          <t>STEP 4 — Create frmDataEntry UserForm</t>
        </is>
      </c>
      <c r="B24" s="324" t="inlineStr">
        <is>
          <t>1. ALT+F11 → Insert → UserForm
2. In Properties (F4): Name = frmDataEntry
3. Build controls per the layout diagram above (MODULE 4 section)
4. Set UserForm BackColor to white (&amp;H00FFFFFF&amp;)
5. For every ComboBox and TextBox: TextAlign = 3 (fmTextAlignRight) for Arabic RTL
6. Double-click each control → paste the corresponding code block from MODULE 4</t>
        </is>
      </c>
    </row>
    <row r="25" ht="84" customHeight="1" s="96">
      <c r="A25" s="261" t="inlineStr">
        <is>
          <t>STEP 5 — Test workflow</t>
        </is>
      </c>
      <c r="B25" s="324" t="inlineStr">
        <is>
          <t>TEST 1 — Try to submit with empty Bon number → system should BLOCK
TEST 2 — Try OUT quantity &gt; current stock → system should BLOCK  
TEST 3 — Select a category → Article dropdown should filter automatically
TEST 4 — Select ART-002 (Toner G030, stock=0) → label should show RED RUPTURE
TEST 5 — ALT+F8 → GenererBonReception → PDF should open from same folder
TEST 6 — ALT+F8 → GenererBonSortie → PDF should open from same folder  (NEW v8.1)
TEST 7 — Check AUDIT_LOG after any operation → entries should appear automatically</t>
        </is>
      </c>
    </row>
    <row r="26" ht="322" customHeight="1" s="96">
      <c r="A26" s="261" t="inlineStr">
        <is>
          <t>KEY CHANGES v8 → v8.1 (SUMMARY)</t>
        </is>
      </c>
      <c r="B26" s="324" t="inlineStr">
        <is>
          <t>+  ARTICLES: 3 new columns added
   - Col 11: Catégorie principale  (8 categories for cascading dropdown)
   - Col 12: Sous-catégorie        (sub-categories for future UI hierarchy)
   - Col 13: Alias / Noms alternatifs  (fixes naming discrepancy problem)
+  BON_SORTIE sheet: A4 print template for goods EXIT (وصل خروج)
   - Matches 2023 archive document structure
   - VLOOKUP auto-fill on code entry
   - 3-zone signature block (beneficiary, storekeeper, supervisor+stamp)
+  VBA frmDataEntry: RTL-ready Arabic UserForm
   - Cascading dropdown: Catégorie → filters Article list
   - Real-time stock indicator (green/orange/red with ROP context)
   - Mandatory Bon number validation (fixes zero-traceability diagnostic finding)
   - Negative stock guard on OUT movements
   - GenererBonSortie() added for BS PDF export
FINE-TUNING ROADMAP (gradual):
  Phase 1 (now): Install the 5 steps above, test all 7 test cases
  Phase 2:       Add Catégorie to UserForm label for display (cosmetic)
  Phase 3:       Extend ARTICLES to 15 articles using real field data  
  Phase 4:       Map BON_SORTIE fields to actual 2023 archive photos
  Phase 5:       Add BON_COMMANDE template (the full procurement cycle)
  Phase 6:       HTML Arabic front-end interface (standalone .html file)</t>
        </is>
      </c>
    </row>
    <row r="28" ht="28" customHeight="1" s="96">
      <c r="A28" s="388" t="inlineStr">
        <is>
          <t>══ ADDED v9 — GenererDA + GenererBC + DA workflow ══</t>
        </is>
      </c>
    </row>
    <row r="29" ht="500" customHeight="1" s="96">
      <c r="A29" s="389" t="inlineStr">
        <is>
          <t>Sub GenererDA() + Sub GenererBC() + DA cycle documentation</t>
        </is>
      </c>
      <c r="B29" s="390" t="inlineStr">
        <is>
          <t>Sub GenererDA()
    ' Export blank DA form as PDF — user prints and gives to requesting department
    Dim wsDA As Worksheet
    Set wsDA = ThisWorkbook.Sheets("DA_DEMANDE_ACHAT")
    Dim pdfPath As String
    pdfPath = ThisWorkbook.Path &amp; "\DA_" &amp; Format(Date,"YYYYMMDD") &amp; "_" &amp; Format(Time,"HHMMSS") &amp; ".pdf"
    wsDA.ExportAsFixedFormat Type:=xlTypePDF, Filename:=pdfPath, Quality:=xlQualityStandard, OpenAfterPublish:=True
    Call JournaliserAction("PDF_DA", "Blank DA form → " &amp; pdfPath)
    MsgBox "DA form exported. Print it and give to the requesting department." &amp; Chr(13) &amp; pdfPath, vbInformation, "ERP v9"
End Sub
Sub GenererBC()
    ' Export blank BC form as PDF
    Dim wsBC As Worksheet
    Set wsBC = ThisWorkbook.Sheets("BON_COMMANDE")
    Dim pdfPath As String
    pdfPath = ThisWorkbook.Path &amp; "\BC_" &amp; Format(Date,"YYYYMMDD") &amp; "_" &amp; Format(Time,"HHMMSS") &amp; ".pdf"
    wsBC.ExportAsFixedFormat Type:=xlTypePDF, Filename:=pdfPath, Quality:=xlQualityStandard, OpenAfterPublish:=True
    Call JournaliserAction("PDF_BC", "BC form → " &amp; pdfPath)
    MsgBox "Bon de Commande exported." &amp; Chr(13) &amp; pdfPath, vbInformation, "ERP v9"
End Sub
' ── DA WORKFLOW CYCLE (documentary chain) ──
' Standard Algerian public procurement cycle (Dورة المستندية):
'
'  [Department need]
'       ↓
'   DA (Demande d'Achat)   ← department fills paper form, submits to warehouse
'       ↓
'   Warehouse checks stock (column H in DA form = current stock)
'       ↓
'   IF stock &gt;= needed:    → emit BS directly (no purchase needed)
'   IF stock &lt; needed:     → emit BC to supplier
'       ↓ (BC path)
'   Supplier delivers goods
'       ↓
'   BR (Bon de Réception)  → record IN movement in MOUVEMENTS
'       ↓
'   Stock updated automatically in TABLEAU DE BORD
'       ↓
'   emit BS to requesting department
'
' All document numbers follow CONVENTIONS sheet rules.
' Author: ماحي كمال عبد الغني — TAG1801</t>
        </is>
      </c>
    </row>
  </sheetData>
  <mergeCells count="7">
    <mergeCell ref="A20:B20"/>
    <mergeCell ref="A2:B2"/>
    <mergeCell ref="A10:B10"/>
    <mergeCell ref="A28:B28"/>
    <mergeCell ref="A14:B14"/>
    <mergeCell ref="A1:B1"/>
    <mergeCell ref="A12:B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style="96" min="1" max="1"/>
    <col width="20" customWidth="1" style="96" min="2" max="2"/>
    <col width="22" customWidth="1" style="96" min="3" max="3"/>
    <col width="58" customWidth="1" style="96" min="4" max="4"/>
    <col width="20" customWidth="1" style="96" min="5" max="5"/>
  </cols>
  <sheetData>
    <row r="1" ht="28" customHeight="1" s="96">
      <c r="A1" s="263" t="inlineStr">
        <is>
          <t>AUDIT_LOG  —  Journal des Actions  [Ghost Logger | Écrit par VBA | Ne pas modifier manuellement]</t>
        </is>
      </c>
    </row>
    <row r="2">
      <c r="A2" s="264" t="inlineStr">
        <is>
          <t>Toute modification de MOUVEMENTS est consignée automatiquement ici par la macro JournaliserAction().</t>
        </is>
      </c>
    </row>
    <row r="3" ht="24" customHeight="1" s="96">
      <c r="A3" s="265" t="inlineStr">
        <is>
          <t>Horodatage</t>
        </is>
      </c>
      <c r="B3" s="265" t="inlineStr">
        <is>
          <t>Utilisateur Windows</t>
        </is>
      </c>
      <c r="C3" s="265" t="inlineStr">
        <is>
          <t>Type Action</t>
        </is>
      </c>
      <c r="D3" s="265" t="inlineStr">
        <is>
          <t>Détails</t>
        </is>
      </c>
      <c r="E3" s="265" t="inlineStr">
        <is>
          <t>Session Excel</t>
        </is>
      </c>
    </row>
    <row r="4" ht="17" customHeight="1" s="96">
      <c r="A4" s="266" t="inlineStr">
        <is>
          <t>31/12/2025 08:00:00</t>
        </is>
      </c>
      <c r="B4" s="267" t="inlineStr">
        <is>
          <t>ADMIN</t>
        </is>
      </c>
      <c r="C4" s="267" t="inlineStr">
        <is>
          <t>MOUVEMENT_IN</t>
        </is>
      </c>
      <c r="D4" s="268" t="inlineStr">
        <is>
          <t>ART-001 | Qté: 405 | Réf: SI-2025</t>
        </is>
      </c>
      <c r="E4" s="267" t="inlineStr">
        <is>
          <t>Excel_v8</t>
        </is>
      </c>
    </row>
    <row r="5" ht="17" customHeight="1" s="96">
      <c r="A5" s="269" t="inlineStr">
        <is>
          <t>01/02/2026 09:15:32</t>
        </is>
      </c>
      <c r="B5" s="270" t="inlineStr">
        <is>
          <t>ADMIN</t>
        </is>
      </c>
      <c r="C5" s="270" t="inlineStr">
        <is>
          <t>MOUVEMENT_IN</t>
        </is>
      </c>
      <c r="D5" s="271" t="inlineStr">
        <is>
          <t>ART-002 | Qté: 5 | Réf: BR-001</t>
        </is>
      </c>
      <c r="E5" s="270" t="inlineStr">
        <is>
          <t>Excel_v8</t>
        </is>
      </c>
    </row>
    <row r="6" ht="17" customHeight="1" s="96">
      <c r="A6" s="266" t="inlineStr">
        <is>
          <t>05/02/2026 10:22:08</t>
        </is>
      </c>
      <c r="B6" s="267" t="inlineStr">
        <is>
          <t>ADMIN</t>
        </is>
      </c>
      <c r="C6" s="267" t="inlineStr">
        <is>
          <t>MOUVEMENT_OUT</t>
        </is>
      </c>
      <c r="D6" s="268" t="inlineStr">
        <is>
          <t>ART-002 | Qté: 2 | Réf: BS-F1-001</t>
        </is>
      </c>
      <c r="E6" s="267" t="inlineStr">
        <is>
          <t>Excel_v8</t>
        </is>
      </c>
    </row>
    <row r="7" ht="17" customHeight="1" s="96">
      <c r="A7" s="269" t="inlineStr">
        <is>
          <t>20/02/2026 11:05:44</t>
        </is>
      </c>
      <c r="B7" s="270" t="inlineStr">
        <is>
          <t>ADMIN</t>
        </is>
      </c>
      <c r="C7" s="270" t="inlineStr">
        <is>
          <t>MOUVEMENT_OUT</t>
        </is>
      </c>
      <c r="D7" s="271" t="inlineStr">
        <is>
          <t>ART-002 | Qté: 3 | Réf: BS-F1-005 | !! Rupture G030</t>
        </is>
      </c>
      <c r="E7" s="270" t="inlineStr">
        <is>
          <t>Excel_v8</t>
        </is>
      </c>
    </row>
    <row r="8" ht="17" customHeight="1" s="96">
      <c r="A8" s="266" t="inlineStr">
        <is>
          <t>09/03/2026 14:30:12</t>
        </is>
      </c>
      <c r="B8" s="267" t="inlineStr">
        <is>
          <t>ADMIN</t>
        </is>
      </c>
      <c r="C8" s="267" t="inlineStr">
        <is>
          <t>MOUVEMENT_OUT</t>
        </is>
      </c>
      <c r="D8" s="268" t="inlineStr">
        <is>
          <t>ART-001 | Qté: 10 | Réf: BS-M1-005 | Dernier mouvement</t>
        </is>
      </c>
      <c r="E8" s="267" t="inlineStr">
        <is>
          <t>Excel_v8</t>
        </is>
      </c>
    </row>
    <row r="9" ht="17" customHeight="1" s="96">
      <c r="A9" s="269" t="inlineStr">
        <is>
          <t>09/03/2026 14:30:15</t>
        </is>
      </c>
      <c r="B9" s="270" t="inlineStr">
        <is>
          <t>ADMIN</t>
        </is>
      </c>
      <c r="C9" s="270" t="inlineStr">
        <is>
          <t>PDF_EXPORT</t>
        </is>
      </c>
      <c r="D9" s="271" t="inlineStr">
        <is>
          <t>Bon de Réception BR-001 → C:\Dropbox\BR_BR-001_20260209.pdf</t>
        </is>
      </c>
      <c r="E9" s="270" t="inlineStr">
        <is>
          <t>Excel_v8</t>
        </is>
      </c>
    </row>
    <row r="10" ht="17" customHeight="1" s="96">
      <c r="A10" s="266" t="inlineStr">
        <is>
          <t>— Entrées suivantes générées par VBA —</t>
        </is>
      </c>
      <c r="B10" s="267" t="inlineStr"/>
      <c r="C10" s="267" t="inlineStr"/>
      <c r="D10" s="268" t="inlineStr"/>
      <c r="E10" s="267" t="inlineStr"/>
    </row>
    <row r="11"/>
    <row r="12" ht="24" customHeight="1" s="96">
      <c r="A12" s="272" t="inlineStr">
        <is>
          <t>📌  VBA écrit automatiquement à partir de la ligne 11. NE PAS supprimer ce journal. Il constitue la traçabilité légale des opérations.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2026-04-01T08:33:29Z</dcterms:created>
  <dcterms:modified xmlns:dcterms="http://purl.org/dc/terms/" xmlns:xsi="http://www.w3.org/2001/XMLSchema-instance" xsi:type="dcterms:W3CDTF">2026-04-02T11:04:44Z</dcterms:modified>
  <cp:revision>0</cp:revision>
</cp:coreProperties>
</file>