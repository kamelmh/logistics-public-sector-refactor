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EIL" sheetId="1" state="visible" r:id="rId1"/>
    <sheet xmlns:r="http://schemas.openxmlformats.org/officeDocument/2006/relationships" name="ARTICLES" sheetId="2" state="visible" r:id="rId2"/>
    <sheet xmlns:r="http://schemas.openxmlformats.org/officeDocument/2006/relationships" name="FOURNISSEURS" sheetId="3" state="visible" r:id="rId3"/>
    <sheet xmlns:r="http://schemas.openxmlformats.org/officeDocument/2006/relationships" name="MOUVEMENTS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INVENTAIRE" sheetId="6" state="visible" r:id="rId6"/>
    <sheet xmlns:r="http://schemas.openxmlformats.org/officeDocument/2006/relationships" name="CALCULS_EOQ" sheetId="7" state="visible" r:id="rId7"/>
    <sheet xmlns:r="http://schemas.openxmlformats.org/officeDocument/2006/relationships" name="HISTORIQUE" sheetId="8" state="visible" r:id="rId8"/>
    <sheet xmlns:r="http://schemas.openxmlformats.org/officeDocument/2006/relationships" name="GUID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DD/MM/YYYY"/>
    <numFmt numFmtId="166" formatCode="#,##0 &quot;DA&quot;"/>
    <numFmt numFmtId="167" formatCode="#,##0.00 &quot;DA&quot;"/>
  </numFmts>
  <fonts count="40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1A6B8A"/>
      <sz val="12"/>
    </font>
    <font>
      <name val="Arial"/>
      <i val="1"/>
      <color rgb="00888888"/>
      <sz val="10"/>
    </font>
    <font>
      <name val="Arial"/>
      <b val="1"/>
      <color rgb="00FFFFFF"/>
      <sz val="10"/>
    </font>
    <font>
      <name val="Arial"/>
      <b val="1"/>
      <color rgb="001A6B8A"/>
      <sz val="10"/>
    </font>
    <font>
      <name val="Arial"/>
      <color rgb="002C3E50"/>
      <sz val="10"/>
    </font>
    <font>
      <name val="Arial"/>
      <b val="1"/>
      <color rgb="00E67E22"/>
      <sz val="9"/>
    </font>
    <font>
      <name val="Arial"/>
      <b val="1"/>
      <color rgb="00FFFFFF"/>
      <sz val="13"/>
    </font>
    <font>
      <name val="Arial"/>
      <b val="1"/>
      <color rgb="001E8449"/>
      <sz val="10"/>
    </font>
    <font>
      <name val="Arial"/>
      <b val="1"/>
      <color rgb="00C0392B"/>
      <sz val="10"/>
    </font>
    <font>
      <name val="Arial"/>
      <b val="1"/>
      <color rgb="00B7950B"/>
      <sz val="10"/>
    </font>
    <font>
      <name val="Arial"/>
      <i val="1"/>
      <color rgb="002C3E50"/>
      <sz val="10"/>
    </font>
    <font>
      <name val="Arial"/>
      <b val="1"/>
      <color rgb="002C3E50"/>
      <sz val="10"/>
    </font>
    <font>
      <name val="Arial"/>
      <b val="1"/>
      <color rgb="00000000"/>
      <sz val="10"/>
    </font>
    <font>
      <name val="Arial"/>
      <color rgb="001E8449"/>
      <sz val="10"/>
    </font>
    <font>
      <name val="Arial"/>
      <color rgb="00C0392B"/>
      <sz val="10"/>
    </font>
    <font>
      <name val="Arial"/>
      <b val="1"/>
      <color rgb="00FFFFFF"/>
      <sz val="11"/>
    </font>
    <font>
      <name val="Arial"/>
      <b val="1"/>
      <color rgb="001A6B8A"/>
      <sz val="12"/>
    </font>
    <font>
      <name val="Arial"/>
      <b val="1"/>
      <color rgb="000000FF"/>
      <sz val="11"/>
    </font>
    <font>
      <name val="Arial"/>
      <i val="1"/>
      <color rgb="00666666"/>
      <sz val="10"/>
    </font>
    <font>
      <name val="Arial"/>
      <b val="1"/>
      <color rgb="00E67E22"/>
      <sz val="10"/>
    </font>
    <font>
      <name val="Arial"/>
      <b val="1"/>
      <color rgb="00FFFFFF"/>
      <sz val="14"/>
    </font>
    <font>
      <i val="1"/>
      <color rgb="000F6E56"/>
      <sz val="10"/>
    </font>
    <font>
      <b val="1"/>
      <color rgb="003C3489"/>
      <sz val="10"/>
    </font>
    <font>
      <b val="1"/>
      <color rgb="00185FA5"/>
      <sz val="12"/>
    </font>
    <font>
      <i val="1"/>
      <color rgb="005F5E5A"/>
      <sz val="9"/>
    </font>
    <font>
      <b val="1"/>
      <color rgb="000C447C"/>
      <sz val="11"/>
    </font>
    <font>
      <b val="1"/>
      <color rgb="00FFFFFF"/>
      <sz val="13"/>
    </font>
    <font>
      <b val="1"/>
      <color rgb="00185FA5"/>
      <sz val="11"/>
    </font>
    <font>
      <b val="1"/>
      <color rgb="00185FA5"/>
      <sz val="13"/>
    </font>
    <font>
      <i val="1"/>
      <color rgb="00888780"/>
      <sz val="10"/>
    </font>
    <font>
      <b val="1"/>
      <color rgb="00185FA5"/>
      <sz val="10"/>
    </font>
    <font>
      <b val="1"/>
      <color rgb="00FFFFFF"/>
      <sz val="10"/>
    </font>
    <font>
      <b val="1"/>
      <color rgb="00FFFFFF"/>
      <sz val="9"/>
    </font>
    <font>
      <b val="1"/>
      <color rgb="000C447C"/>
      <sz val="12"/>
    </font>
    <font>
      <i val="1"/>
      <color rgb="003d3d3a"/>
      <sz val="10"/>
    </font>
    <font>
      <sz val="10"/>
    </font>
    <font>
      <b val="1"/>
      <color rgb="00412402"/>
      <sz val="10"/>
    </font>
    <font>
      <b val="1"/>
      <color rgb="0027500A"/>
      <sz val="10"/>
    </font>
  </fonts>
  <fills count="26">
    <fill>
      <patternFill/>
    </fill>
    <fill>
      <patternFill patternType="gray125"/>
    </fill>
    <fill>
      <patternFill patternType="solid">
        <fgColor rgb="001A6B8A"/>
      </patternFill>
    </fill>
    <fill>
      <patternFill patternType="solid">
        <fgColor rgb="00D9EEF5"/>
      </patternFill>
    </fill>
    <fill>
      <patternFill patternType="solid">
        <fgColor rgb="002C3E50"/>
      </patternFill>
    </fill>
    <fill>
      <patternFill patternType="solid">
        <fgColor rgb="00FFFFFF"/>
      </patternFill>
    </fill>
    <fill>
      <patternFill patternType="solid">
        <fgColor rgb="00FEF0E0"/>
      </patternFill>
    </fill>
    <fill>
      <patternFill patternType="solid">
        <fgColor rgb="00E8F8EF"/>
      </patternFill>
    </fill>
    <fill>
      <patternFill patternType="solid">
        <fgColor rgb="00F4F6F8"/>
      </patternFill>
    </fill>
    <fill>
      <patternFill patternType="solid">
        <fgColor rgb="00FDECEA"/>
      </patternFill>
    </fill>
    <fill>
      <patternFill patternType="solid">
        <fgColor rgb="00FEF9E7"/>
      </patternFill>
    </fill>
    <fill>
      <patternFill patternType="solid">
        <fgColor rgb="00F0FFF4"/>
      </patternFill>
    </fill>
    <fill>
      <patternFill patternType="solid">
        <fgColor rgb="00D5F5E3"/>
      </patternFill>
    </fill>
    <fill>
      <patternFill patternType="solid">
        <fgColor rgb="00FFF5F5"/>
      </patternFill>
    </fill>
    <fill>
      <patternFill patternType="solid">
        <fgColor rgb="001E8449"/>
      </patternFill>
    </fill>
    <fill>
      <patternFill patternType="solid">
        <fgColor rgb="00E67E22"/>
      </patternFill>
    </fill>
    <fill>
      <patternFill patternType="solid">
        <fgColor rgb="00C0392B"/>
      </patternFill>
    </fill>
    <fill>
      <patternFill patternType="solid">
        <fgColor rgb="00EEEDFE"/>
        <bgColor rgb="00EEEDFE"/>
      </patternFill>
    </fill>
    <fill>
      <patternFill patternType="solid">
        <fgColor rgb="00E6F1FB"/>
        <bgColor rgb="00E6F1FB"/>
      </patternFill>
    </fill>
    <fill>
      <patternFill patternType="solid">
        <fgColor rgb="00185FA5"/>
        <bgColor rgb="00185FA5"/>
      </patternFill>
    </fill>
    <fill>
      <patternFill patternType="solid">
        <fgColor rgb="00FFFFFF"/>
        <bgColor rgb="00FFFFFF"/>
      </patternFill>
    </fill>
    <fill>
      <patternFill patternType="solid">
        <fgColor rgb="00EAF3DE"/>
        <bgColor rgb="00EAF3DE"/>
      </patternFill>
    </fill>
    <fill>
      <patternFill patternType="solid">
        <fgColor rgb="001D9E75"/>
        <bgColor rgb="001D9E75"/>
      </patternFill>
    </fill>
    <fill>
      <patternFill patternType="solid">
        <fgColor rgb="00FAEEDA"/>
        <bgColor rgb="00FAEEDA"/>
      </patternFill>
    </fill>
    <fill>
      <patternFill patternType="solid">
        <fgColor rgb="00378ADD"/>
        <bgColor rgb="00378ADD"/>
      </patternFill>
    </fill>
    <fill>
      <patternFill patternType="solid">
        <fgColor rgb="00F1EFE8"/>
        <bgColor rgb="00F1EFE8"/>
      </patternFill>
    </fill>
  </fills>
  <borders count="18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67E22"/>
      </left>
      <right style="thin">
        <color rgb="00E67E22"/>
      </right>
      <top style="thin">
        <color rgb="00E67E22"/>
      </top>
      <bottom style="thin">
        <color rgb="00E67E22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A6B8A"/>
      </left>
      <right style="thin">
        <color rgb="001A6B8A"/>
      </right>
      <top style="thin">
        <color rgb="001A6B8A"/>
      </top>
      <bottom style="thin">
        <color rgb="001A6B8A"/>
      </bottom>
    </border>
    <border>
      <left/>
      <right/>
      <top style="thin">
        <color rgb="00E67E22"/>
      </top>
      <bottom/>
      <diagonal/>
    </border>
    <border>
      <left/>
      <right style="thin">
        <color rgb="00E67E22"/>
      </right>
      <top style="thin">
        <color rgb="00E67E22"/>
      </top>
      <bottom/>
      <diagonal/>
    </border>
    <border>
      <left/>
      <right style="thin">
        <color rgb="00E67E22"/>
      </right>
      <top style="thin">
        <color rgb="00E67E22"/>
      </top>
      <bottom style="thin">
        <color rgb="00E67E22"/>
      </bottom>
      <diagonal/>
    </border>
    <border>
      <left style="thin">
        <color rgb="00B5D4F4"/>
      </left>
      <right style="thin">
        <color rgb="00B5D4F4"/>
      </right>
      <top style="thin">
        <color rgb="00B5D4F4"/>
      </top>
      <bottom style="thin">
        <color rgb="00B5D4F4"/>
      </bottom>
    </border>
    <border>
      <left style="thin">
        <color rgb="00185FA5"/>
      </left>
      <right style="thin">
        <color rgb="00185FA5"/>
      </right>
      <top style="thin">
        <color rgb="00185FA5"/>
      </top>
      <bottom style="thin">
        <color rgb="00185FA5"/>
      </bottom>
    </border>
    <border>
      <left/>
      <right/>
      <top style="thin">
        <color rgb="00B5D4F4"/>
      </top>
      <bottom/>
      <diagonal/>
    </border>
    <border>
      <left/>
      <right style="thin">
        <color rgb="00B5D4F4"/>
      </right>
      <top style="thin">
        <color rgb="00B5D4F4"/>
      </top>
      <bottom/>
      <diagonal/>
    </border>
    <border>
      <left/>
      <right/>
      <top style="thin">
        <color rgb="00B5D4F4"/>
      </top>
      <bottom style="thin">
        <color rgb="00B5D4F4"/>
      </bottom>
      <diagonal/>
    </border>
    <border>
      <left/>
      <right style="thin">
        <color rgb="00B5D4F4"/>
      </right>
      <top style="thin">
        <color rgb="00B5D4F4"/>
      </top>
      <bottom style="thin">
        <color rgb="00B5D4F4"/>
      </bottom>
      <diagonal/>
    </border>
    <border>
      <left style="thin">
        <color rgb="000C447C"/>
      </left>
      <right style="thin">
        <color rgb="000C447C"/>
      </right>
      <top style="thin">
        <color rgb="000C447C"/>
      </top>
      <bottom style="thin">
        <color rgb="000C447C"/>
      </bottom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3" fontId="6" fillId="8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5" fontId="6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center" vertical="center"/>
    </xf>
    <xf numFmtId="3" fontId="6" fillId="11" borderId="1" applyAlignment="1" pivotButton="0" quotePrefix="0" xfId="0">
      <alignment horizontal="center" vertical="center"/>
    </xf>
    <xf numFmtId="3" fontId="6" fillId="11" borderId="1" applyAlignment="1" pivotButton="0" quotePrefix="0" xfId="0">
      <alignment horizontal="right" vertical="center"/>
    </xf>
    <xf numFmtId="3" fontId="13" fillId="11" borderId="1" applyAlignment="1" pivotButton="0" quotePrefix="0" xfId="0">
      <alignment horizontal="right" vertical="center"/>
    </xf>
    <xf numFmtId="0" fontId="6" fillId="11" borderId="1" applyAlignment="1" pivotButton="0" quotePrefix="0" xfId="0">
      <alignment horizontal="left" vertical="center"/>
    </xf>
    <xf numFmtId="165" fontId="6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left" vertical="center"/>
    </xf>
    <xf numFmtId="3" fontId="6" fillId="13" borderId="1" applyAlignment="1" pivotButton="0" quotePrefix="0" xfId="0">
      <alignment horizontal="center" vertical="center"/>
    </xf>
    <xf numFmtId="3" fontId="6" fillId="13" borderId="1" applyAlignment="1" pivotButton="0" quotePrefix="0" xfId="0">
      <alignment horizontal="right" vertical="center"/>
    </xf>
    <xf numFmtId="3" fontId="13" fillId="13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3" fontId="15" fillId="11" borderId="1" applyAlignment="1" pivotButton="0" quotePrefix="0" xfId="0">
      <alignment horizontal="center" vertical="center"/>
    </xf>
    <xf numFmtId="3" fontId="16" fillId="1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5" fillId="3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18" fillId="3" borderId="7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0" fontId="17" fillId="4" borderId="0" applyAlignment="1" pivotButton="0" quotePrefix="0" xfId="0">
      <alignment horizontal="left" vertical="center"/>
    </xf>
    <xf numFmtId="0" fontId="19" fillId="3" borderId="7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left" vertical="center"/>
    </xf>
    <xf numFmtId="3" fontId="19" fillId="3" borderId="7" applyAlignment="1" pivotButton="0" quotePrefix="0" xfId="0">
      <alignment horizontal="center" vertical="center"/>
    </xf>
    <xf numFmtId="9" fontId="19" fillId="3" borderId="7" applyAlignment="1" pivotButton="0" quotePrefix="0" xfId="0">
      <alignment horizontal="center" vertical="center"/>
    </xf>
    <xf numFmtId="0" fontId="17" fillId="14" borderId="0" applyAlignment="1" pivotButton="0" quotePrefix="0" xfId="0">
      <alignment horizontal="left" vertical="center"/>
    </xf>
    <xf numFmtId="3" fontId="18" fillId="3" borderId="7" applyAlignment="1" pivotButton="0" quotePrefix="0" xfId="0">
      <alignment horizontal="center" vertical="center"/>
    </xf>
    <xf numFmtId="0" fontId="21" fillId="6" borderId="1" applyAlignment="1" pivotButton="0" quotePrefix="0" xfId="0">
      <alignment horizontal="center" vertical="center"/>
    </xf>
    <xf numFmtId="0" fontId="22" fillId="2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17" fillId="15" borderId="0" applyAlignment="1" pivotButton="0" quotePrefix="0" xfId="0">
      <alignment horizontal="left" vertical="center"/>
    </xf>
    <xf numFmtId="0" fontId="17" fillId="16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center" vertical="center"/>
    </xf>
    <xf numFmtId="0" fontId="0" fillId="0" borderId="10" pivotButton="0" quotePrefix="0" xfId="0"/>
    <xf numFmtId="0" fontId="24" fillId="17" borderId="0" pivotButton="0" quotePrefix="0" xfId="0"/>
    <xf numFmtId="0" fontId="24" fillId="17" borderId="0" applyAlignment="1" pivotButton="0" quotePrefix="0" xfId="0">
      <alignment horizontal="center" vertical="center" wrapText="1"/>
    </xf>
    <xf numFmtId="0" fontId="25" fillId="18" borderId="11" applyAlignment="1" pivotButton="0" quotePrefix="0" xfId="0">
      <alignment horizontal="center" vertical="center" wrapText="1"/>
    </xf>
    <xf numFmtId="0" fontId="26" fillId="0" borderId="0" pivotButton="0" quotePrefix="0" xfId="0"/>
    <xf numFmtId="0" fontId="27" fillId="18" borderId="11" applyAlignment="1" pivotButton="0" quotePrefix="0" xfId="0">
      <alignment horizontal="center" vertical="center" wrapText="1"/>
    </xf>
    <xf numFmtId="164" fontId="27" fillId="18" borderId="11" applyAlignment="1" pivotButton="0" quotePrefix="0" xfId="0">
      <alignment horizontal="center" vertical="center" wrapText="1"/>
    </xf>
    <xf numFmtId="165" fontId="6" fillId="11" borderId="1" applyAlignment="1" pivotButton="0" quotePrefix="0" xfId="0">
      <alignment horizontal="center" vertical="center"/>
    </xf>
    <xf numFmtId="165" fontId="6" fillId="13" borderId="1" applyAlignment="1" pivotButton="0" quotePrefix="0" xfId="0">
      <alignment horizontal="center" vertical="center"/>
    </xf>
    <xf numFmtId="0" fontId="34" fillId="19" borderId="17" applyAlignment="1" pivotButton="0" quotePrefix="0" xfId="0">
      <alignment horizontal="center" vertical="center" wrapText="1"/>
    </xf>
    <xf numFmtId="2" fontId="37" fillId="23" borderId="0" applyAlignment="1" pivotButton="0" quotePrefix="0" xfId="0">
      <alignment horizontal="center" vertical="center" wrapText="1"/>
    </xf>
    <xf numFmtId="0" fontId="38" fillId="23" borderId="0" applyAlignment="1" pivotButton="0" quotePrefix="0" xfId="0">
      <alignment horizontal="center" vertical="center" wrapText="1"/>
    </xf>
    <xf numFmtId="0" fontId="39" fillId="21" borderId="0" applyAlignment="1" pivotButton="0" quotePrefix="0" xfId="0">
      <alignment horizontal="center" vertical="center" wrapText="1"/>
    </xf>
    <xf numFmtId="0" fontId="32" fillId="8" borderId="1" applyAlignment="1" pivotButton="0" quotePrefix="0" xfId="0">
      <alignment horizontal="left" vertical="center"/>
    </xf>
    <xf numFmtId="0" fontId="25" fillId="3" borderId="1" applyAlignment="1" pivotButton="0" quotePrefix="0" xfId="0">
      <alignment horizontal="center" vertical="center"/>
    </xf>
    <xf numFmtId="0" fontId="28" fillId="19" borderId="0" applyAlignment="1" pivotButton="0" quotePrefix="0" xfId="0">
      <alignment horizontal="center" vertical="center" wrapText="1"/>
    </xf>
    <xf numFmtId="0" fontId="29" fillId="18" borderId="0" pivotButton="0" quotePrefix="0" xfId="0"/>
    <xf numFmtId="0" fontId="30" fillId="20" borderId="12" applyAlignment="1" pivotButton="0" quotePrefix="0" xfId="0">
      <alignment horizontal="center" vertical="center" wrapText="1"/>
    </xf>
    <xf numFmtId="0" fontId="31" fillId="0" borderId="0" pivotButton="0" quotePrefix="0" xfId="0"/>
    <xf numFmtId="0" fontId="32" fillId="18" borderId="0" pivotButton="0" quotePrefix="0" xfId="0"/>
    <xf numFmtId="0" fontId="27" fillId="21" borderId="11" pivotButton="0" quotePrefix="0" xfId="0"/>
    <xf numFmtId="0" fontId="0" fillId="0" borderId="15" pivotButton="0" quotePrefix="0" xfId="0"/>
    <xf numFmtId="0" fontId="0" fillId="0" borderId="16" pivotButton="0" quotePrefix="0" xfId="0"/>
    <xf numFmtId="0" fontId="25" fillId="21" borderId="11" applyAlignment="1" pivotButton="0" quotePrefix="0" xfId="0">
      <alignment horizontal="center" vertical="center" wrapText="1"/>
    </xf>
    <xf numFmtId="0" fontId="33" fillId="22" borderId="0" applyAlignment="1" pivotButton="0" quotePrefix="0" xfId="0">
      <alignment horizontal="center" vertical="center" wrapText="1"/>
    </xf>
    <xf numFmtId="3" fontId="35" fillId="21" borderId="11" applyAlignment="1" pivotButton="0" quotePrefix="0" xfId="0">
      <alignment horizontal="center" vertical="center" wrapText="1"/>
    </xf>
    <xf numFmtId="166" fontId="35" fillId="21" borderId="11" applyAlignment="1" pivotButton="0" quotePrefix="0" xfId="0">
      <alignment horizontal="center" vertical="center" wrapText="1"/>
    </xf>
    <xf numFmtId="167" fontId="35" fillId="23" borderId="11" applyAlignment="1" pivotButton="0" quotePrefix="0" xfId="0">
      <alignment horizontal="center" vertical="center" wrapText="1"/>
    </xf>
    <xf numFmtId="166" fontId="35" fillId="23" borderId="11" applyAlignment="1" pivotButton="0" quotePrefix="0" xfId="0">
      <alignment horizontal="center" vertical="center" wrapText="1"/>
    </xf>
    <xf numFmtId="0" fontId="35" fillId="18" borderId="11" applyAlignment="1" pivotButton="0" quotePrefix="0" xfId="0">
      <alignment horizontal="center" vertical="center" wrapText="1"/>
    </xf>
    <xf numFmtId="0" fontId="33" fillId="24" borderId="0" pivotButton="0" quotePrefix="0" xfId="0"/>
    <xf numFmtId="0" fontId="36" fillId="25" borderId="0" pivotButton="0" quotePrefix="0" xfId="0"/>
    <xf numFmtId="0" fontId="23" fillId="8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name val="Arial"/>
        <b val="1"/>
        <color rgb="00C0392B"/>
      </font>
      <fill>
        <patternFill patternType="solid">
          <fgColor rgb="00FDECEA"/>
        </patternFill>
      </fill>
    </dxf>
    <dxf>
      <font>
        <name val="Arial"/>
        <b val="1"/>
        <color rgb="00B7950B"/>
      </font>
      <fill>
        <patternFill patternType="solid">
          <fgColor rgb="00FEF9E7"/>
        </patternFill>
      </fill>
    </dxf>
    <dxf>
      <font>
        <name val="Arial"/>
        <b val="1"/>
        <color rgb="001E8449"/>
      </font>
      <fill>
        <patternFill patternType="solid">
          <fgColor rgb="00E8F8E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30" customWidth="1" min="3" max="3"/>
  </cols>
  <sheetData>
    <row r="1" ht="15" customHeight="1"/>
    <row r="2"/>
    <row r="3" ht="40" customHeight="1">
      <c r="B3" s="1" t="inlineStr">
        <is>
          <t>📦  SYSTÈME ERP — GESTION DES STOCKS</t>
        </is>
      </c>
    </row>
    <row r="4" ht="22" customHeight="1">
      <c r="B4" s="2" t="inlineStr">
        <is>
          <t>Académie d'El Bayadh — Mahi Kamel Abdelghani</t>
        </is>
      </c>
    </row>
    <row r="5" ht="18" customHeight="1">
      <c r="B5" s="70" t="inlineStr">
        <is>
          <t>Version 3.0 — Mars 2026  |  Bugs EOQ corrigés + CMUP dynamique + ROP Dashboard</t>
        </is>
      </c>
    </row>
    <row r="6" ht="10" customHeight="1"/>
    <row r="7" ht="18" customHeight="1">
      <c r="B7" s="4" t="inlineStr">
        <is>
          <t>Onglet</t>
        </is>
      </c>
      <c r="C7" s="4" t="inlineStr">
        <is>
          <t>Description</t>
        </is>
      </c>
    </row>
    <row r="8" ht="16" customHeight="1">
      <c r="B8" s="5" t="inlineStr">
        <is>
          <t>📋  ARTICLES</t>
        </is>
      </c>
      <c r="C8" s="6" t="inlineStr">
        <is>
          <t>Catalogue de tous les articles du magasin</t>
        </is>
      </c>
    </row>
    <row r="9" ht="16" customHeight="1">
      <c r="B9" s="7" t="inlineStr">
        <is>
          <t>📊  FOURNISSEURS</t>
        </is>
      </c>
      <c r="C9" s="8" t="inlineStr">
        <is>
          <t>Fiches et évaluations des fournisseurs</t>
        </is>
      </c>
    </row>
    <row r="10" ht="16" customHeight="1">
      <c r="B10" s="5" t="inlineStr">
        <is>
          <t>🔄  MOUVEMENTS</t>
        </is>
      </c>
      <c r="C10" s="6" t="inlineStr">
        <is>
          <t>Entrées et sorties de stock</t>
        </is>
      </c>
    </row>
    <row r="11" ht="16" customHeight="1">
      <c r="B11" s="7" t="inlineStr">
        <is>
          <t>📈  DASHBOARD</t>
        </is>
      </c>
      <c r="C11" s="8" t="inlineStr">
        <is>
          <t>Tableau de bord — alertes stock</t>
        </is>
      </c>
    </row>
    <row r="12" ht="16" customHeight="1">
      <c r="B12" s="5" t="inlineStr">
        <is>
          <t>🧮  INVENTAIRE</t>
        </is>
      </c>
      <c r="C12" s="6" t="inlineStr">
        <is>
          <t>Fiche de stock CMUP + valorisation</t>
        </is>
      </c>
    </row>
    <row r="13" ht="16" customHeight="1">
      <c r="B13" s="7" t="inlineStr">
        <is>
          <t>📐  CALCULS_EOQ</t>
        </is>
      </c>
      <c r="C13" s="8" t="inlineStr">
        <is>
          <t>Paramètres Wilson + point de commande</t>
        </is>
      </c>
    </row>
    <row r="14" ht="16" customHeight="1">
      <c r="B14" s="5" t="inlineStr">
        <is>
          <t>📁  HISTORIQUE</t>
        </is>
      </c>
      <c r="C14" s="6" t="inlineStr">
        <is>
          <t>Archivage des commandes et réceptions</t>
        </is>
      </c>
    </row>
    <row r="15" ht="16" customHeight="1">
      <c r="B15" s="7" t="inlineStr">
        <is>
          <t>ℹ️  GUIDE</t>
        </is>
      </c>
      <c r="C15" s="8" t="inlineStr">
        <is>
          <t>Instructions d'utilisation détaillées</t>
        </is>
      </c>
    </row>
    <row r="16" ht="10" customHeight="1"/>
    <row r="17" ht="18" customHeight="1">
      <c r="B17" s="9" t="inlineStr">
        <is>
          <t>⚠️  Activer les macros si demandé  |  Ne pas modifier les formules  |  Sauvegarder régulièrement</t>
        </is>
      </c>
      <c r="C17" s="71" t="n"/>
    </row>
  </sheetData>
  <mergeCells count="4">
    <mergeCell ref="B3:C3"/>
    <mergeCell ref="B5:C5"/>
    <mergeCell ref="B4:C4"/>
    <mergeCell ref="B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1" customWidth="1" min="4" max="4"/>
    <col width="9" customWidth="1" min="5" max="5"/>
    <col width="14" customWidth="1" min="6" max="6"/>
    <col width="14" customWidth="1" min="7" max="7"/>
    <col width="17" customWidth="1" min="8" max="8"/>
    <col width="24" customWidth="1" min="9" max="9"/>
    <col width="14" customWidth="1" min="10" max="10"/>
    <col width="12" customWidth="1" min="11" max="11"/>
  </cols>
  <sheetData>
    <row r="1" ht="26" customHeight="1">
      <c r="A1" s="10" t="inlineStr">
        <is>
          <t>📋  CATALOGUE DES ARTICLES — MAGASIN ACADÉMIE EL BAYADH</t>
        </is>
      </c>
    </row>
    <row r="2" ht="20" customHeight="1">
      <c r="A2" s="4" t="inlineStr">
        <is>
          <t>Code Article</t>
        </is>
      </c>
      <c r="B2" s="4" t="inlineStr">
        <is>
          <t>Désignation</t>
        </is>
      </c>
      <c r="C2" s="4" t="inlineStr">
        <is>
          <t>Catégorie</t>
        </is>
      </c>
      <c r="D2" s="4" t="inlineStr">
        <is>
          <t>Classe ABC</t>
        </is>
      </c>
      <c r="E2" s="4" t="inlineStr">
        <is>
          <t>Unité</t>
        </is>
      </c>
      <c r="F2" s="4" t="inlineStr">
        <is>
          <t>Stock Minimum</t>
        </is>
      </c>
      <c r="G2" s="4" t="inlineStr">
        <is>
          <t>Stock Maximum</t>
        </is>
      </c>
      <c r="H2" s="4" t="inlineStr">
        <is>
          <t>Prix Unitaire (DA)</t>
        </is>
      </c>
      <c r="I2" s="4" t="inlineStr">
        <is>
          <t>Fournisseur Habituel</t>
        </is>
      </c>
      <c r="J2" s="4" t="inlineStr">
        <is>
          <t>Emplacement</t>
        </is>
      </c>
      <c r="K2" s="4" t="inlineStr">
        <is>
          <t>Actif (O/N)</t>
        </is>
      </c>
    </row>
    <row r="3" ht="16" customHeight="1">
      <c r="A3" s="8" t="inlineStr">
        <is>
          <t>ART-001</t>
        </is>
      </c>
      <c r="B3" s="8" t="inlineStr">
        <is>
          <t>Rame papier A4 80g/m²</t>
        </is>
      </c>
      <c r="C3" s="11" t="inlineStr">
        <is>
          <t>Papeterie</t>
        </is>
      </c>
      <c r="D3" s="12" t="inlineStr">
        <is>
          <t>C</t>
        </is>
      </c>
      <c r="E3" s="11" t="inlineStr">
        <is>
          <t>Rame</t>
        </is>
      </c>
      <c r="F3" s="13" t="n">
        <v>400</v>
      </c>
      <c r="G3" s="13" t="n">
        <v>1500</v>
      </c>
      <c r="H3" s="13" t="n">
        <v>180</v>
      </c>
      <c r="I3" s="11" t="inlineStr">
        <is>
          <t>Papeterie ENAP Alger</t>
        </is>
      </c>
      <c r="J3" s="11" t="inlineStr">
        <is>
          <t>Rayon A-E1</t>
        </is>
      </c>
      <c r="K3" s="11" t="inlineStr">
        <is>
          <t>O</t>
        </is>
      </c>
    </row>
    <row r="4" ht="16" customHeight="1">
      <c r="A4" s="14" t="inlineStr">
        <is>
          <t>ART-002</t>
        </is>
      </c>
      <c r="B4" s="14" t="inlineStr">
        <is>
          <t>Cartouche toner laser noir HP</t>
        </is>
      </c>
      <c r="C4" s="15" t="inlineStr">
        <is>
          <t>Consommables</t>
        </is>
      </c>
      <c r="D4" s="16" t="inlineStr">
        <is>
          <t>A</t>
        </is>
      </c>
      <c r="E4" s="15" t="inlineStr">
        <is>
          <t>Unité</t>
        </is>
      </c>
      <c r="F4" s="17" t="n">
        <v>5</v>
      </c>
      <c r="G4" s="17" t="n">
        <v>30</v>
      </c>
      <c r="H4" s="17" t="n">
        <v>3500</v>
      </c>
      <c r="I4" s="15" t="inlineStr">
        <is>
          <t>Bureautique Center Oran</t>
        </is>
      </c>
      <c r="J4" s="15" t="inlineStr">
        <is>
          <t>Rayon B-E2</t>
        </is>
      </c>
      <c r="K4" s="15" t="inlineStr">
        <is>
          <t>O</t>
        </is>
      </c>
    </row>
    <row r="5" ht="16" customHeight="1">
      <c r="A5" s="8" t="inlineStr">
        <is>
          <t>ART-003</t>
        </is>
      </c>
      <c r="B5" s="8" t="inlineStr">
        <is>
          <t>Cartouche encre couleur Canon</t>
        </is>
      </c>
      <c r="C5" s="11" t="inlineStr">
        <is>
          <t>Consommables</t>
        </is>
      </c>
      <c r="D5" s="16" t="inlineStr">
        <is>
          <t>A</t>
        </is>
      </c>
      <c r="E5" s="11" t="inlineStr">
        <is>
          <t>Unité</t>
        </is>
      </c>
      <c r="F5" s="13" t="n">
        <v>4</v>
      </c>
      <c r="G5" s="13" t="n">
        <v>20</v>
      </c>
      <c r="H5" s="13" t="n">
        <v>2200</v>
      </c>
      <c r="I5" s="11" t="inlineStr">
        <is>
          <t>Bureautique Center Oran</t>
        </is>
      </c>
      <c r="J5" s="11" t="inlineStr">
        <is>
          <t>Rayon B-E2</t>
        </is>
      </c>
      <c r="K5" s="11" t="inlineStr">
        <is>
          <t>O</t>
        </is>
      </c>
    </row>
    <row r="6" ht="16" customHeight="1">
      <c r="A6" s="14" t="inlineStr">
        <is>
          <t>ART-004</t>
        </is>
      </c>
      <c r="B6" s="14" t="inlineStr">
        <is>
          <t>Stylo à bille bleu (boîte 50)</t>
        </is>
      </c>
      <c r="C6" s="15" t="inlineStr">
        <is>
          <t>Papeterie</t>
        </is>
      </c>
      <c r="D6" s="12" t="inlineStr">
        <is>
          <t>C</t>
        </is>
      </c>
      <c r="E6" s="15" t="inlineStr">
        <is>
          <t>Boîte</t>
        </is>
      </c>
      <c r="F6" s="17" t="n">
        <v>2</v>
      </c>
      <c r="G6" s="17" t="n">
        <v>15</v>
      </c>
      <c r="H6" s="17" t="n">
        <v>450</v>
      </c>
      <c r="I6" s="15" t="inlineStr">
        <is>
          <t>Papeterie ENAP Alger</t>
        </is>
      </c>
      <c r="J6" s="15" t="inlineStr">
        <is>
          <t>Rayon A-E1</t>
        </is>
      </c>
      <c r="K6" s="15" t="inlineStr">
        <is>
          <t>O</t>
        </is>
      </c>
    </row>
    <row r="7" ht="16" customHeight="1">
      <c r="A7" s="8" t="inlineStr">
        <is>
          <t>ART-005</t>
        </is>
      </c>
      <c r="B7" s="8" t="inlineStr">
        <is>
          <t>Cahier 192 pages</t>
        </is>
      </c>
      <c r="C7" s="11" t="inlineStr">
        <is>
          <t>Papeterie</t>
        </is>
      </c>
      <c r="D7" s="12" t="inlineStr">
        <is>
          <t>C</t>
        </is>
      </c>
      <c r="E7" s="11" t="inlineStr">
        <is>
          <t>Unité</t>
        </is>
      </c>
      <c r="F7" s="13" t="n">
        <v>50</v>
      </c>
      <c r="G7" s="13" t="n">
        <v>500</v>
      </c>
      <c r="H7" s="13" t="n">
        <v>80</v>
      </c>
      <c r="I7" s="11" t="inlineStr">
        <is>
          <t>Papeterie ENAP Alger</t>
        </is>
      </c>
      <c r="J7" s="11" t="inlineStr">
        <is>
          <t>Rayon A-E3</t>
        </is>
      </c>
      <c r="K7" s="11" t="inlineStr">
        <is>
          <t>O</t>
        </is>
      </c>
    </row>
    <row r="8" ht="16" customHeight="1">
      <c r="A8" s="14" t="inlineStr">
        <is>
          <t>ART-006</t>
        </is>
      </c>
      <c r="B8" s="14" t="inlineStr">
        <is>
          <t>Agrafeuse de bureau</t>
        </is>
      </c>
      <c r="C8" s="15" t="inlineStr">
        <is>
          <t>Matériel</t>
        </is>
      </c>
      <c r="D8" s="18" t="inlineStr">
        <is>
          <t>B</t>
        </is>
      </c>
      <c r="E8" s="15" t="inlineStr">
        <is>
          <t>Unité</t>
        </is>
      </c>
      <c r="F8" s="17" t="n">
        <v>2</v>
      </c>
      <c r="G8" s="17" t="n">
        <v>10</v>
      </c>
      <c r="H8" s="17" t="n">
        <v>1200</v>
      </c>
      <c r="I8" s="15" t="inlineStr">
        <is>
          <t>Bureau Plus Alger</t>
        </is>
      </c>
      <c r="J8" s="15" t="inlineStr">
        <is>
          <t>Rayon C-E1</t>
        </is>
      </c>
      <c r="K8" s="15" t="inlineStr">
        <is>
          <t>O</t>
        </is>
      </c>
    </row>
    <row r="9" ht="16" customHeight="1">
      <c r="A9" s="8" t="inlineStr">
        <is>
          <t>ART-007</t>
        </is>
      </c>
      <c r="B9" s="8" t="inlineStr">
        <is>
          <t>Boîte d'agrafes N°24</t>
        </is>
      </c>
      <c r="C9" s="11" t="inlineStr">
        <is>
          <t>Fournitures</t>
        </is>
      </c>
      <c r="D9" s="12" t="inlineStr">
        <is>
          <t>C</t>
        </is>
      </c>
      <c r="E9" s="11" t="inlineStr">
        <is>
          <t>Boîte</t>
        </is>
      </c>
      <c r="F9" s="13" t="n">
        <v>5</v>
      </c>
      <c r="G9" s="13" t="n">
        <v>50</v>
      </c>
      <c r="H9" s="13" t="n">
        <v>120</v>
      </c>
      <c r="I9" s="11" t="inlineStr">
        <is>
          <t>Papeterie ENAP Alger</t>
        </is>
      </c>
      <c r="J9" s="11" t="inlineStr">
        <is>
          <t>Rayon A-E2</t>
        </is>
      </c>
      <c r="K9" s="11" t="inlineStr">
        <is>
          <t>O</t>
        </is>
      </c>
    </row>
    <row r="10" ht="16" customHeight="1">
      <c r="A10" s="14" t="inlineStr">
        <is>
          <t>ART-008</t>
        </is>
      </c>
      <c r="B10" s="14" t="inlineStr">
        <is>
          <t>Chemise cartonnée (50 unités)</t>
        </is>
      </c>
      <c r="C10" s="15" t="inlineStr">
        <is>
          <t>Papeterie</t>
        </is>
      </c>
      <c r="D10" s="12" t="inlineStr">
        <is>
          <t>C</t>
        </is>
      </c>
      <c r="E10" s="15" t="inlineStr">
        <is>
          <t>Paquet</t>
        </is>
      </c>
      <c r="F10" s="17" t="n">
        <v>3</v>
      </c>
      <c r="G10" s="17" t="n">
        <v>20</v>
      </c>
      <c r="H10" s="17" t="n">
        <v>350</v>
      </c>
      <c r="I10" s="15" t="inlineStr">
        <is>
          <t>Papeterie ENAP Alger</t>
        </is>
      </c>
      <c r="J10" s="15" t="inlineStr">
        <is>
          <t>Rayon A-E1</t>
        </is>
      </c>
      <c r="K10" s="15" t="inlineStr">
        <is>
          <t>O</t>
        </is>
      </c>
    </row>
    <row r="11" ht="16" customHeight="1">
      <c r="A11" s="8" t="inlineStr">
        <is>
          <t>ART-009</t>
        </is>
      </c>
      <c r="B11" s="8" t="inlineStr">
        <is>
          <t>Tableau blanc magnétique 60x90</t>
        </is>
      </c>
      <c r="C11" s="11" t="inlineStr">
        <is>
          <t>Matériel</t>
        </is>
      </c>
      <c r="D11" s="18" t="inlineStr">
        <is>
          <t>B</t>
        </is>
      </c>
      <c r="E11" s="11" t="inlineStr">
        <is>
          <t>Unité</t>
        </is>
      </c>
      <c r="F11" s="13" t="n">
        <v>1</v>
      </c>
      <c r="G11" s="13" t="n">
        <v>5</v>
      </c>
      <c r="H11" s="13" t="n">
        <v>4500</v>
      </c>
      <c r="I11" s="11" t="inlineStr">
        <is>
          <t>Atyab Algérie</t>
        </is>
      </c>
      <c r="J11" s="11" t="inlineStr">
        <is>
          <t>Rayon C-E2</t>
        </is>
      </c>
      <c r="K11" s="11" t="inlineStr">
        <is>
          <t>O</t>
        </is>
      </c>
    </row>
    <row r="12" ht="16" customHeight="1">
      <c r="A12" s="14" t="inlineStr">
        <is>
          <t>ART-010</t>
        </is>
      </c>
      <c r="B12" s="14" t="inlineStr">
        <is>
          <t>Marqueur tableau blanc (rouge)</t>
        </is>
      </c>
      <c r="C12" s="15" t="inlineStr">
        <is>
          <t>Papeterie</t>
        </is>
      </c>
      <c r="D12" s="12" t="inlineStr">
        <is>
          <t>C</t>
        </is>
      </c>
      <c r="E12" s="15" t="inlineStr">
        <is>
          <t>Unité</t>
        </is>
      </c>
      <c r="F12" s="17" t="n">
        <v>10</v>
      </c>
      <c r="G12" s="17" t="n">
        <v>100</v>
      </c>
      <c r="H12" s="17" t="n">
        <v>95</v>
      </c>
      <c r="I12" s="15" t="inlineStr">
        <is>
          <t>Papeterie ENAP Alger</t>
        </is>
      </c>
      <c r="J12" s="15" t="inlineStr">
        <is>
          <t>Rayon A-E2</t>
        </is>
      </c>
      <c r="K12" s="15" t="inlineStr">
        <is>
          <t>O</t>
        </is>
      </c>
    </row>
    <row r="13" ht="16" customHeight="1">
      <c r="A13" s="8" t="inlineStr">
        <is>
          <t>ART-011</t>
        </is>
      </c>
      <c r="B13" s="8" t="inlineStr">
        <is>
          <t>Tambour / Drum cartouche HP</t>
        </is>
      </c>
      <c r="C13" s="11" t="inlineStr">
        <is>
          <t>Consommables</t>
        </is>
      </c>
      <c r="D13" s="16" t="inlineStr">
        <is>
          <t>A</t>
        </is>
      </c>
      <c r="E13" s="11" t="inlineStr">
        <is>
          <t>Unité</t>
        </is>
      </c>
      <c r="F13" s="13" t="n">
        <v>1</v>
      </c>
      <c r="G13" s="13" t="n">
        <v>5</v>
      </c>
      <c r="H13" s="13" t="n">
        <v>8500</v>
      </c>
      <c r="I13" s="11" t="inlineStr">
        <is>
          <t>Bureautique Center Oran</t>
        </is>
      </c>
      <c r="J13" s="11" t="inlineStr">
        <is>
          <t>Rayon B-E1</t>
        </is>
      </c>
      <c r="K13" s="11" t="inlineStr">
        <is>
          <t>O</t>
        </is>
      </c>
    </row>
    <row r="14" ht="16" customHeight="1">
      <c r="A14" s="14" t="inlineStr">
        <is>
          <t>ART-012</t>
        </is>
      </c>
      <c r="B14" s="14" t="inlineStr">
        <is>
          <t>Ruban adhésif scotch 48mm</t>
        </is>
      </c>
      <c r="C14" s="15" t="inlineStr">
        <is>
          <t>Fournitures</t>
        </is>
      </c>
      <c r="D14" s="12" t="inlineStr">
        <is>
          <t>C</t>
        </is>
      </c>
      <c r="E14" s="15" t="inlineStr">
        <is>
          <t>Rouleau</t>
        </is>
      </c>
      <c r="F14" s="17" t="n">
        <v>5</v>
      </c>
      <c r="G14" s="17" t="n">
        <v>40</v>
      </c>
      <c r="H14" s="17" t="n">
        <v>65</v>
      </c>
      <c r="I14" s="15" t="inlineStr">
        <is>
          <t>Papeterie ENAP Alger</t>
        </is>
      </c>
      <c r="J14" s="15" t="inlineStr">
        <is>
          <t>Rayon A-E2</t>
        </is>
      </c>
      <c r="K14" s="15" t="inlineStr">
        <is>
          <t>O</t>
        </is>
      </c>
    </row>
    <row r="15" ht="16" customHeight="1">
      <c r="A15" s="8" t="inlineStr">
        <is>
          <t>ART-013</t>
        </is>
      </c>
      <c r="B15" s="8" t="inlineStr">
        <is>
          <t>Calculatrice de bureau Casio</t>
        </is>
      </c>
      <c r="C15" s="11" t="inlineStr">
        <is>
          <t>Matériel</t>
        </is>
      </c>
      <c r="D15" s="18" t="inlineStr">
        <is>
          <t>B</t>
        </is>
      </c>
      <c r="E15" s="11" t="inlineStr">
        <is>
          <t>Unité</t>
        </is>
      </c>
      <c r="F15" s="13" t="n">
        <v>2</v>
      </c>
      <c r="G15" s="13" t="n">
        <v>10</v>
      </c>
      <c r="H15" s="13" t="n">
        <v>2800</v>
      </c>
      <c r="I15" s="11" t="inlineStr">
        <is>
          <t>Bureau Plus Alger</t>
        </is>
      </c>
      <c r="J15" s="11" t="inlineStr">
        <is>
          <t>Rayon C-E1</t>
        </is>
      </c>
      <c r="K15" s="11" t="inlineStr">
        <is>
          <t>O</t>
        </is>
      </c>
    </row>
    <row r="16" ht="16" customHeight="1">
      <c r="A16" s="14" t="inlineStr">
        <is>
          <t>ART-014</t>
        </is>
      </c>
      <c r="B16" s="14" t="inlineStr">
        <is>
          <t>Registre 200 pages</t>
        </is>
      </c>
      <c r="C16" s="15" t="inlineStr">
        <is>
          <t>Papeterie</t>
        </is>
      </c>
      <c r="D16" s="18" t="inlineStr">
        <is>
          <t>B</t>
        </is>
      </c>
      <c r="E16" s="15" t="inlineStr">
        <is>
          <t>Unité</t>
        </is>
      </c>
      <c r="F16" s="17" t="n">
        <v>5</v>
      </c>
      <c r="G16" s="17" t="n">
        <v>30</v>
      </c>
      <c r="H16" s="17" t="n">
        <v>480</v>
      </c>
      <c r="I16" s="15" t="inlineStr">
        <is>
          <t>Papeterie ENAP Alger</t>
        </is>
      </c>
      <c r="J16" s="15" t="inlineStr">
        <is>
          <t>Rayon A-E3</t>
        </is>
      </c>
      <c r="K16" s="15" t="inlineStr">
        <is>
          <t>O</t>
        </is>
      </c>
    </row>
    <row r="17" ht="16" customHeight="1">
      <c r="A17" s="8" t="inlineStr">
        <is>
          <t>ART-015</t>
        </is>
      </c>
      <c r="B17" s="8" t="inlineStr">
        <is>
          <t>Rame papier A3 80g/m²</t>
        </is>
      </c>
      <c r="C17" s="11" t="inlineStr">
        <is>
          <t>Papeterie</t>
        </is>
      </c>
      <c r="D17" s="18" t="inlineStr">
        <is>
          <t>B</t>
        </is>
      </c>
      <c r="E17" s="11" t="inlineStr">
        <is>
          <t>Rame</t>
        </is>
      </c>
      <c r="F17" s="13" t="n">
        <v>20</v>
      </c>
      <c r="G17" s="13" t="n">
        <v>200</v>
      </c>
      <c r="H17" s="13" t="n">
        <v>350</v>
      </c>
      <c r="I17" s="11" t="inlineStr">
        <is>
          <t>Papeterie ENAP Alger</t>
        </is>
      </c>
      <c r="J17" s="11" t="inlineStr">
        <is>
          <t>Rayon A-E1</t>
        </is>
      </c>
      <c r="K17" s="11" t="inlineStr">
        <is>
          <t>O</t>
        </is>
      </c>
    </row>
  </sheetData>
  <mergeCells count="1">
    <mergeCell ref="A1:K1"/>
  </mergeCells>
  <dataValidations count="2">
    <dataValidation sqref="D3:D200" showDropDown="0" showInputMessage="0" showErrorMessage="0" allowBlank="0" errorTitle="Classe ABC" error="Valeur invalide. Utiliser: A, B ou C" type="list">
      <formula1>"A,B,C"</formula1>
    </dataValidation>
    <dataValidation sqref="K3:K200" showDropDown="0" showInputMessage="0" showErrorMessage="0" allowBlank="0" type="list">
      <formula1>"O,N"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12" customWidth="1" min="3" max="3"/>
    <col width="16" customWidth="1" min="4" max="4"/>
    <col width="20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4" customHeight="1">
      <c r="A1" s="10" t="inlineStr">
        <is>
          <t>📊  FICHES FOURNISSEURS — ÉVALUATION ET SÉLECTION</t>
        </is>
      </c>
    </row>
    <row r="2" ht="20" customHeight="1">
      <c r="A2" s="72" t="inlineStr">
        <is>
          <t>⚙️  PONDÉRATIONS — modifiables</t>
        </is>
      </c>
      <c r="F2" s="73" t="inlineStr">
        <is>
          <t>Poids Qualité</t>
        </is>
      </c>
      <c r="G2" s="73" t="inlineStr">
        <is>
          <t>Poids Prix</t>
        </is>
      </c>
      <c r="H2" s="73" t="inlineStr">
        <is>
          <t>Poids Délai</t>
        </is>
      </c>
      <c r="I2" s="73" t="inlineStr">
        <is>
          <t>Poids Cond.</t>
        </is>
      </c>
    </row>
    <row r="3" ht="16" customHeight="1">
      <c r="F3" s="74" t="n">
        <v>4</v>
      </c>
      <c r="G3" s="74" t="n">
        <v>3</v>
      </c>
      <c r="H3" s="74" t="n">
        <v>1.5</v>
      </c>
      <c r="I3" s="74" t="n">
        <v>1.5</v>
      </c>
    </row>
    <row r="4" ht="16" customHeight="1">
      <c r="A4" s="75" t="inlineStr">
        <is>
          <t>💡 Modifiez F3:I3 pour recalculer tous les scores</t>
        </is>
      </c>
    </row>
    <row r="5" ht="16" customHeight="1">
      <c r="A5" s="4" t="inlineStr">
        <is>
          <t>Code</t>
        </is>
      </c>
      <c r="B5" s="4" t="inlineStr">
        <is>
          <t>Nom Fournisseur</t>
        </is>
      </c>
      <c r="C5" s="4" t="inlineStr">
        <is>
          <t>Ville</t>
        </is>
      </c>
      <c r="D5" s="4" t="inlineStr">
        <is>
          <t>Téléphone</t>
        </is>
      </c>
      <c r="E5" s="4" t="inlineStr">
        <is>
          <t>Famille Produits</t>
        </is>
      </c>
      <c r="F5" s="4" t="inlineStr">
        <is>
          <t>Note Qualité /10</t>
        </is>
      </c>
      <c r="G5" s="4" t="inlineStr">
        <is>
          <t>Note Prix /10</t>
        </is>
      </c>
      <c r="H5" s="4" t="inlineStr">
        <is>
          <t>Note Délai /10</t>
        </is>
      </c>
      <c r="I5" s="4" t="inlineStr">
        <is>
          <t>Note Cond. /10</t>
        </is>
      </c>
      <c r="J5" s="76">
        <f>F5*$F$3+G5*$G$3+H5*$H$3+I5*$I$3</f>
        <v/>
      </c>
    </row>
    <row r="6" ht="16" customHeight="1">
      <c r="A6" s="11" t="inlineStr">
        <is>
          <t>F001</t>
        </is>
      </c>
      <c r="B6" s="8" t="inlineStr">
        <is>
          <t>Papeterie ENAP Alger</t>
        </is>
      </c>
      <c r="C6" s="11" t="inlineStr">
        <is>
          <t>Alger</t>
        </is>
      </c>
      <c r="D6" s="11" t="inlineStr">
        <is>
          <t>023-XX-XX-XX</t>
        </is>
      </c>
      <c r="E6" s="11" t="inlineStr">
        <is>
          <t>Papeterie/Fournitures</t>
        </is>
      </c>
      <c r="F6" s="11" t="n">
        <v>8</v>
      </c>
      <c r="G6" s="11" t="n">
        <v>7</v>
      </c>
      <c r="H6" s="11" t="n">
        <v>7</v>
      </c>
      <c r="I6" s="11" t="n">
        <v>8</v>
      </c>
      <c r="J6" s="77">
        <f>F6*$F$3+G6*$G$3+H6*$H$3+I6*$I$3</f>
        <v/>
      </c>
    </row>
    <row r="7" ht="16" customHeight="1">
      <c r="A7" s="15" t="inlineStr">
        <is>
          <t>F002</t>
        </is>
      </c>
      <c r="B7" s="14" t="inlineStr">
        <is>
          <t>Bureautique Center Oran</t>
        </is>
      </c>
      <c r="C7" s="15" t="inlineStr">
        <is>
          <t>Oran</t>
        </is>
      </c>
      <c r="D7" s="15" t="inlineStr">
        <is>
          <t>041-XX-XX-XX</t>
        </is>
      </c>
      <c r="E7" s="15" t="inlineStr">
        <is>
          <t>Consommables imprimantes</t>
        </is>
      </c>
      <c r="F7" s="15" t="n">
        <v>9</v>
      </c>
      <c r="G7" s="15" t="n">
        <v>6</v>
      </c>
      <c r="H7" s="15" t="n">
        <v>6</v>
      </c>
      <c r="I7" s="15" t="n">
        <v>7</v>
      </c>
      <c r="J7" s="77">
        <f>F7*$F$3+G7*$G$3+H7*$H$3+I7*$I$3</f>
        <v/>
      </c>
    </row>
    <row r="8">
      <c r="A8" s="11" t="inlineStr">
        <is>
          <t>F003</t>
        </is>
      </c>
      <c r="B8" s="8" t="inlineStr">
        <is>
          <t>Bureau Plus Alger</t>
        </is>
      </c>
      <c r="C8" s="11" t="inlineStr">
        <is>
          <t>Alger</t>
        </is>
      </c>
      <c r="D8" s="11" t="inlineStr">
        <is>
          <t>023-YY-YY-YY</t>
        </is>
      </c>
      <c r="E8" s="11" t="inlineStr">
        <is>
          <t>Matériel de bureau</t>
        </is>
      </c>
      <c r="F8" s="11" t="n">
        <v>7</v>
      </c>
      <c r="G8" s="11" t="n">
        <v>7</v>
      </c>
      <c r="H8" s="11" t="n">
        <v>7</v>
      </c>
      <c r="I8" s="11" t="n">
        <v>8</v>
      </c>
      <c r="J8" s="77">
        <f>F8*$F$3+G8*$G$3+H8*$H$3+I8*$I$3</f>
        <v/>
      </c>
    </row>
    <row r="9">
      <c r="A9" s="15" t="inlineStr">
        <is>
          <t>F004</t>
        </is>
      </c>
      <c r="B9" s="14" t="inlineStr">
        <is>
          <t>Atyab Algérie</t>
        </is>
      </c>
      <c r="C9" s="15" t="inlineStr">
        <is>
          <t>Alger</t>
        </is>
      </c>
      <c r="D9" s="15" t="inlineStr">
        <is>
          <t>023-ZZ-ZZ-ZZ</t>
        </is>
      </c>
      <c r="E9" s="15" t="inlineStr">
        <is>
          <t>Mobilier/Matériel</t>
        </is>
      </c>
      <c r="F9" s="15" t="n">
        <v>7</v>
      </c>
      <c r="G9" s="15" t="n">
        <v>8</v>
      </c>
      <c r="H9" s="15" t="n">
        <v>6</v>
      </c>
      <c r="I9" s="15" t="n">
        <v>7</v>
      </c>
      <c r="J9" s="77">
        <f>F9*$F$3+G9*$G$3+H9*$H$3+I9*$I$3</f>
        <v/>
      </c>
    </row>
    <row r="10">
      <c r="A10" s="11" t="inlineStr">
        <is>
          <t>F005</t>
        </is>
      </c>
      <c r="B10" s="8" t="inlineStr">
        <is>
          <t>Papeterie locale El Bayadh</t>
        </is>
      </c>
      <c r="C10" s="11" t="inlineStr">
        <is>
          <t>El Bayadh</t>
        </is>
      </c>
      <c r="D10" s="11" t="inlineStr">
        <is>
          <t>049-XX-XX-XX</t>
        </is>
      </c>
      <c r="E10" s="11" t="inlineStr">
        <is>
          <t>Papeterie basique</t>
        </is>
      </c>
      <c r="F10" s="11" t="n">
        <v>6</v>
      </c>
      <c r="G10" s="11" t="n">
        <v>9</v>
      </c>
      <c r="H10" s="11" t="n">
        <v>9</v>
      </c>
      <c r="I10" s="11" t="n">
        <v>7</v>
      </c>
      <c r="J10" s="19">
        <f>F7*4+G7*3+H7*1.5+I7*1.5</f>
        <v/>
      </c>
    </row>
  </sheetData>
  <mergeCells count="2">
    <mergeCell ref="A2:E2"/>
    <mergeCell ref="A4:J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0" customWidth="1" min="4" max="4"/>
    <col width="11" customWidth="1" min="5" max="5"/>
    <col width="14" customWidth="1" min="6" max="6"/>
    <col width="13" customWidth="1" min="7" max="7"/>
    <col width="16" customWidth="1" min="8" max="8"/>
    <col width="16" customWidth="1" min="9" max="9"/>
    <col width="22" customWidth="1" min="10" max="10"/>
  </cols>
  <sheetData>
    <row r="1" ht="24" customHeight="1">
      <c r="A1" s="10" t="inlineStr">
        <is>
          <t>🔄  REGISTRE DES MOUVEMENTS DE STOCK — ENTRÉES / SORTIES</t>
        </is>
      </c>
    </row>
    <row r="2" ht="20" customHeight="1">
      <c r="A2" s="4" t="inlineStr">
        <is>
          <t>Date</t>
        </is>
      </c>
      <c r="B2" s="4" t="inlineStr">
        <is>
          <t>Code Article</t>
        </is>
      </c>
      <c r="C2" s="4" t="inlineStr">
        <is>
          <t>Désignation</t>
        </is>
      </c>
      <c r="D2" s="4" t="inlineStr">
        <is>
          <t>Type</t>
        </is>
      </c>
      <c r="E2" s="4" t="inlineStr">
        <is>
          <t>Quantité</t>
        </is>
      </c>
      <c r="F2" s="4" t="inlineStr">
        <is>
          <t>Prix Unitaire</t>
        </is>
      </c>
      <c r="G2" s="4" t="inlineStr">
        <is>
          <t>Valeur (DA)</t>
        </is>
      </c>
      <c r="H2" s="4" t="inlineStr">
        <is>
          <t>N° Référence</t>
        </is>
      </c>
      <c r="I2" s="4" t="inlineStr">
        <is>
          <t>Opérateur</t>
        </is>
      </c>
      <c r="J2" s="4" t="inlineStr">
        <is>
          <t>Observations</t>
        </is>
      </c>
    </row>
    <row r="3" ht="16" customHeight="1">
      <c r="A3" s="78" t="n">
        <v>46054</v>
      </c>
      <c r="B3" s="21" t="inlineStr">
        <is>
          <t>ART-001</t>
        </is>
      </c>
      <c r="C3" s="22">
        <f>IFERROR(VLOOKUP(B3,ARTICLES!A:B,2,FALSE),"")</f>
        <v/>
      </c>
      <c r="D3" s="23" t="inlineStr">
        <is>
          <t>IN</t>
        </is>
      </c>
      <c r="E3" s="24" t="n">
        <v>1000</v>
      </c>
      <c r="F3" s="25" t="n">
        <v>180</v>
      </c>
      <c r="G3" s="26">
        <f>E3*F3</f>
        <v/>
      </c>
      <c r="H3" s="27" t="inlineStr">
        <is>
          <t>BR-001</t>
        </is>
      </c>
      <c r="I3" s="27" t="inlineStr">
        <is>
          <t>Mahi K.</t>
        </is>
      </c>
      <c r="J3" s="27" t="inlineStr">
        <is>
          <t>Stock initial</t>
        </is>
      </c>
    </row>
    <row r="4" ht="16" customHeight="1">
      <c r="A4" s="78" t="n">
        <v>46054</v>
      </c>
      <c r="B4" s="21" t="inlineStr">
        <is>
          <t>ART-002</t>
        </is>
      </c>
      <c r="C4" s="22">
        <f>IFERROR(VLOOKUP(B4,ARTICLES!A:B,2,FALSE),"")</f>
        <v/>
      </c>
      <c r="D4" s="23" t="inlineStr">
        <is>
          <t>IN</t>
        </is>
      </c>
      <c r="E4" s="24" t="n">
        <v>10</v>
      </c>
      <c r="F4" s="25" t="n">
        <v>3500</v>
      </c>
      <c r="G4" s="26">
        <f>E4*F4</f>
        <v/>
      </c>
      <c r="H4" s="27" t="inlineStr">
        <is>
          <t>BR-001</t>
        </is>
      </c>
      <c r="I4" s="27" t="inlineStr">
        <is>
          <t>Mahi K.</t>
        </is>
      </c>
      <c r="J4" s="27" t="inlineStr">
        <is>
          <t>Stock initial</t>
        </is>
      </c>
    </row>
    <row r="5" ht="16" customHeight="1">
      <c r="A5" s="78" t="n">
        <v>46054</v>
      </c>
      <c r="B5" s="21" t="inlineStr">
        <is>
          <t>ART-003</t>
        </is>
      </c>
      <c r="C5" s="22">
        <f>IFERROR(VLOOKUP(B5,ARTICLES!A:B,2,FALSE),"")</f>
        <v/>
      </c>
      <c r="D5" s="23" t="inlineStr">
        <is>
          <t>IN</t>
        </is>
      </c>
      <c r="E5" s="24" t="n">
        <v>8</v>
      </c>
      <c r="F5" s="25" t="n">
        <v>2200</v>
      </c>
      <c r="G5" s="26">
        <f>E5*F5</f>
        <v/>
      </c>
      <c r="H5" s="27" t="inlineStr">
        <is>
          <t>BR-001</t>
        </is>
      </c>
      <c r="I5" s="27" t="inlineStr">
        <is>
          <t>Mahi K.</t>
        </is>
      </c>
      <c r="J5" s="27" t="inlineStr">
        <is>
          <t>Stock initial</t>
        </is>
      </c>
    </row>
    <row r="6" ht="16" customHeight="1">
      <c r="A6" s="79" t="n">
        <v>46058</v>
      </c>
      <c r="B6" s="29" t="inlineStr">
        <is>
          <t>ART-001</t>
        </is>
      </c>
      <c r="C6" s="30">
        <f>IFERROR(VLOOKUP(B6,ARTICLES!A:B,2,FALSE),"")</f>
        <v/>
      </c>
      <c r="D6" s="16" t="inlineStr">
        <is>
          <t>OUT</t>
        </is>
      </c>
      <c r="E6" s="31" t="n">
        <v>50</v>
      </c>
      <c r="F6" s="32" t="n">
        <v>180</v>
      </c>
      <c r="G6" s="33">
        <f>E6*F6</f>
        <v/>
      </c>
      <c r="H6" s="34" t="inlineStr">
        <is>
          <t>BS-001</t>
        </is>
      </c>
      <c r="I6" s="34" t="inlineStr">
        <is>
          <t>Mahi K.</t>
        </is>
      </c>
      <c r="J6" s="34" t="inlineStr">
        <is>
          <t>Distribution lycée A</t>
        </is>
      </c>
    </row>
    <row r="7" ht="16" customHeight="1">
      <c r="A7" s="78" t="n">
        <v>46061</v>
      </c>
      <c r="B7" s="21" t="inlineStr">
        <is>
          <t>ART-005</t>
        </is>
      </c>
      <c r="C7" s="22">
        <f>IFERROR(VLOOKUP(B7,ARTICLES!A:B,2,FALSE),"")</f>
        <v/>
      </c>
      <c r="D7" s="23" t="inlineStr">
        <is>
          <t>IN</t>
        </is>
      </c>
      <c r="E7" s="24" t="n">
        <v>200</v>
      </c>
      <c r="F7" s="25" t="n">
        <v>80</v>
      </c>
      <c r="G7" s="26">
        <f>E7*F7</f>
        <v/>
      </c>
      <c r="H7" s="27" t="inlineStr">
        <is>
          <t>BR-002</t>
        </is>
      </c>
      <c r="I7" s="27" t="inlineStr">
        <is>
          <t>Mahi K.</t>
        </is>
      </c>
      <c r="J7" s="27" t="inlineStr">
        <is>
          <t>Commande mensuelle</t>
        </is>
      </c>
    </row>
    <row r="8" ht="16" customHeight="1">
      <c r="A8" s="79" t="n">
        <v>46063</v>
      </c>
      <c r="B8" s="29" t="inlineStr">
        <is>
          <t>ART-002</t>
        </is>
      </c>
      <c r="C8" s="30">
        <f>IFERROR(VLOOKUP(B8,ARTICLES!A:B,2,FALSE),"")</f>
        <v/>
      </c>
      <c r="D8" s="16" t="inlineStr">
        <is>
          <t>OUT</t>
        </is>
      </c>
      <c r="E8" s="31" t="n">
        <v>2</v>
      </c>
      <c r="F8" s="32" t="n">
        <v>3500</v>
      </c>
      <c r="G8" s="33">
        <f>E8*F8</f>
        <v/>
      </c>
      <c r="H8" s="34" t="inlineStr">
        <is>
          <t>BS-002</t>
        </is>
      </c>
      <c r="I8" s="34" t="inlineStr">
        <is>
          <t>Mahi K.</t>
        </is>
      </c>
      <c r="J8" s="34" t="inlineStr">
        <is>
          <t>Remplacement imprimante</t>
        </is>
      </c>
    </row>
    <row r="9" ht="16" customHeight="1">
      <c r="A9" s="79" t="n">
        <v>46065</v>
      </c>
      <c r="B9" s="29" t="inlineStr">
        <is>
          <t>ART-001</t>
        </is>
      </c>
      <c r="C9" s="30">
        <f>IFERROR(VLOOKUP(B9,ARTICLES!A:B,2,FALSE),"")</f>
        <v/>
      </c>
      <c r="D9" s="16" t="inlineStr">
        <is>
          <t>OUT</t>
        </is>
      </c>
      <c r="E9" s="31" t="n">
        <v>100</v>
      </c>
      <c r="F9" s="32" t="n">
        <v>180</v>
      </c>
      <c r="G9" s="33">
        <f>E9*F9</f>
        <v/>
      </c>
      <c r="H9" s="34" t="inlineStr">
        <is>
          <t>BS-003</t>
        </is>
      </c>
      <c r="I9" s="34" t="inlineStr">
        <is>
          <t>Mahi K.</t>
        </is>
      </c>
      <c r="J9" s="34" t="inlineStr">
        <is>
          <t>Distribution CEM B</t>
        </is>
      </c>
    </row>
    <row r="10" ht="16" customHeight="1">
      <c r="A10" s="78" t="n">
        <v>46068</v>
      </c>
      <c r="B10" s="21" t="inlineStr">
        <is>
          <t>ART-004</t>
        </is>
      </c>
      <c r="C10" s="22">
        <f>IFERROR(VLOOKUP(B10,ARTICLES!A:B,2,FALSE),"")</f>
        <v/>
      </c>
      <c r="D10" s="23" t="inlineStr">
        <is>
          <t>IN</t>
        </is>
      </c>
      <c r="E10" s="24" t="n">
        <v>5</v>
      </c>
      <c r="F10" s="25" t="n">
        <v>450</v>
      </c>
      <c r="G10" s="26">
        <f>E10*F10</f>
        <v/>
      </c>
      <c r="H10" s="27" t="inlineStr">
        <is>
          <t>BR-003</t>
        </is>
      </c>
      <c r="I10" s="27" t="inlineStr">
        <is>
          <t>Mahi K.</t>
        </is>
      </c>
      <c r="J10" s="27" t="inlineStr">
        <is>
          <t>Commande papeterie</t>
        </is>
      </c>
    </row>
    <row r="11" ht="16" customHeight="1">
      <c r="A11" s="79" t="n">
        <v>46071</v>
      </c>
      <c r="B11" s="29" t="inlineStr">
        <is>
          <t>ART-011</t>
        </is>
      </c>
      <c r="C11" s="30">
        <f>IFERROR(VLOOKUP(B11,ARTICLES!A:B,2,FALSE),"")</f>
        <v/>
      </c>
      <c r="D11" s="16" t="inlineStr">
        <is>
          <t>OUT</t>
        </is>
      </c>
      <c r="E11" s="31" t="n">
        <v>1</v>
      </c>
      <c r="F11" s="32" t="n">
        <v>8500</v>
      </c>
      <c r="G11" s="33">
        <f>E11*F11</f>
        <v/>
      </c>
      <c r="H11" s="34" t="inlineStr">
        <is>
          <t>BS-004</t>
        </is>
      </c>
      <c r="I11" s="34" t="inlineStr">
        <is>
          <t>Mahi K.</t>
        </is>
      </c>
      <c r="J11" s="34" t="inlineStr">
        <is>
          <t>Remplacement drum lycée</t>
        </is>
      </c>
    </row>
    <row r="12" ht="16" customHeight="1">
      <c r="A12" s="79" t="n">
        <v>46073</v>
      </c>
      <c r="B12" s="29" t="inlineStr">
        <is>
          <t>ART-001</t>
        </is>
      </c>
      <c r="C12" s="30">
        <f>IFERROR(VLOOKUP(B12,ARTICLES!A:B,2,FALSE),"")</f>
        <v/>
      </c>
      <c r="D12" s="16" t="inlineStr">
        <is>
          <t>OUT</t>
        </is>
      </c>
      <c r="E12" s="31" t="n">
        <v>80</v>
      </c>
      <c r="F12" s="32" t="n">
        <v>180</v>
      </c>
      <c r="G12" s="33">
        <f>E12*F12</f>
        <v/>
      </c>
      <c r="H12" s="34" t="inlineStr">
        <is>
          <t>BS-005</t>
        </is>
      </c>
      <c r="I12" s="34" t="inlineStr">
        <is>
          <t>Mahi K.</t>
        </is>
      </c>
      <c r="J12" s="34" t="inlineStr">
        <is>
          <t>Distribution lycée C</t>
        </is>
      </c>
    </row>
    <row r="13" ht="16" customHeight="1">
      <c r="A13" s="78" t="n">
        <v>46082</v>
      </c>
      <c r="B13" s="21" t="inlineStr">
        <is>
          <t>ART-001</t>
        </is>
      </c>
      <c r="C13" s="22">
        <f>IFERROR(VLOOKUP(B13,ARTICLES!A:B,2,FALSE),"")</f>
        <v/>
      </c>
      <c r="D13" s="23" t="inlineStr">
        <is>
          <t>IN</t>
        </is>
      </c>
      <c r="E13" s="24" t="n">
        <v>500</v>
      </c>
      <c r="F13" s="25" t="n">
        <v>183</v>
      </c>
      <c r="G13" s="26">
        <f>E13*F13</f>
        <v/>
      </c>
      <c r="H13" s="27" t="inlineStr">
        <is>
          <t>BR-004</t>
        </is>
      </c>
      <c r="I13" s="27" t="inlineStr">
        <is>
          <t>Mahi K.</t>
        </is>
      </c>
      <c r="J13" s="27" t="inlineStr">
        <is>
          <t>Réapprovisionnement</t>
        </is>
      </c>
    </row>
    <row r="14" ht="16" customHeight="1">
      <c r="A14" s="78" t="n">
        <v>46086</v>
      </c>
      <c r="B14" s="21" t="inlineStr">
        <is>
          <t>ART-002</t>
        </is>
      </c>
      <c r="C14" s="22">
        <f>IFERROR(VLOOKUP(B14,ARTICLES!A:B,2,FALSE),"")</f>
        <v/>
      </c>
      <c r="D14" s="23" t="inlineStr">
        <is>
          <t>IN</t>
        </is>
      </c>
      <c r="E14" s="24" t="n">
        <v>8</v>
      </c>
      <c r="F14" s="25" t="n">
        <v>3500</v>
      </c>
      <c r="G14" s="26">
        <f>E14*F14</f>
        <v/>
      </c>
      <c r="H14" s="27" t="inlineStr">
        <is>
          <t>BR-005</t>
        </is>
      </c>
      <c r="I14" s="27" t="inlineStr">
        <is>
          <t>Mahi K.</t>
        </is>
      </c>
      <c r="J14" s="27" t="inlineStr">
        <is>
          <t>Commande trimestrielle</t>
        </is>
      </c>
    </row>
    <row r="15" ht="16" customHeight="1">
      <c r="A15" s="79" t="n">
        <v>46089</v>
      </c>
      <c r="B15" s="29" t="inlineStr">
        <is>
          <t>ART-001</t>
        </is>
      </c>
      <c r="C15" s="30">
        <f>IFERROR(VLOOKUP(B15,ARTICLES!A:B,2,FALSE),"")</f>
        <v/>
      </c>
      <c r="D15" s="16" t="inlineStr">
        <is>
          <t>OUT</t>
        </is>
      </c>
      <c r="E15" s="31" t="n">
        <v>120</v>
      </c>
      <c r="F15" s="32" t="n">
        <v>183</v>
      </c>
      <c r="G15" s="33">
        <f>E15*F15</f>
        <v/>
      </c>
      <c r="H15" s="34" t="inlineStr">
        <is>
          <t>BS-006</t>
        </is>
      </c>
      <c r="I15" s="34" t="inlineStr">
        <is>
          <t>Mahi K.</t>
        </is>
      </c>
      <c r="J15" s="34" t="inlineStr">
        <is>
          <t>Besoins examens</t>
        </is>
      </c>
    </row>
    <row r="16" ht="16" customHeight="1">
      <c r="A16" s="79" t="n">
        <v>46091</v>
      </c>
      <c r="B16" s="29" t="inlineStr">
        <is>
          <t>ART-003</t>
        </is>
      </c>
      <c r="C16" s="30">
        <f>IFERROR(VLOOKUP(B16,ARTICLES!A:B,2,FALSE),"")</f>
        <v/>
      </c>
      <c r="D16" s="16" t="inlineStr">
        <is>
          <t>OUT</t>
        </is>
      </c>
      <c r="E16" s="31" t="n">
        <v>3</v>
      </c>
      <c r="F16" s="32" t="n">
        <v>2200</v>
      </c>
      <c r="G16" s="33">
        <f>E16*F16</f>
        <v/>
      </c>
      <c r="H16" s="34" t="inlineStr">
        <is>
          <t>BS-007</t>
        </is>
      </c>
      <c r="I16" s="34" t="inlineStr">
        <is>
          <t>Mahi K.</t>
        </is>
      </c>
      <c r="J16" s="34" t="inlineStr">
        <is>
          <t>Imprimantes direction</t>
        </is>
      </c>
    </row>
    <row r="17" ht="16" customHeight="1">
      <c r="A17" s="78" t="n">
        <v>46096</v>
      </c>
      <c r="B17" s="21" t="inlineStr">
        <is>
          <t>ART-015</t>
        </is>
      </c>
      <c r="C17" s="22">
        <f>IFERROR(VLOOKUP(B17,ARTICLES!A:B,2,FALSE),"")</f>
        <v/>
      </c>
      <c r="D17" s="23" t="inlineStr">
        <is>
          <t>IN</t>
        </is>
      </c>
      <c r="E17" s="24" t="n">
        <v>50</v>
      </c>
      <c r="F17" s="25" t="n">
        <v>350</v>
      </c>
      <c r="G17" s="26">
        <f>E17*F17</f>
        <v/>
      </c>
      <c r="H17" s="27" t="inlineStr">
        <is>
          <t>BR-006</t>
        </is>
      </c>
      <c r="I17" s="27" t="inlineStr">
        <is>
          <t>Mahi K.</t>
        </is>
      </c>
      <c r="J17" s="27" t="inlineStr">
        <is>
          <t>Commande A3</t>
        </is>
      </c>
    </row>
    <row r="18">
      <c r="C18">
        <f>IFERROR(VLOOKUP(B18,ARTICLES!A:B,2,FALSE),"")</f>
        <v/>
      </c>
      <c r="G18">
        <f>IF(E18="","",E18*F18)</f>
        <v/>
      </c>
    </row>
    <row r="19">
      <c r="C19">
        <f>IFERROR(VLOOKUP(B19,ARTICLES!A:B,2,FALSE),"")</f>
        <v/>
      </c>
      <c r="G19">
        <f>IF(E19="","",E19*F19)</f>
        <v/>
      </c>
    </row>
    <row r="20">
      <c r="C20">
        <f>IFERROR(VLOOKUP(B20,ARTICLES!A:B,2,FALSE),"")</f>
        <v/>
      </c>
      <c r="G20">
        <f>IF(E20="","",E20*F20)</f>
        <v/>
      </c>
    </row>
    <row r="21">
      <c r="C21">
        <f>IFERROR(VLOOKUP(B21,ARTICLES!A:B,2,FALSE),"")</f>
        <v/>
      </c>
      <c r="G21">
        <f>IF(E21="","",E21*F21)</f>
        <v/>
      </c>
    </row>
    <row r="22">
      <c r="C22">
        <f>IFERROR(VLOOKUP(B22,ARTICLES!A:B,2,FALSE),"")</f>
        <v/>
      </c>
      <c r="G22">
        <f>IF(E22="","",E22*F22)</f>
        <v/>
      </c>
    </row>
    <row r="23">
      <c r="C23">
        <f>IFERROR(VLOOKUP(B23,ARTICLES!A:B,2,FALSE),"")</f>
        <v/>
      </c>
      <c r="G23">
        <f>IF(E23="","",E23*F23)</f>
        <v/>
      </c>
    </row>
    <row r="24">
      <c r="C24">
        <f>IFERROR(VLOOKUP(B24,ARTICLES!A:B,2,FALSE),"")</f>
        <v/>
      </c>
      <c r="G24">
        <f>IF(E24="","",E24*F24)</f>
        <v/>
      </c>
    </row>
    <row r="25">
      <c r="C25">
        <f>IFERROR(VLOOKUP(B25,ARTICLES!A:B,2,FALSE),"")</f>
        <v/>
      </c>
      <c r="G25">
        <f>IF(E25="","",E25*F25)</f>
        <v/>
      </c>
    </row>
    <row r="26">
      <c r="C26">
        <f>IFERROR(VLOOKUP(B26,ARTICLES!A:B,2,FALSE),"")</f>
        <v/>
      </c>
      <c r="G26">
        <f>IF(E26="","",E26*F26)</f>
        <v/>
      </c>
    </row>
    <row r="27">
      <c r="C27">
        <f>IFERROR(VLOOKUP(B27,ARTICLES!A:B,2,FALSE),"")</f>
        <v/>
      </c>
      <c r="G27">
        <f>IF(E27="","",E27*F27)</f>
        <v/>
      </c>
    </row>
    <row r="28">
      <c r="C28">
        <f>IFERROR(VLOOKUP(B28,ARTICLES!A:B,2,FALSE),"")</f>
        <v/>
      </c>
      <c r="G28">
        <f>IF(E28="","",E28*F28)</f>
        <v/>
      </c>
    </row>
    <row r="29">
      <c r="C29">
        <f>IFERROR(VLOOKUP(B29,ARTICLES!A:B,2,FALSE),"")</f>
        <v/>
      </c>
      <c r="G29">
        <f>IF(E29="","",E29*F29)</f>
        <v/>
      </c>
    </row>
    <row r="30">
      <c r="C30">
        <f>IFERROR(VLOOKUP(B30,ARTICLES!A:B,2,FALSE),"")</f>
        <v/>
      </c>
      <c r="G30">
        <f>IF(E30="","",E30*F30)</f>
        <v/>
      </c>
    </row>
    <row r="31">
      <c r="C31">
        <f>IFERROR(VLOOKUP(B31,ARTICLES!A:B,2,FALSE),"")</f>
        <v/>
      </c>
      <c r="G31">
        <f>IF(E31="","",E31*F31)</f>
        <v/>
      </c>
    </row>
    <row r="32">
      <c r="C32">
        <f>IFERROR(VLOOKUP(B32,ARTICLES!A:B,2,FALSE),"")</f>
        <v/>
      </c>
      <c r="G32">
        <f>IF(E32="","",E32*F32)</f>
        <v/>
      </c>
    </row>
    <row r="33">
      <c r="C33">
        <f>IFERROR(VLOOKUP(B33,ARTICLES!A:B,2,FALSE),"")</f>
        <v/>
      </c>
      <c r="G33">
        <f>IF(E33="","",E33*F33)</f>
        <v/>
      </c>
    </row>
    <row r="34">
      <c r="C34">
        <f>IFERROR(VLOOKUP(B34,ARTICLES!A:B,2,FALSE),"")</f>
        <v/>
      </c>
      <c r="G34">
        <f>IF(E34="","",E34*F34)</f>
        <v/>
      </c>
    </row>
    <row r="35">
      <c r="C35">
        <f>IFERROR(VLOOKUP(B35,ARTICLES!A:B,2,FALSE),"")</f>
        <v/>
      </c>
      <c r="G35">
        <f>IF(E35="","",E35*F35)</f>
        <v/>
      </c>
    </row>
    <row r="36">
      <c r="C36">
        <f>IFERROR(VLOOKUP(B36,ARTICLES!A:B,2,FALSE),"")</f>
        <v/>
      </c>
      <c r="G36">
        <f>IF(E36="","",E36*F36)</f>
        <v/>
      </c>
    </row>
    <row r="37">
      <c r="C37">
        <f>IFERROR(VLOOKUP(B37,ARTICLES!A:B,2,FALSE),"")</f>
        <v/>
      </c>
      <c r="G37">
        <f>IF(E37="","",E37*F37)</f>
        <v/>
      </c>
    </row>
    <row r="38">
      <c r="C38">
        <f>IFERROR(VLOOKUP(B38,ARTICLES!A:B,2,FALSE),"")</f>
        <v/>
      </c>
      <c r="G38">
        <f>IF(E38="","",E38*F38)</f>
        <v/>
      </c>
    </row>
    <row r="39">
      <c r="C39">
        <f>IFERROR(VLOOKUP(B39,ARTICLES!A:B,2,FALSE),"")</f>
        <v/>
      </c>
      <c r="G39">
        <f>IF(E39="","",E39*F39)</f>
        <v/>
      </c>
    </row>
    <row r="40">
      <c r="C40">
        <f>IFERROR(VLOOKUP(B40,ARTICLES!A:B,2,FALSE),"")</f>
        <v/>
      </c>
      <c r="G40">
        <f>IF(E40="","",E40*F40)</f>
        <v/>
      </c>
    </row>
    <row r="41">
      <c r="C41">
        <f>IFERROR(VLOOKUP(B41,ARTICLES!A:B,2,FALSE),"")</f>
        <v/>
      </c>
      <c r="G41">
        <f>IF(E41="","",E41*F41)</f>
        <v/>
      </c>
    </row>
    <row r="42">
      <c r="C42">
        <f>IFERROR(VLOOKUP(B42,ARTICLES!A:B,2,FALSE),"")</f>
        <v/>
      </c>
      <c r="G42">
        <f>IF(E42="","",E42*F42)</f>
        <v/>
      </c>
    </row>
    <row r="43">
      <c r="C43">
        <f>IFERROR(VLOOKUP(B43,ARTICLES!A:B,2,FALSE),"")</f>
        <v/>
      </c>
      <c r="G43">
        <f>IF(E43="","",E43*F43)</f>
        <v/>
      </c>
    </row>
    <row r="44">
      <c r="C44">
        <f>IFERROR(VLOOKUP(B44,ARTICLES!A:B,2,FALSE),"")</f>
        <v/>
      </c>
      <c r="G44">
        <f>IF(E44="","",E44*F44)</f>
        <v/>
      </c>
    </row>
    <row r="45">
      <c r="C45">
        <f>IFERROR(VLOOKUP(B45,ARTICLES!A:B,2,FALSE),"")</f>
        <v/>
      </c>
      <c r="G45">
        <f>IF(E45="","",E45*F45)</f>
        <v/>
      </c>
    </row>
    <row r="46">
      <c r="C46">
        <f>IFERROR(VLOOKUP(B46,ARTICLES!A:B,2,FALSE),"")</f>
        <v/>
      </c>
      <c r="G46">
        <f>IF(E46="","",E46*F46)</f>
        <v/>
      </c>
    </row>
    <row r="47">
      <c r="C47">
        <f>IFERROR(VLOOKUP(B47,ARTICLES!A:B,2,FALSE),"")</f>
        <v/>
      </c>
      <c r="G47">
        <f>IF(E47="","",E47*F47)</f>
        <v/>
      </c>
    </row>
    <row r="48">
      <c r="C48">
        <f>IFERROR(VLOOKUP(B48,ARTICLES!A:B,2,FALSE),"")</f>
        <v/>
      </c>
      <c r="G48">
        <f>IF(E48="","",E48*F48)</f>
        <v/>
      </c>
    </row>
    <row r="49">
      <c r="C49">
        <f>IFERROR(VLOOKUP(B49,ARTICLES!A:B,2,FALSE),"")</f>
        <v/>
      </c>
      <c r="G49">
        <f>IF(E49="","",E49*F49)</f>
        <v/>
      </c>
    </row>
    <row r="50">
      <c r="C50">
        <f>IFERROR(VLOOKUP(B50,ARTICLES!A:B,2,FALSE),"")</f>
        <v/>
      </c>
      <c r="G50">
        <f>IF(E50="","",E50*F50)</f>
        <v/>
      </c>
    </row>
    <row r="51">
      <c r="C51">
        <f>IFERROR(VLOOKUP(B51,ARTICLES!A:B,2,FALSE),"")</f>
        <v/>
      </c>
      <c r="G51">
        <f>IF(E51="","",E51*F51)</f>
        <v/>
      </c>
    </row>
    <row r="52">
      <c r="C52">
        <f>IFERROR(VLOOKUP(B52,ARTICLES!A:B,2,FALSE),"")</f>
        <v/>
      </c>
      <c r="G52">
        <f>IF(E52="","",E52*F52)</f>
        <v/>
      </c>
    </row>
    <row r="53">
      <c r="C53">
        <f>IFERROR(VLOOKUP(B53,ARTICLES!A:B,2,FALSE),"")</f>
        <v/>
      </c>
      <c r="G53">
        <f>IF(E53="","",E53*F53)</f>
        <v/>
      </c>
    </row>
    <row r="54">
      <c r="C54">
        <f>IFERROR(VLOOKUP(B54,ARTICLES!A:B,2,FALSE),"")</f>
        <v/>
      </c>
      <c r="G54">
        <f>IF(E54="","",E54*F54)</f>
        <v/>
      </c>
    </row>
    <row r="55">
      <c r="C55">
        <f>IFERROR(VLOOKUP(B55,ARTICLES!A:B,2,FALSE),"")</f>
        <v/>
      </c>
      <c r="G55">
        <f>IF(E55="","",E55*F55)</f>
        <v/>
      </c>
    </row>
    <row r="56">
      <c r="C56">
        <f>IFERROR(VLOOKUP(B56,ARTICLES!A:B,2,FALSE),"")</f>
        <v/>
      </c>
      <c r="G56">
        <f>IF(E56="","",E56*F56)</f>
        <v/>
      </c>
    </row>
    <row r="57">
      <c r="C57">
        <f>IFERROR(VLOOKUP(B57,ARTICLES!A:B,2,FALSE),"")</f>
        <v/>
      </c>
      <c r="G57">
        <f>IF(E57="","",E57*F57)</f>
        <v/>
      </c>
    </row>
    <row r="58">
      <c r="C58">
        <f>IFERROR(VLOOKUP(B58,ARTICLES!A:B,2,FALSE),"")</f>
        <v/>
      </c>
      <c r="G58">
        <f>IF(E58="","",E58*F58)</f>
        <v/>
      </c>
    </row>
    <row r="59">
      <c r="C59">
        <f>IFERROR(VLOOKUP(B59,ARTICLES!A:B,2,FALSE),"")</f>
        <v/>
      </c>
      <c r="G59">
        <f>IF(E59="","",E59*F59)</f>
        <v/>
      </c>
    </row>
    <row r="60">
      <c r="C60">
        <f>IFERROR(VLOOKUP(B60,ARTICLES!A:B,2,FALSE),"")</f>
        <v/>
      </c>
      <c r="G60">
        <f>IF(E60="","",E60*F60)</f>
        <v/>
      </c>
    </row>
    <row r="61">
      <c r="C61">
        <f>IFERROR(VLOOKUP(B61,ARTICLES!A:B,2,FALSE),"")</f>
        <v/>
      </c>
      <c r="G61">
        <f>IF(E61="","",E61*F61)</f>
        <v/>
      </c>
    </row>
    <row r="62">
      <c r="C62">
        <f>IFERROR(VLOOKUP(B62,ARTICLES!A:B,2,FALSE),"")</f>
        <v/>
      </c>
      <c r="G62">
        <f>IF(E62="","",E62*F62)</f>
        <v/>
      </c>
    </row>
    <row r="63">
      <c r="C63">
        <f>IFERROR(VLOOKUP(B63,ARTICLES!A:B,2,FALSE),"")</f>
        <v/>
      </c>
      <c r="G63">
        <f>IF(E63="","",E63*F63)</f>
        <v/>
      </c>
    </row>
    <row r="64">
      <c r="C64">
        <f>IFERROR(VLOOKUP(B64,ARTICLES!A:B,2,FALSE),"")</f>
        <v/>
      </c>
      <c r="G64">
        <f>IF(E64="","",E64*F64)</f>
        <v/>
      </c>
    </row>
    <row r="65">
      <c r="C65">
        <f>IFERROR(VLOOKUP(B65,ARTICLES!A:B,2,FALSE),"")</f>
        <v/>
      </c>
      <c r="G65">
        <f>IF(E65="","",E65*F65)</f>
        <v/>
      </c>
    </row>
    <row r="66">
      <c r="C66">
        <f>IFERROR(VLOOKUP(B66,ARTICLES!A:B,2,FALSE),"")</f>
        <v/>
      </c>
      <c r="G66">
        <f>IF(E66="","",E66*F66)</f>
        <v/>
      </c>
    </row>
    <row r="67">
      <c r="C67">
        <f>IFERROR(VLOOKUP(B67,ARTICLES!A:B,2,FALSE),"")</f>
        <v/>
      </c>
      <c r="G67">
        <f>IF(E67="","",E67*F67)</f>
        <v/>
      </c>
    </row>
    <row r="68">
      <c r="C68">
        <f>IFERROR(VLOOKUP(B68,ARTICLES!A:B,2,FALSE),"")</f>
        <v/>
      </c>
      <c r="G68">
        <f>IF(E68="","",E68*F68)</f>
        <v/>
      </c>
    </row>
    <row r="69">
      <c r="C69">
        <f>IFERROR(VLOOKUP(B69,ARTICLES!A:B,2,FALSE),"")</f>
        <v/>
      </c>
      <c r="G69">
        <f>IF(E69="","",E69*F69)</f>
        <v/>
      </c>
    </row>
    <row r="70">
      <c r="C70">
        <f>IFERROR(VLOOKUP(B70,ARTICLES!A:B,2,FALSE),"")</f>
        <v/>
      </c>
      <c r="G70">
        <f>IF(E70="","",E70*F70)</f>
        <v/>
      </c>
    </row>
    <row r="71">
      <c r="C71">
        <f>IFERROR(VLOOKUP(B71,ARTICLES!A:B,2,FALSE),"")</f>
        <v/>
      </c>
      <c r="G71">
        <f>IF(E71="","",E71*F71)</f>
        <v/>
      </c>
    </row>
    <row r="72">
      <c r="C72">
        <f>IFERROR(VLOOKUP(B72,ARTICLES!A:B,2,FALSE),"")</f>
        <v/>
      </c>
      <c r="G72">
        <f>IF(E72="","",E72*F72)</f>
        <v/>
      </c>
    </row>
    <row r="73">
      <c r="C73">
        <f>IFERROR(VLOOKUP(B73,ARTICLES!A:B,2,FALSE),"")</f>
        <v/>
      </c>
      <c r="G73">
        <f>IF(E73="","",E73*F73)</f>
        <v/>
      </c>
    </row>
    <row r="74">
      <c r="C74">
        <f>IFERROR(VLOOKUP(B74,ARTICLES!A:B,2,FALSE),"")</f>
        <v/>
      </c>
      <c r="G74">
        <f>IF(E74="","",E74*F74)</f>
        <v/>
      </c>
    </row>
    <row r="75">
      <c r="C75">
        <f>IFERROR(VLOOKUP(B75,ARTICLES!A:B,2,FALSE),"")</f>
        <v/>
      </c>
      <c r="G75">
        <f>IF(E75="","",E75*F75)</f>
        <v/>
      </c>
    </row>
    <row r="76">
      <c r="C76">
        <f>IFERROR(VLOOKUP(B76,ARTICLES!A:B,2,FALSE),"")</f>
        <v/>
      </c>
      <c r="G76">
        <f>IF(E76="","",E76*F76)</f>
        <v/>
      </c>
    </row>
    <row r="77">
      <c r="C77">
        <f>IFERROR(VLOOKUP(B77,ARTICLES!A:B,2,FALSE),"")</f>
        <v/>
      </c>
      <c r="G77">
        <f>IF(E77="","",E77*F77)</f>
        <v/>
      </c>
    </row>
    <row r="78">
      <c r="C78">
        <f>IFERROR(VLOOKUP(B78,ARTICLES!A:B,2,FALSE),"")</f>
        <v/>
      </c>
      <c r="G78">
        <f>IF(E78="","",E78*F78)</f>
        <v/>
      </c>
    </row>
    <row r="79">
      <c r="C79">
        <f>IFERROR(VLOOKUP(B79,ARTICLES!A:B,2,FALSE),"")</f>
        <v/>
      </c>
      <c r="G79">
        <f>IF(E79="","",E79*F79)</f>
        <v/>
      </c>
    </row>
    <row r="80">
      <c r="C80">
        <f>IFERROR(VLOOKUP(B80,ARTICLES!A:B,2,FALSE),"")</f>
        <v/>
      </c>
      <c r="G80">
        <f>IF(E80="","",E80*F80)</f>
        <v/>
      </c>
    </row>
    <row r="81">
      <c r="C81">
        <f>IFERROR(VLOOKUP(B81,ARTICLES!A:B,2,FALSE),"")</f>
        <v/>
      </c>
      <c r="G81">
        <f>IF(E81="","",E81*F81)</f>
        <v/>
      </c>
    </row>
    <row r="82">
      <c r="C82">
        <f>IFERROR(VLOOKUP(B82,ARTICLES!A:B,2,FALSE),"")</f>
        <v/>
      </c>
      <c r="G82">
        <f>IF(E82="","",E82*F82)</f>
        <v/>
      </c>
    </row>
    <row r="83">
      <c r="C83">
        <f>IFERROR(VLOOKUP(B83,ARTICLES!A:B,2,FALSE),"")</f>
        <v/>
      </c>
      <c r="G83">
        <f>IF(E83="","",E83*F83)</f>
        <v/>
      </c>
    </row>
    <row r="84">
      <c r="C84">
        <f>IFERROR(VLOOKUP(B84,ARTICLES!A:B,2,FALSE),"")</f>
        <v/>
      </c>
      <c r="G84">
        <f>IF(E84="","",E84*F84)</f>
        <v/>
      </c>
    </row>
    <row r="85">
      <c r="C85">
        <f>IFERROR(VLOOKUP(B85,ARTICLES!A:B,2,FALSE),"")</f>
        <v/>
      </c>
      <c r="G85">
        <f>IF(E85="","",E85*F85)</f>
        <v/>
      </c>
    </row>
    <row r="86">
      <c r="C86">
        <f>IFERROR(VLOOKUP(B86,ARTICLES!A:B,2,FALSE),"")</f>
        <v/>
      </c>
      <c r="G86">
        <f>IF(E86="","",E86*F86)</f>
        <v/>
      </c>
    </row>
    <row r="87">
      <c r="C87">
        <f>IFERROR(VLOOKUP(B87,ARTICLES!A:B,2,FALSE),"")</f>
        <v/>
      </c>
      <c r="G87">
        <f>IF(E87="","",E87*F87)</f>
        <v/>
      </c>
    </row>
    <row r="88">
      <c r="C88">
        <f>IFERROR(VLOOKUP(B88,ARTICLES!A:B,2,FALSE),"")</f>
        <v/>
      </c>
      <c r="G88">
        <f>IF(E88="","",E88*F88)</f>
        <v/>
      </c>
    </row>
    <row r="89">
      <c r="C89">
        <f>IFERROR(VLOOKUP(B89,ARTICLES!A:B,2,FALSE),"")</f>
        <v/>
      </c>
      <c r="G89">
        <f>IF(E89="","",E89*F89)</f>
        <v/>
      </c>
    </row>
    <row r="90">
      <c r="C90">
        <f>IFERROR(VLOOKUP(B90,ARTICLES!A:B,2,FALSE),"")</f>
        <v/>
      </c>
      <c r="G90">
        <f>IF(E90="","",E90*F90)</f>
        <v/>
      </c>
    </row>
    <row r="91">
      <c r="C91">
        <f>IFERROR(VLOOKUP(B91,ARTICLES!A:B,2,FALSE),"")</f>
        <v/>
      </c>
      <c r="G91">
        <f>IF(E91="","",E91*F91)</f>
        <v/>
      </c>
    </row>
    <row r="92">
      <c r="C92">
        <f>IFERROR(VLOOKUP(B92,ARTICLES!A:B,2,FALSE),"")</f>
        <v/>
      </c>
      <c r="G92">
        <f>IF(E92="","",E92*F92)</f>
        <v/>
      </c>
    </row>
    <row r="93">
      <c r="C93">
        <f>IFERROR(VLOOKUP(B93,ARTICLES!A:B,2,FALSE),"")</f>
        <v/>
      </c>
      <c r="G93">
        <f>IF(E93="","",E93*F93)</f>
        <v/>
      </c>
    </row>
    <row r="94">
      <c r="C94">
        <f>IFERROR(VLOOKUP(B94,ARTICLES!A:B,2,FALSE),"")</f>
        <v/>
      </c>
      <c r="G94">
        <f>IF(E94="","",E94*F94)</f>
        <v/>
      </c>
    </row>
    <row r="95">
      <c r="C95">
        <f>IFERROR(VLOOKUP(B95,ARTICLES!A:B,2,FALSE),"")</f>
        <v/>
      </c>
      <c r="G95">
        <f>IF(E95="","",E95*F95)</f>
        <v/>
      </c>
    </row>
    <row r="96">
      <c r="C96">
        <f>IFERROR(VLOOKUP(B96,ARTICLES!A:B,2,FALSE),"")</f>
        <v/>
      </c>
      <c r="G96">
        <f>IF(E96="","",E96*F96)</f>
        <v/>
      </c>
    </row>
    <row r="97">
      <c r="C97">
        <f>IFERROR(VLOOKUP(B97,ARTICLES!A:B,2,FALSE),"")</f>
        <v/>
      </c>
      <c r="G97">
        <f>IF(E97="","",E97*F97)</f>
        <v/>
      </c>
    </row>
    <row r="98">
      <c r="C98">
        <f>IFERROR(VLOOKUP(B98,ARTICLES!A:B,2,FALSE),"")</f>
        <v/>
      </c>
      <c r="G98">
        <f>IF(E98="","",E98*F98)</f>
        <v/>
      </c>
    </row>
    <row r="99">
      <c r="C99">
        <f>IFERROR(VLOOKUP(B99,ARTICLES!A:B,2,FALSE),"")</f>
        <v/>
      </c>
      <c r="G99">
        <f>IF(E99="","",E99*F99)</f>
        <v/>
      </c>
    </row>
    <row r="100">
      <c r="C100">
        <f>IFERROR(VLOOKUP(B100,ARTICLES!A:B,2,FALSE),"")</f>
        <v/>
      </c>
      <c r="G100">
        <f>IF(E100="","",E100*F100)</f>
        <v/>
      </c>
    </row>
    <row r="101">
      <c r="C101">
        <f>IFERROR(VLOOKUP(B101,ARTICLES!A:B,2,FALSE),"")</f>
        <v/>
      </c>
      <c r="G101">
        <f>IF(E101="","",E101*F101)</f>
        <v/>
      </c>
    </row>
    <row r="102">
      <c r="C102">
        <f>IFERROR(VLOOKUP(B102,ARTICLES!A:B,2,FALSE),"")</f>
        <v/>
      </c>
      <c r="G102">
        <f>IF(E102="","",E102*F102)</f>
        <v/>
      </c>
    </row>
    <row r="103">
      <c r="C103">
        <f>IFERROR(VLOOKUP(B103,ARTICLES!A:B,2,FALSE),"")</f>
        <v/>
      </c>
      <c r="G103">
        <f>IF(E103="","",E103*F103)</f>
        <v/>
      </c>
    </row>
    <row r="104">
      <c r="C104">
        <f>IFERROR(VLOOKUP(B104,ARTICLES!A:B,2,FALSE),"")</f>
        <v/>
      </c>
      <c r="G104">
        <f>IF(E104="","",E104*F104)</f>
        <v/>
      </c>
    </row>
    <row r="105">
      <c r="C105">
        <f>IFERROR(VLOOKUP(B105,ARTICLES!A:B,2,FALSE),"")</f>
        <v/>
      </c>
      <c r="G105">
        <f>IF(E105="","",E105*F105)</f>
        <v/>
      </c>
    </row>
    <row r="106">
      <c r="C106">
        <f>IFERROR(VLOOKUP(B106,ARTICLES!A:B,2,FALSE),"")</f>
        <v/>
      </c>
      <c r="G106">
        <f>IF(E106="","",E106*F106)</f>
        <v/>
      </c>
    </row>
    <row r="107">
      <c r="C107">
        <f>IFERROR(VLOOKUP(B107,ARTICLES!A:B,2,FALSE),"")</f>
        <v/>
      </c>
      <c r="G107">
        <f>IF(E107="","",E107*F107)</f>
        <v/>
      </c>
    </row>
    <row r="108">
      <c r="C108">
        <f>IFERROR(VLOOKUP(B108,ARTICLES!A:B,2,FALSE),"")</f>
        <v/>
      </c>
      <c r="G108">
        <f>IF(E108="","",E108*F108)</f>
        <v/>
      </c>
    </row>
    <row r="109">
      <c r="C109">
        <f>IFERROR(VLOOKUP(B109,ARTICLES!A:B,2,FALSE),"")</f>
        <v/>
      </c>
      <c r="G109">
        <f>IF(E109="","",E109*F109)</f>
        <v/>
      </c>
    </row>
    <row r="110">
      <c r="C110">
        <f>IFERROR(VLOOKUP(B110,ARTICLES!A:B,2,FALSE),"")</f>
        <v/>
      </c>
      <c r="G110">
        <f>IF(E110="","",E110*F110)</f>
        <v/>
      </c>
    </row>
    <row r="111">
      <c r="C111">
        <f>IFERROR(VLOOKUP(B111,ARTICLES!A:B,2,FALSE),"")</f>
        <v/>
      </c>
      <c r="G111">
        <f>IF(E111="","",E111*F111)</f>
        <v/>
      </c>
    </row>
    <row r="112">
      <c r="C112">
        <f>IFERROR(VLOOKUP(B112,ARTICLES!A:B,2,FALSE),"")</f>
        <v/>
      </c>
      <c r="G112">
        <f>IF(E112="","",E112*F112)</f>
        <v/>
      </c>
    </row>
    <row r="113">
      <c r="C113">
        <f>IFERROR(VLOOKUP(B113,ARTICLES!A:B,2,FALSE),"")</f>
        <v/>
      </c>
      <c r="G113">
        <f>IF(E113="","",E113*F113)</f>
        <v/>
      </c>
    </row>
    <row r="114">
      <c r="C114">
        <f>IFERROR(VLOOKUP(B114,ARTICLES!A:B,2,FALSE),"")</f>
        <v/>
      </c>
      <c r="G114">
        <f>IF(E114="","",E114*F114)</f>
        <v/>
      </c>
    </row>
    <row r="115">
      <c r="C115">
        <f>IFERROR(VLOOKUP(B115,ARTICLES!A:B,2,FALSE),"")</f>
        <v/>
      </c>
      <c r="G115">
        <f>IF(E115="","",E115*F115)</f>
        <v/>
      </c>
    </row>
    <row r="116">
      <c r="C116">
        <f>IFERROR(VLOOKUP(B116,ARTICLES!A:B,2,FALSE),"")</f>
        <v/>
      </c>
      <c r="G116">
        <f>IF(E116="","",E116*F116)</f>
        <v/>
      </c>
    </row>
    <row r="117">
      <c r="C117">
        <f>IFERROR(VLOOKUP(B117,ARTICLES!A:B,2,FALSE),"")</f>
        <v/>
      </c>
      <c r="G117">
        <f>IF(E117="","",E117*F117)</f>
        <v/>
      </c>
    </row>
    <row r="118">
      <c r="C118">
        <f>IFERROR(VLOOKUP(B118,ARTICLES!A:B,2,FALSE),"")</f>
        <v/>
      </c>
      <c r="G118">
        <f>IF(E118="","",E118*F118)</f>
        <v/>
      </c>
    </row>
    <row r="119">
      <c r="C119">
        <f>IFERROR(VLOOKUP(B119,ARTICLES!A:B,2,FALSE),"")</f>
        <v/>
      </c>
      <c r="G119">
        <f>IF(E119="","",E119*F119)</f>
        <v/>
      </c>
    </row>
    <row r="120">
      <c r="C120">
        <f>IFERROR(VLOOKUP(B120,ARTICLES!A:B,2,FALSE),"")</f>
        <v/>
      </c>
      <c r="G120">
        <f>IF(E120="","",E120*F120)</f>
        <v/>
      </c>
    </row>
    <row r="121">
      <c r="C121">
        <f>IFERROR(VLOOKUP(B121,ARTICLES!A:B,2,FALSE),"")</f>
        <v/>
      </c>
      <c r="G121">
        <f>IF(E121="","",E121*F121)</f>
        <v/>
      </c>
    </row>
    <row r="122">
      <c r="C122">
        <f>IFERROR(VLOOKUP(B122,ARTICLES!A:B,2,FALSE),"")</f>
        <v/>
      </c>
      <c r="G122">
        <f>IF(E122="","",E122*F122)</f>
        <v/>
      </c>
    </row>
    <row r="123">
      <c r="C123">
        <f>IFERROR(VLOOKUP(B123,ARTICLES!A:B,2,FALSE),"")</f>
        <v/>
      </c>
      <c r="G123">
        <f>IF(E123="","",E123*F123)</f>
        <v/>
      </c>
    </row>
    <row r="124">
      <c r="C124">
        <f>IFERROR(VLOOKUP(B124,ARTICLES!A:B,2,FALSE),"")</f>
        <v/>
      </c>
      <c r="G124">
        <f>IF(E124="","",E124*F124)</f>
        <v/>
      </c>
    </row>
    <row r="125">
      <c r="C125">
        <f>IFERROR(VLOOKUP(B125,ARTICLES!A:B,2,FALSE),"")</f>
        <v/>
      </c>
      <c r="G125">
        <f>IF(E125="","",E125*F125)</f>
        <v/>
      </c>
    </row>
    <row r="126">
      <c r="C126">
        <f>IFERROR(VLOOKUP(B126,ARTICLES!A:B,2,FALSE),"")</f>
        <v/>
      </c>
      <c r="G126">
        <f>IF(E126="","",E126*F126)</f>
        <v/>
      </c>
    </row>
    <row r="127">
      <c r="C127">
        <f>IFERROR(VLOOKUP(B127,ARTICLES!A:B,2,FALSE),"")</f>
        <v/>
      </c>
      <c r="G127">
        <f>IF(E127="","",E127*F127)</f>
        <v/>
      </c>
    </row>
    <row r="128">
      <c r="C128">
        <f>IFERROR(VLOOKUP(B128,ARTICLES!A:B,2,FALSE),"")</f>
        <v/>
      </c>
      <c r="G128">
        <f>IF(E128="","",E128*F128)</f>
        <v/>
      </c>
    </row>
    <row r="129">
      <c r="C129">
        <f>IFERROR(VLOOKUP(B129,ARTICLES!A:B,2,FALSE),"")</f>
        <v/>
      </c>
      <c r="G129">
        <f>IF(E129="","",E129*F129)</f>
        <v/>
      </c>
    </row>
    <row r="130">
      <c r="C130">
        <f>IFERROR(VLOOKUP(B130,ARTICLES!A:B,2,FALSE),"")</f>
        <v/>
      </c>
      <c r="G130">
        <f>IF(E130="","",E130*F130)</f>
        <v/>
      </c>
    </row>
    <row r="131">
      <c r="C131">
        <f>IFERROR(VLOOKUP(B131,ARTICLES!A:B,2,FALSE),"")</f>
        <v/>
      </c>
      <c r="G131">
        <f>IF(E131="","",E131*F131)</f>
        <v/>
      </c>
    </row>
    <row r="132">
      <c r="C132">
        <f>IFERROR(VLOOKUP(B132,ARTICLES!A:B,2,FALSE),"")</f>
        <v/>
      </c>
      <c r="G132">
        <f>IF(E132="","",E132*F132)</f>
        <v/>
      </c>
    </row>
    <row r="133">
      <c r="C133">
        <f>IFERROR(VLOOKUP(B133,ARTICLES!A:B,2,FALSE),"")</f>
        <v/>
      </c>
      <c r="G133">
        <f>IF(E133="","",E133*F133)</f>
        <v/>
      </c>
    </row>
    <row r="134">
      <c r="C134">
        <f>IFERROR(VLOOKUP(B134,ARTICLES!A:B,2,FALSE),"")</f>
        <v/>
      </c>
      <c r="G134">
        <f>IF(E134="","",E134*F134)</f>
        <v/>
      </c>
    </row>
    <row r="135">
      <c r="C135">
        <f>IFERROR(VLOOKUP(B135,ARTICLES!A:B,2,FALSE),"")</f>
        <v/>
      </c>
      <c r="G135">
        <f>IF(E135="","",E135*F135)</f>
        <v/>
      </c>
    </row>
    <row r="136">
      <c r="C136">
        <f>IFERROR(VLOOKUP(B136,ARTICLES!A:B,2,FALSE),"")</f>
        <v/>
      </c>
      <c r="G136">
        <f>IF(E136="","",E136*F136)</f>
        <v/>
      </c>
    </row>
    <row r="137">
      <c r="C137">
        <f>IFERROR(VLOOKUP(B137,ARTICLES!A:B,2,FALSE),"")</f>
        <v/>
      </c>
      <c r="G137">
        <f>IF(E137="","",E137*F137)</f>
        <v/>
      </c>
    </row>
    <row r="138">
      <c r="C138">
        <f>IFERROR(VLOOKUP(B138,ARTICLES!A:B,2,FALSE),"")</f>
        <v/>
      </c>
      <c r="G138">
        <f>IF(E138="","",E138*F138)</f>
        <v/>
      </c>
    </row>
    <row r="139">
      <c r="C139">
        <f>IFERROR(VLOOKUP(B139,ARTICLES!A:B,2,FALSE),"")</f>
        <v/>
      </c>
      <c r="G139">
        <f>IF(E139="","",E139*F139)</f>
        <v/>
      </c>
    </row>
    <row r="140">
      <c r="C140">
        <f>IFERROR(VLOOKUP(B140,ARTICLES!A:B,2,FALSE),"")</f>
        <v/>
      </c>
      <c r="G140">
        <f>IF(E140="","",E140*F140)</f>
        <v/>
      </c>
    </row>
    <row r="141">
      <c r="C141">
        <f>IFERROR(VLOOKUP(B141,ARTICLES!A:B,2,FALSE),"")</f>
        <v/>
      </c>
      <c r="G141">
        <f>IF(E141="","",E141*F141)</f>
        <v/>
      </c>
    </row>
    <row r="142">
      <c r="C142">
        <f>IFERROR(VLOOKUP(B142,ARTICLES!A:B,2,FALSE),"")</f>
        <v/>
      </c>
      <c r="G142">
        <f>IF(E142="","",E142*F142)</f>
        <v/>
      </c>
    </row>
    <row r="143">
      <c r="C143">
        <f>IFERROR(VLOOKUP(B143,ARTICLES!A:B,2,FALSE),"")</f>
        <v/>
      </c>
      <c r="G143">
        <f>IF(E143="","",E143*F143)</f>
        <v/>
      </c>
    </row>
    <row r="144">
      <c r="C144">
        <f>IFERROR(VLOOKUP(B144,ARTICLES!A:B,2,FALSE),"")</f>
        <v/>
      </c>
      <c r="G144">
        <f>IF(E144="","",E144*F144)</f>
        <v/>
      </c>
    </row>
    <row r="145">
      <c r="C145">
        <f>IFERROR(VLOOKUP(B145,ARTICLES!A:B,2,FALSE),"")</f>
        <v/>
      </c>
      <c r="G145">
        <f>IF(E145="","",E145*F145)</f>
        <v/>
      </c>
    </row>
    <row r="146">
      <c r="C146">
        <f>IFERROR(VLOOKUP(B146,ARTICLES!A:B,2,FALSE),"")</f>
        <v/>
      </c>
      <c r="G146">
        <f>IF(E146="","",E146*F146)</f>
        <v/>
      </c>
    </row>
    <row r="147">
      <c r="C147">
        <f>IFERROR(VLOOKUP(B147,ARTICLES!A:B,2,FALSE),"")</f>
        <v/>
      </c>
      <c r="G147">
        <f>IF(E147="","",E147*F147)</f>
        <v/>
      </c>
    </row>
    <row r="148">
      <c r="C148">
        <f>IFERROR(VLOOKUP(B148,ARTICLES!A:B,2,FALSE),"")</f>
        <v/>
      </c>
      <c r="G148">
        <f>IF(E148="","",E148*F148)</f>
        <v/>
      </c>
    </row>
    <row r="149">
      <c r="C149">
        <f>IFERROR(VLOOKUP(B149,ARTICLES!A:B,2,FALSE),"")</f>
        <v/>
      </c>
      <c r="G149">
        <f>IF(E149="","",E149*F149)</f>
        <v/>
      </c>
    </row>
    <row r="150">
      <c r="C150">
        <f>IFERROR(VLOOKUP(B150,ARTICLES!A:B,2,FALSE),"")</f>
        <v/>
      </c>
      <c r="G150">
        <f>IF(E150="","",E150*F150)</f>
        <v/>
      </c>
    </row>
    <row r="151">
      <c r="C151">
        <f>IFERROR(VLOOKUP(B151,ARTICLES!A:B,2,FALSE),"")</f>
        <v/>
      </c>
      <c r="G151">
        <f>IF(E151="","",E151*F151)</f>
        <v/>
      </c>
    </row>
    <row r="152">
      <c r="C152">
        <f>IFERROR(VLOOKUP(B152,ARTICLES!A:B,2,FALSE),"")</f>
        <v/>
      </c>
      <c r="G152">
        <f>IF(E152="","",E152*F152)</f>
        <v/>
      </c>
    </row>
    <row r="153">
      <c r="C153">
        <f>IFERROR(VLOOKUP(B153,ARTICLES!A:B,2,FALSE),"")</f>
        <v/>
      </c>
      <c r="G153">
        <f>IF(E153="","",E153*F153)</f>
        <v/>
      </c>
    </row>
    <row r="154">
      <c r="C154">
        <f>IFERROR(VLOOKUP(B154,ARTICLES!A:B,2,FALSE),"")</f>
        <v/>
      </c>
      <c r="G154">
        <f>IF(E154="","",E154*F154)</f>
        <v/>
      </c>
    </row>
    <row r="155">
      <c r="C155">
        <f>IFERROR(VLOOKUP(B155,ARTICLES!A:B,2,FALSE),"")</f>
        <v/>
      </c>
      <c r="G155">
        <f>IF(E155="","",E155*F155)</f>
        <v/>
      </c>
    </row>
    <row r="156">
      <c r="C156">
        <f>IFERROR(VLOOKUP(B156,ARTICLES!A:B,2,FALSE),"")</f>
        <v/>
      </c>
      <c r="G156">
        <f>IF(E156="","",E156*F156)</f>
        <v/>
      </c>
    </row>
    <row r="157">
      <c r="C157">
        <f>IFERROR(VLOOKUP(B157,ARTICLES!A:B,2,FALSE),"")</f>
        <v/>
      </c>
      <c r="G157">
        <f>IF(E157="","",E157*F157)</f>
        <v/>
      </c>
    </row>
    <row r="158">
      <c r="C158">
        <f>IFERROR(VLOOKUP(B158,ARTICLES!A:B,2,FALSE),"")</f>
        <v/>
      </c>
      <c r="G158">
        <f>IF(E158="","",E158*F158)</f>
        <v/>
      </c>
    </row>
    <row r="159">
      <c r="C159">
        <f>IFERROR(VLOOKUP(B159,ARTICLES!A:B,2,FALSE),"")</f>
        <v/>
      </c>
      <c r="G159">
        <f>IF(E159="","",E159*F159)</f>
        <v/>
      </c>
    </row>
    <row r="160">
      <c r="C160">
        <f>IFERROR(VLOOKUP(B160,ARTICLES!A:B,2,FALSE),"")</f>
        <v/>
      </c>
      <c r="G160">
        <f>IF(E160="","",E160*F160)</f>
        <v/>
      </c>
    </row>
    <row r="161">
      <c r="C161">
        <f>IFERROR(VLOOKUP(B161,ARTICLES!A:B,2,FALSE),"")</f>
        <v/>
      </c>
      <c r="G161">
        <f>IF(E161="","",E161*F161)</f>
        <v/>
      </c>
    </row>
    <row r="162">
      <c r="C162">
        <f>IFERROR(VLOOKUP(B162,ARTICLES!A:B,2,FALSE),"")</f>
        <v/>
      </c>
      <c r="G162">
        <f>IF(E162="","",E162*F162)</f>
        <v/>
      </c>
    </row>
    <row r="163">
      <c r="C163">
        <f>IFERROR(VLOOKUP(B163,ARTICLES!A:B,2,FALSE),"")</f>
        <v/>
      </c>
      <c r="G163">
        <f>IF(E163="","",E163*F163)</f>
        <v/>
      </c>
    </row>
    <row r="164">
      <c r="C164">
        <f>IFERROR(VLOOKUP(B164,ARTICLES!A:B,2,FALSE),"")</f>
        <v/>
      </c>
      <c r="G164">
        <f>IF(E164="","",E164*F164)</f>
        <v/>
      </c>
    </row>
    <row r="165">
      <c r="C165">
        <f>IFERROR(VLOOKUP(B165,ARTICLES!A:B,2,FALSE),"")</f>
        <v/>
      </c>
      <c r="G165">
        <f>IF(E165="","",E165*F165)</f>
        <v/>
      </c>
    </row>
    <row r="166">
      <c r="C166">
        <f>IFERROR(VLOOKUP(B166,ARTICLES!A:B,2,FALSE),"")</f>
        <v/>
      </c>
      <c r="G166">
        <f>IF(E166="","",E166*F166)</f>
        <v/>
      </c>
    </row>
    <row r="167">
      <c r="C167">
        <f>IFERROR(VLOOKUP(B167,ARTICLES!A:B,2,FALSE),"")</f>
        <v/>
      </c>
      <c r="G167">
        <f>IF(E167="","",E167*F167)</f>
        <v/>
      </c>
    </row>
    <row r="168">
      <c r="C168">
        <f>IFERROR(VLOOKUP(B168,ARTICLES!A:B,2,FALSE),"")</f>
        <v/>
      </c>
      <c r="G168">
        <f>IF(E168="","",E168*F168)</f>
        <v/>
      </c>
    </row>
    <row r="169">
      <c r="C169">
        <f>IFERROR(VLOOKUP(B169,ARTICLES!A:B,2,FALSE),"")</f>
        <v/>
      </c>
      <c r="G169">
        <f>IF(E169="","",E169*F169)</f>
        <v/>
      </c>
    </row>
    <row r="170">
      <c r="C170">
        <f>IFERROR(VLOOKUP(B170,ARTICLES!A:B,2,FALSE),"")</f>
        <v/>
      </c>
      <c r="G170">
        <f>IF(E170="","",E170*F170)</f>
        <v/>
      </c>
    </row>
    <row r="171">
      <c r="C171">
        <f>IFERROR(VLOOKUP(B171,ARTICLES!A:B,2,FALSE),"")</f>
        <v/>
      </c>
      <c r="G171">
        <f>IF(E171="","",E171*F171)</f>
        <v/>
      </c>
    </row>
    <row r="172">
      <c r="C172">
        <f>IFERROR(VLOOKUP(B172,ARTICLES!A:B,2,FALSE),"")</f>
        <v/>
      </c>
      <c r="G172">
        <f>IF(E172="","",E172*F172)</f>
        <v/>
      </c>
    </row>
    <row r="173">
      <c r="C173">
        <f>IFERROR(VLOOKUP(B173,ARTICLES!A:B,2,FALSE),"")</f>
        <v/>
      </c>
      <c r="G173">
        <f>IF(E173="","",E173*F173)</f>
        <v/>
      </c>
    </row>
    <row r="174">
      <c r="C174">
        <f>IFERROR(VLOOKUP(B174,ARTICLES!A:B,2,FALSE),"")</f>
        <v/>
      </c>
      <c r="G174">
        <f>IF(E174="","",E174*F174)</f>
        <v/>
      </c>
    </row>
    <row r="175">
      <c r="C175">
        <f>IFERROR(VLOOKUP(B175,ARTICLES!A:B,2,FALSE),"")</f>
        <v/>
      </c>
      <c r="G175">
        <f>IF(E175="","",E175*F175)</f>
        <v/>
      </c>
    </row>
    <row r="176">
      <c r="C176">
        <f>IFERROR(VLOOKUP(B176,ARTICLES!A:B,2,FALSE),"")</f>
        <v/>
      </c>
      <c r="G176">
        <f>IF(E176="","",E176*F176)</f>
        <v/>
      </c>
    </row>
    <row r="177">
      <c r="C177">
        <f>IFERROR(VLOOKUP(B177,ARTICLES!A:B,2,FALSE),"")</f>
        <v/>
      </c>
      <c r="G177">
        <f>IF(E177="","",E177*F177)</f>
        <v/>
      </c>
    </row>
    <row r="178">
      <c r="C178">
        <f>IFERROR(VLOOKUP(B178,ARTICLES!A:B,2,FALSE),"")</f>
        <v/>
      </c>
      <c r="G178">
        <f>IF(E178="","",E178*F178)</f>
        <v/>
      </c>
    </row>
    <row r="179">
      <c r="C179">
        <f>IFERROR(VLOOKUP(B179,ARTICLES!A:B,2,FALSE),"")</f>
        <v/>
      </c>
      <c r="G179">
        <f>IF(E179="","",E179*F179)</f>
        <v/>
      </c>
    </row>
    <row r="180">
      <c r="C180">
        <f>IFERROR(VLOOKUP(B180,ARTICLES!A:B,2,FALSE),"")</f>
        <v/>
      </c>
      <c r="G180">
        <f>IF(E180="","",E180*F180)</f>
        <v/>
      </c>
    </row>
    <row r="181">
      <c r="C181">
        <f>IFERROR(VLOOKUP(B181,ARTICLES!A:B,2,FALSE),"")</f>
        <v/>
      </c>
      <c r="G181">
        <f>IF(E181="","",E181*F181)</f>
        <v/>
      </c>
    </row>
    <row r="182">
      <c r="C182">
        <f>IFERROR(VLOOKUP(B182,ARTICLES!A:B,2,FALSE),"")</f>
        <v/>
      </c>
      <c r="G182">
        <f>IF(E182="","",E182*F182)</f>
        <v/>
      </c>
    </row>
    <row r="183">
      <c r="C183">
        <f>IFERROR(VLOOKUP(B183,ARTICLES!A:B,2,FALSE),"")</f>
        <v/>
      </c>
      <c r="G183">
        <f>IF(E183="","",E183*F183)</f>
        <v/>
      </c>
    </row>
    <row r="184">
      <c r="C184">
        <f>IFERROR(VLOOKUP(B184,ARTICLES!A:B,2,FALSE),"")</f>
        <v/>
      </c>
      <c r="G184">
        <f>IF(E184="","",E184*F184)</f>
        <v/>
      </c>
    </row>
    <row r="185">
      <c r="C185">
        <f>IFERROR(VLOOKUP(B185,ARTICLES!A:B,2,FALSE),"")</f>
        <v/>
      </c>
      <c r="G185">
        <f>IF(E185="","",E185*F185)</f>
        <v/>
      </c>
    </row>
    <row r="186">
      <c r="C186">
        <f>IFERROR(VLOOKUP(B186,ARTICLES!A:B,2,FALSE),"")</f>
        <v/>
      </c>
      <c r="G186">
        <f>IF(E186="","",E186*F186)</f>
        <v/>
      </c>
    </row>
    <row r="187">
      <c r="C187">
        <f>IFERROR(VLOOKUP(B187,ARTICLES!A:B,2,FALSE),"")</f>
        <v/>
      </c>
      <c r="G187">
        <f>IF(E187="","",E187*F187)</f>
        <v/>
      </c>
    </row>
    <row r="188">
      <c r="C188">
        <f>IFERROR(VLOOKUP(B188,ARTICLES!A:B,2,FALSE),"")</f>
        <v/>
      </c>
      <c r="G188">
        <f>IF(E188="","",E188*F188)</f>
        <v/>
      </c>
    </row>
    <row r="189">
      <c r="C189">
        <f>IFERROR(VLOOKUP(B189,ARTICLES!A:B,2,FALSE),"")</f>
        <v/>
      </c>
      <c r="G189">
        <f>IF(E189="","",E189*F189)</f>
        <v/>
      </c>
    </row>
    <row r="190">
      <c r="C190">
        <f>IFERROR(VLOOKUP(B190,ARTICLES!A:B,2,FALSE),"")</f>
        <v/>
      </c>
      <c r="G190">
        <f>IF(E190="","",E190*F190)</f>
        <v/>
      </c>
    </row>
    <row r="191">
      <c r="C191">
        <f>IFERROR(VLOOKUP(B191,ARTICLES!A:B,2,FALSE),"")</f>
        <v/>
      </c>
      <c r="G191">
        <f>IF(E191="","",E191*F191)</f>
        <v/>
      </c>
    </row>
    <row r="192">
      <c r="C192">
        <f>IFERROR(VLOOKUP(B192,ARTICLES!A:B,2,FALSE),"")</f>
        <v/>
      </c>
      <c r="G192">
        <f>IF(E192="","",E192*F192)</f>
        <v/>
      </c>
    </row>
    <row r="193">
      <c r="C193">
        <f>IFERROR(VLOOKUP(B193,ARTICLES!A:B,2,FALSE),"")</f>
        <v/>
      </c>
      <c r="G193">
        <f>IF(E193="","",E193*F193)</f>
        <v/>
      </c>
    </row>
    <row r="194">
      <c r="C194">
        <f>IFERROR(VLOOKUP(B194,ARTICLES!A:B,2,FALSE),"")</f>
        <v/>
      </c>
      <c r="G194">
        <f>IF(E194="","",E194*F194)</f>
        <v/>
      </c>
    </row>
    <row r="195">
      <c r="C195">
        <f>IFERROR(VLOOKUP(B195,ARTICLES!A:B,2,FALSE),"")</f>
        <v/>
      </c>
      <c r="G195">
        <f>IF(E195="","",E195*F195)</f>
        <v/>
      </c>
    </row>
    <row r="196">
      <c r="C196">
        <f>IFERROR(VLOOKUP(B196,ARTICLES!A:B,2,FALSE),"")</f>
        <v/>
      </c>
      <c r="G196">
        <f>IF(E196="","",E196*F196)</f>
        <v/>
      </c>
    </row>
    <row r="197">
      <c r="C197">
        <f>IFERROR(VLOOKUP(B197,ARTICLES!A:B,2,FALSE),"")</f>
        <v/>
      </c>
      <c r="G197">
        <f>IF(E197="","",E197*F197)</f>
        <v/>
      </c>
    </row>
    <row r="198">
      <c r="C198">
        <f>IFERROR(VLOOKUP(B198,ARTICLES!A:B,2,FALSE),"")</f>
        <v/>
      </c>
      <c r="G198">
        <f>IF(E198="","",E198*F198)</f>
        <v/>
      </c>
    </row>
    <row r="199">
      <c r="C199">
        <f>IFERROR(VLOOKUP(B199,ARTICLES!A:B,2,FALSE),"")</f>
        <v/>
      </c>
      <c r="G199">
        <f>IF(E199="","",E199*F199)</f>
        <v/>
      </c>
    </row>
  </sheetData>
  <mergeCells count="1">
    <mergeCell ref="A1:J1"/>
  </mergeCells>
  <dataValidations count="1">
    <dataValidation sqref="D3:D200" showDropDown="0" showInputMessage="0" showErrorMessage="0" allowBlank="1" errorTitle="Type de mouvement" error="Utiliser IN (entrée) ou OUT (sortie)" type="list">
      <formula1>"IN,OUT"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1" customWidth="1" min="3" max="3"/>
    <col width="14" customWidth="1" min="4" max="4"/>
    <col width="13" customWidth="1" min="5" max="5"/>
    <col width="13" customWidth="1" min="6" max="6"/>
    <col width="13" customWidth="1" min="7" max="7"/>
    <col width="12" customWidth="1" min="8" max="8"/>
    <col width="13" customWidth="1" min="9" max="9"/>
    <col width="13" customWidth="1" min="10" max="10"/>
    <col width="13" customWidth="1" min="11" max="11"/>
  </cols>
  <sheetData>
    <row r="1" ht="24" customHeight="1">
      <c r="A1" s="10" t="inlineStr">
        <is>
          <t>📈  TABLEAU DE BORD — ÉTAT DU STOCK EN TEMPS RÉEL</t>
        </is>
      </c>
    </row>
    <row r="2" ht="20" customHeight="1">
      <c r="A2" s="4" t="inlineStr">
        <is>
          <t>Code Article</t>
        </is>
      </c>
      <c r="B2" s="4" t="inlineStr">
        <is>
          <t>Désignation</t>
        </is>
      </c>
      <c r="C2" s="4" t="inlineStr">
        <is>
          <t>Classe ABC</t>
        </is>
      </c>
      <c r="D2" s="4" t="inlineStr">
        <is>
          <t>Total Entrées</t>
        </is>
      </c>
      <c r="E2" s="4" t="inlineStr">
        <is>
          <t>Total Sorties</t>
        </is>
      </c>
      <c r="F2" s="4" t="inlineStr">
        <is>
          <t>Stock Actuel</t>
        </is>
      </c>
      <c r="G2" s="4" t="inlineStr">
        <is>
          <t>Stock Minimum</t>
        </is>
      </c>
      <c r="H2" s="4" t="inlineStr">
        <is>
          <t>Statut</t>
        </is>
      </c>
      <c r="I2" s="80" t="inlineStr">
        <is>
          <t>Conso/jour</t>
        </is>
      </c>
      <c r="J2" s="80" t="inlineStr">
        <is>
          <t>ROP (seuil
commande)</t>
        </is>
      </c>
      <c r="K2" s="80" t="inlineStr">
        <is>
          <t>Jours
restants</t>
        </is>
      </c>
    </row>
    <row r="3" ht="16" customHeight="1">
      <c r="A3" s="35" t="inlineStr">
        <is>
          <t>ART-001</t>
        </is>
      </c>
      <c r="B3" s="8">
        <f>IFERROR(VLOOKUP(A3,ARTICLES!A:B,2,FALSE),"")</f>
        <v/>
      </c>
      <c r="C3" s="36">
        <f>IFERROR(VLOOKUP(A3,ARTICLES!A:D,4,FALSE),"")</f>
        <v/>
      </c>
      <c r="D3" s="37">
        <f>SUMIFS(MOUVEMENTS!E:E,MOUVEMENTS!B:B,A3,MOUVEMENTS!D:D,"IN")</f>
        <v/>
      </c>
      <c r="E3" s="38">
        <f>SUMIFS(MOUVEMENTS!E:E,MOUVEMENTS!B:B,A3,MOUVEMENTS!D:D,"OUT")</f>
        <v/>
      </c>
      <c r="F3" s="39">
        <f>D3-E3</f>
        <v/>
      </c>
      <c r="G3" s="13">
        <f>IFERROR(VLOOKUP(A3,ARTICLES!A:F,6,FALSE),"")</f>
        <v/>
      </c>
      <c r="H3" s="36">
        <f>IF(F3&lt;=0,"🔴 RUPTURE",IF(F3&lt;=J3,"⚠️ COMMANDER",IF(F3&lt;=G3,"🟡 ALERTE","🟢 OK")))</f>
        <v/>
      </c>
      <c r="I3" s="81">
        <f>IFERROR(ROUND(E3/MAX(1,DAYS(TODAY(),DATE(2026,2,1))),2),0)</f>
        <v/>
      </c>
      <c r="J3" s="82">
        <f>IFERROR(ROUND(I3*2+G3,0),G3)</f>
        <v/>
      </c>
      <c r="K3" s="83">
        <f>IFERROR(IF(I3=0,"inf",ROUND(F3/I3,0)),"inf")</f>
        <v/>
      </c>
    </row>
    <row r="4" ht="16" customHeight="1">
      <c r="A4" s="40" t="inlineStr">
        <is>
          <t>ART-002</t>
        </is>
      </c>
      <c r="B4" s="14">
        <f>IFERROR(VLOOKUP(A4,ARTICLES!A:B,2,FALSE),"")</f>
        <v/>
      </c>
      <c r="C4" s="41">
        <f>IFERROR(VLOOKUP(A4,ARTICLES!A:D,4,FALSE),"")</f>
        <v/>
      </c>
      <c r="D4" s="37">
        <f>SUMIFS(MOUVEMENTS!E:E,MOUVEMENTS!B:B,A4,MOUVEMENTS!D:D,"IN")</f>
        <v/>
      </c>
      <c r="E4" s="38">
        <f>SUMIFS(MOUVEMENTS!E:E,MOUVEMENTS!B:B,A4,MOUVEMENTS!D:D,"OUT")</f>
        <v/>
      </c>
      <c r="F4" s="39">
        <f>D4-E4</f>
        <v/>
      </c>
      <c r="G4" s="17">
        <f>IFERROR(VLOOKUP(A4,ARTICLES!A:F,6,FALSE),"")</f>
        <v/>
      </c>
      <c r="H4" s="41">
        <f>IF(F4&lt;=0,"🔴 RUPTURE",IF(F4&lt;=J4,"⚠️ COMMANDER",IF(F4&lt;=G4,"🟡 ALERTE","🟢 OK")))</f>
        <v/>
      </c>
      <c r="I4" s="81">
        <f>IFERROR(ROUND(E4/MAX(1,DAYS(TODAY(),DATE(2026,2,1))),2),0)</f>
        <v/>
      </c>
      <c r="J4" s="82">
        <f>IFERROR(ROUND(I4*2+G4,0),G4)</f>
        <v/>
      </c>
      <c r="K4" s="83">
        <f>IFERROR(IF(I4=0,"inf",ROUND(F4/I4,0)),"inf")</f>
        <v/>
      </c>
    </row>
    <row r="5" ht="16" customHeight="1">
      <c r="A5" s="35" t="inlineStr">
        <is>
          <t>ART-003</t>
        </is>
      </c>
      <c r="B5" s="8">
        <f>IFERROR(VLOOKUP(A5,ARTICLES!A:B,2,FALSE),"")</f>
        <v/>
      </c>
      <c r="C5" s="36">
        <f>IFERROR(VLOOKUP(A5,ARTICLES!A:D,4,FALSE),"")</f>
        <v/>
      </c>
      <c r="D5" s="37">
        <f>SUMIFS(MOUVEMENTS!E:E,MOUVEMENTS!B:B,A5,MOUVEMENTS!D:D,"IN")</f>
        <v/>
      </c>
      <c r="E5" s="38">
        <f>SUMIFS(MOUVEMENTS!E:E,MOUVEMENTS!B:B,A5,MOUVEMENTS!D:D,"OUT")</f>
        <v/>
      </c>
      <c r="F5" s="39">
        <f>D5-E5</f>
        <v/>
      </c>
      <c r="G5" s="13">
        <f>IFERROR(VLOOKUP(A5,ARTICLES!A:F,6,FALSE),"")</f>
        <v/>
      </c>
      <c r="H5" s="36">
        <f>IF(F5&lt;=0,"🔴 RUPTURE",IF(F5&lt;=J5,"⚠️ COMMANDER",IF(F5&lt;=G5,"🟡 ALERTE","🟢 OK")))</f>
        <v/>
      </c>
      <c r="I5" s="81">
        <f>IFERROR(ROUND(E5/MAX(1,DAYS(TODAY(),DATE(2026,2,1))),2),0)</f>
        <v/>
      </c>
      <c r="J5" s="82">
        <f>IFERROR(ROUND(I5*2+G5,0),G5)</f>
        <v/>
      </c>
      <c r="K5" s="83">
        <f>IFERROR(IF(I5=0,"inf",ROUND(F5/I5,0)),"inf")</f>
        <v/>
      </c>
    </row>
    <row r="6" ht="16" customHeight="1">
      <c r="A6" s="40" t="inlineStr">
        <is>
          <t>ART-004</t>
        </is>
      </c>
      <c r="B6" s="14">
        <f>IFERROR(VLOOKUP(A6,ARTICLES!A:B,2,FALSE),"")</f>
        <v/>
      </c>
      <c r="C6" s="41">
        <f>IFERROR(VLOOKUP(A6,ARTICLES!A:D,4,FALSE),"")</f>
        <v/>
      </c>
      <c r="D6" s="37">
        <f>SUMIFS(MOUVEMENTS!E:E,MOUVEMENTS!B:B,A6,MOUVEMENTS!D:D,"IN")</f>
        <v/>
      </c>
      <c r="E6" s="38">
        <f>SUMIFS(MOUVEMENTS!E:E,MOUVEMENTS!B:B,A6,MOUVEMENTS!D:D,"OUT")</f>
        <v/>
      </c>
      <c r="F6" s="39">
        <f>D6-E6</f>
        <v/>
      </c>
      <c r="G6" s="17">
        <f>IFERROR(VLOOKUP(A6,ARTICLES!A:F,6,FALSE),"")</f>
        <v/>
      </c>
      <c r="H6" s="41">
        <f>IF(F6&lt;=0,"🔴 RUPTURE",IF(F6&lt;=J6,"⚠️ COMMANDER",IF(F6&lt;=G6,"🟡 ALERTE","🟢 OK")))</f>
        <v/>
      </c>
      <c r="I6" s="81">
        <f>IFERROR(ROUND(E6/MAX(1,DAYS(TODAY(),DATE(2026,2,1))),2),0)</f>
        <v/>
      </c>
      <c r="J6" s="82">
        <f>IFERROR(ROUND(I6*2+G6,0),G6)</f>
        <v/>
      </c>
      <c r="K6" s="83">
        <f>IFERROR(IF(I6=0,"inf",ROUND(F6/I6,0)),"inf")</f>
        <v/>
      </c>
    </row>
    <row r="7" ht="16" customHeight="1">
      <c r="A7" s="35" t="inlineStr">
        <is>
          <t>ART-005</t>
        </is>
      </c>
      <c r="B7" s="8">
        <f>IFERROR(VLOOKUP(A7,ARTICLES!A:B,2,FALSE),"")</f>
        <v/>
      </c>
      <c r="C7" s="36">
        <f>IFERROR(VLOOKUP(A7,ARTICLES!A:D,4,FALSE),"")</f>
        <v/>
      </c>
      <c r="D7" s="37">
        <f>SUMIFS(MOUVEMENTS!E:E,MOUVEMENTS!B:B,A7,MOUVEMENTS!D:D,"IN")</f>
        <v/>
      </c>
      <c r="E7" s="38">
        <f>SUMIFS(MOUVEMENTS!E:E,MOUVEMENTS!B:B,A7,MOUVEMENTS!D:D,"OUT")</f>
        <v/>
      </c>
      <c r="F7" s="39">
        <f>D7-E7</f>
        <v/>
      </c>
      <c r="G7" s="13">
        <f>IFERROR(VLOOKUP(A7,ARTICLES!A:F,6,FALSE),"")</f>
        <v/>
      </c>
      <c r="H7" s="36">
        <f>IF(F7&lt;=0,"🔴 RUPTURE",IF(F7&lt;=J7,"⚠️ COMMANDER",IF(F7&lt;=G7,"🟡 ALERTE","🟢 OK")))</f>
        <v/>
      </c>
      <c r="I7" s="81">
        <f>IFERROR(ROUND(E7/MAX(1,DAYS(TODAY(),DATE(2026,2,1))),2),0)</f>
        <v/>
      </c>
      <c r="J7" s="82">
        <f>IFERROR(ROUND(I7*2+G7,0),G7)</f>
        <v/>
      </c>
      <c r="K7" s="83">
        <f>IFERROR(IF(I7=0,"inf",ROUND(F7/I7,0)),"inf")</f>
        <v/>
      </c>
    </row>
    <row r="8" ht="16" customHeight="1">
      <c r="A8" s="40" t="inlineStr">
        <is>
          <t>ART-006</t>
        </is>
      </c>
      <c r="B8" s="14">
        <f>IFERROR(VLOOKUP(A8,ARTICLES!A:B,2,FALSE),"")</f>
        <v/>
      </c>
      <c r="C8" s="41">
        <f>IFERROR(VLOOKUP(A8,ARTICLES!A:D,4,FALSE),"")</f>
        <v/>
      </c>
      <c r="D8" s="37">
        <f>SUMIFS(MOUVEMENTS!E:E,MOUVEMENTS!B:B,A8,MOUVEMENTS!D:D,"IN")</f>
        <v/>
      </c>
      <c r="E8" s="38">
        <f>SUMIFS(MOUVEMENTS!E:E,MOUVEMENTS!B:B,A8,MOUVEMENTS!D:D,"OUT")</f>
        <v/>
      </c>
      <c r="F8" s="39">
        <f>D8-E8</f>
        <v/>
      </c>
      <c r="G8" s="17">
        <f>IFERROR(VLOOKUP(A8,ARTICLES!A:F,6,FALSE),"")</f>
        <v/>
      </c>
      <c r="H8" s="41">
        <f>IF(F8&lt;=0,"🔴 RUPTURE",IF(F8&lt;=J8,"⚠️ COMMANDER",IF(F8&lt;=G8,"🟡 ALERTE","🟢 OK")))</f>
        <v/>
      </c>
      <c r="I8" s="81">
        <f>IFERROR(ROUND(E8/MAX(1,DAYS(TODAY(),DATE(2026,2,1))),2),0)</f>
        <v/>
      </c>
      <c r="J8" s="82">
        <f>IFERROR(ROUND(I8*2+G8,0),G8)</f>
        <v/>
      </c>
      <c r="K8" s="83">
        <f>IFERROR(IF(I8=0,"inf",ROUND(F8/I8,0)),"inf")</f>
        <v/>
      </c>
    </row>
    <row r="9" ht="16" customHeight="1">
      <c r="A9" s="35" t="inlineStr">
        <is>
          <t>ART-007</t>
        </is>
      </c>
      <c r="B9" s="8">
        <f>IFERROR(VLOOKUP(A9,ARTICLES!A:B,2,FALSE),"")</f>
        <v/>
      </c>
      <c r="C9" s="36">
        <f>IFERROR(VLOOKUP(A9,ARTICLES!A:D,4,FALSE),"")</f>
        <v/>
      </c>
      <c r="D9" s="37">
        <f>SUMIFS(MOUVEMENTS!E:E,MOUVEMENTS!B:B,A9,MOUVEMENTS!D:D,"IN")</f>
        <v/>
      </c>
      <c r="E9" s="38">
        <f>SUMIFS(MOUVEMENTS!E:E,MOUVEMENTS!B:B,A9,MOUVEMENTS!D:D,"OUT")</f>
        <v/>
      </c>
      <c r="F9" s="39">
        <f>D9-E9</f>
        <v/>
      </c>
      <c r="G9" s="13">
        <f>IFERROR(VLOOKUP(A9,ARTICLES!A:F,6,FALSE),"")</f>
        <v/>
      </c>
      <c r="H9" s="36">
        <f>IF(F9&lt;=0,"🔴 RUPTURE",IF(F9&lt;=J9,"⚠️ COMMANDER",IF(F9&lt;=G9,"🟡 ALERTE","🟢 OK")))</f>
        <v/>
      </c>
      <c r="I9" s="81">
        <f>IFERROR(ROUND(E9/MAX(1,DAYS(TODAY(),DATE(2026,2,1))),2),0)</f>
        <v/>
      </c>
      <c r="J9" s="82">
        <f>IFERROR(ROUND(I9*2+G9,0),G9)</f>
        <v/>
      </c>
      <c r="K9" s="83">
        <f>IFERROR(IF(I9=0,"inf",ROUND(F9/I9,0)),"inf")</f>
        <v/>
      </c>
    </row>
    <row r="10" ht="16" customHeight="1">
      <c r="A10" s="40" t="inlineStr">
        <is>
          <t>ART-008</t>
        </is>
      </c>
      <c r="B10" s="14">
        <f>IFERROR(VLOOKUP(A10,ARTICLES!A:B,2,FALSE),"")</f>
        <v/>
      </c>
      <c r="C10" s="41">
        <f>IFERROR(VLOOKUP(A10,ARTICLES!A:D,4,FALSE),"")</f>
        <v/>
      </c>
      <c r="D10" s="37">
        <f>SUMIFS(MOUVEMENTS!E:E,MOUVEMENTS!B:B,A10,MOUVEMENTS!D:D,"IN")</f>
        <v/>
      </c>
      <c r="E10" s="38">
        <f>SUMIFS(MOUVEMENTS!E:E,MOUVEMENTS!B:B,A10,MOUVEMENTS!D:D,"OUT")</f>
        <v/>
      </c>
      <c r="F10" s="39">
        <f>D10-E10</f>
        <v/>
      </c>
      <c r="G10" s="17">
        <f>IFERROR(VLOOKUP(A10,ARTICLES!A:F,6,FALSE),"")</f>
        <v/>
      </c>
      <c r="H10" s="41">
        <f>IF(F10&lt;=0,"🔴 RUPTURE",IF(F10&lt;=J10,"⚠️ COMMANDER",IF(F10&lt;=G10,"🟡 ALERTE","🟢 OK")))</f>
        <v/>
      </c>
      <c r="I10" s="81">
        <f>IFERROR(ROUND(E10/MAX(1,DAYS(TODAY(),DATE(2026,2,1))),2),0)</f>
        <v/>
      </c>
      <c r="J10" s="82">
        <f>IFERROR(ROUND(I10*2+G10,0),G10)</f>
        <v/>
      </c>
      <c r="K10" s="83">
        <f>IFERROR(IF(I10=0,"inf",ROUND(F10/I10,0)),"inf")</f>
        <v/>
      </c>
    </row>
    <row r="11" ht="16" customHeight="1">
      <c r="A11" s="35" t="inlineStr">
        <is>
          <t>ART-009</t>
        </is>
      </c>
      <c r="B11" s="8">
        <f>IFERROR(VLOOKUP(A11,ARTICLES!A:B,2,FALSE),"")</f>
        <v/>
      </c>
      <c r="C11" s="36">
        <f>IFERROR(VLOOKUP(A11,ARTICLES!A:D,4,FALSE),"")</f>
        <v/>
      </c>
      <c r="D11" s="37">
        <f>SUMIFS(MOUVEMENTS!E:E,MOUVEMENTS!B:B,A11,MOUVEMENTS!D:D,"IN")</f>
        <v/>
      </c>
      <c r="E11" s="38">
        <f>SUMIFS(MOUVEMENTS!E:E,MOUVEMENTS!B:B,A11,MOUVEMENTS!D:D,"OUT")</f>
        <v/>
      </c>
      <c r="F11" s="39">
        <f>D11-E11</f>
        <v/>
      </c>
      <c r="G11" s="13">
        <f>IFERROR(VLOOKUP(A11,ARTICLES!A:F,6,FALSE),"")</f>
        <v/>
      </c>
      <c r="H11" s="36">
        <f>IF(F11&lt;=0,"🔴 RUPTURE",IF(F11&lt;=J11,"⚠️ COMMANDER",IF(F11&lt;=G11,"🟡 ALERTE","🟢 OK")))</f>
        <v/>
      </c>
      <c r="I11" s="81">
        <f>IFERROR(ROUND(E11/MAX(1,DAYS(TODAY(),DATE(2026,2,1))),2),0)</f>
        <v/>
      </c>
      <c r="J11" s="82">
        <f>IFERROR(ROUND(I11*2+G11,0),G11)</f>
        <v/>
      </c>
      <c r="K11" s="83">
        <f>IFERROR(IF(I11=0,"inf",ROUND(F11/I11,0)),"inf")</f>
        <v/>
      </c>
    </row>
    <row r="12" ht="16" customHeight="1">
      <c r="A12" s="40" t="inlineStr">
        <is>
          <t>ART-010</t>
        </is>
      </c>
      <c r="B12" s="14">
        <f>IFERROR(VLOOKUP(A12,ARTICLES!A:B,2,FALSE),"")</f>
        <v/>
      </c>
      <c r="C12" s="41">
        <f>IFERROR(VLOOKUP(A12,ARTICLES!A:D,4,FALSE),"")</f>
        <v/>
      </c>
      <c r="D12" s="37">
        <f>SUMIFS(MOUVEMENTS!E:E,MOUVEMENTS!B:B,A12,MOUVEMENTS!D:D,"IN")</f>
        <v/>
      </c>
      <c r="E12" s="38">
        <f>SUMIFS(MOUVEMENTS!E:E,MOUVEMENTS!B:B,A12,MOUVEMENTS!D:D,"OUT")</f>
        <v/>
      </c>
      <c r="F12" s="39">
        <f>D12-E12</f>
        <v/>
      </c>
      <c r="G12" s="17">
        <f>IFERROR(VLOOKUP(A12,ARTICLES!A:F,6,FALSE),"")</f>
        <v/>
      </c>
      <c r="H12" s="41">
        <f>IF(F12&lt;=0,"🔴 RUPTURE",IF(F12&lt;=J12,"⚠️ COMMANDER",IF(F12&lt;=G12,"🟡 ALERTE","🟢 OK")))</f>
        <v/>
      </c>
      <c r="I12" s="81">
        <f>IFERROR(ROUND(E12/MAX(1,DAYS(TODAY(),DATE(2026,2,1))),2),0)</f>
        <v/>
      </c>
      <c r="J12" s="82">
        <f>IFERROR(ROUND(I12*2+G12,0),G12)</f>
        <v/>
      </c>
      <c r="K12" s="83">
        <f>IFERROR(IF(I12=0,"inf",ROUND(F12/I12,0)),"inf")</f>
        <v/>
      </c>
    </row>
    <row r="13" ht="16" customHeight="1">
      <c r="A13" s="35" t="inlineStr">
        <is>
          <t>ART-011</t>
        </is>
      </c>
      <c r="B13" s="8">
        <f>IFERROR(VLOOKUP(A13,ARTICLES!A:B,2,FALSE),"")</f>
        <v/>
      </c>
      <c r="C13" s="36">
        <f>IFERROR(VLOOKUP(A13,ARTICLES!A:D,4,FALSE),"")</f>
        <v/>
      </c>
      <c r="D13" s="37">
        <f>SUMIFS(MOUVEMENTS!E:E,MOUVEMENTS!B:B,A13,MOUVEMENTS!D:D,"IN")</f>
        <v/>
      </c>
      <c r="E13" s="38">
        <f>SUMIFS(MOUVEMENTS!E:E,MOUVEMENTS!B:B,A13,MOUVEMENTS!D:D,"OUT")</f>
        <v/>
      </c>
      <c r="F13" s="39">
        <f>D13-E13</f>
        <v/>
      </c>
      <c r="G13" s="13">
        <f>IFERROR(VLOOKUP(A13,ARTICLES!A:F,6,FALSE),"")</f>
        <v/>
      </c>
      <c r="H13" s="36">
        <f>IF(F13&lt;=0,"🔴 RUPTURE",IF(F13&lt;=J13,"⚠️ COMMANDER",IF(F13&lt;=G13,"🟡 ALERTE","🟢 OK")))</f>
        <v/>
      </c>
      <c r="I13" s="81">
        <f>IFERROR(ROUND(E13/MAX(1,DAYS(TODAY(),DATE(2026,2,1))),2),0)</f>
        <v/>
      </c>
      <c r="J13" s="82">
        <f>IFERROR(ROUND(I13*2+G13,0),G13)</f>
        <v/>
      </c>
      <c r="K13" s="83">
        <f>IFERROR(IF(I13=0,"inf",ROUND(F13/I13,0)),"inf")</f>
        <v/>
      </c>
    </row>
    <row r="14" ht="16" customHeight="1">
      <c r="A14" s="40" t="inlineStr">
        <is>
          <t>ART-012</t>
        </is>
      </c>
      <c r="B14" s="14">
        <f>IFERROR(VLOOKUP(A14,ARTICLES!A:B,2,FALSE),"")</f>
        <v/>
      </c>
      <c r="C14" s="41">
        <f>IFERROR(VLOOKUP(A14,ARTICLES!A:D,4,FALSE),"")</f>
        <v/>
      </c>
      <c r="D14" s="37">
        <f>SUMIFS(MOUVEMENTS!E:E,MOUVEMENTS!B:B,A14,MOUVEMENTS!D:D,"IN")</f>
        <v/>
      </c>
      <c r="E14" s="38">
        <f>SUMIFS(MOUVEMENTS!E:E,MOUVEMENTS!B:B,A14,MOUVEMENTS!D:D,"OUT")</f>
        <v/>
      </c>
      <c r="F14" s="39">
        <f>D14-E14</f>
        <v/>
      </c>
      <c r="G14" s="17">
        <f>IFERROR(VLOOKUP(A14,ARTICLES!A:F,6,FALSE),"")</f>
        <v/>
      </c>
      <c r="H14" s="41">
        <f>IF(F14&lt;=0,"🔴 RUPTURE",IF(F14&lt;=J14,"⚠️ COMMANDER",IF(F14&lt;=G14,"🟡 ALERTE","🟢 OK")))</f>
        <v/>
      </c>
      <c r="I14" s="81">
        <f>IFERROR(ROUND(E14/MAX(1,DAYS(TODAY(),DATE(2026,2,1))),2),0)</f>
        <v/>
      </c>
      <c r="J14" s="82">
        <f>IFERROR(ROUND(I14*2+G14,0),G14)</f>
        <v/>
      </c>
      <c r="K14" s="83">
        <f>IFERROR(IF(I14=0,"inf",ROUND(F14/I14,0)),"inf")</f>
        <v/>
      </c>
    </row>
    <row r="15" ht="16" customHeight="1">
      <c r="A15" s="35" t="inlineStr">
        <is>
          <t>ART-013</t>
        </is>
      </c>
      <c r="B15" s="8">
        <f>IFERROR(VLOOKUP(A15,ARTICLES!A:B,2,FALSE),"")</f>
        <v/>
      </c>
      <c r="C15" s="36">
        <f>IFERROR(VLOOKUP(A15,ARTICLES!A:D,4,FALSE),"")</f>
        <v/>
      </c>
      <c r="D15" s="37">
        <f>SUMIFS(MOUVEMENTS!E:E,MOUVEMENTS!B:B,A15,MOUVEMENTS!D:D,"IN")</f>
        <v/>
      </c>
      <c r="E15" s="38">
        <f>SUMIFS(MOUVEMENTS!E:E,MOUVEMENTS!B:B,A15,MOUVEMENTS!D:D,"OUT")</f>
        <v/>
      </c>
      <c r="F15" s="39">
        <f>D15-E15</f>
        <v/>
      </c>
      <c r="G15" s="13">
        <f>IFERROR(VLOOKUP(A15,ARTICLES!A:F,6,FALSE),"")</f>
        <v/>
      </c>
      <c r="H15" s="36">
        <f>IF(F15&lt;=0,"🔴 RUPTURE",IF(F15&lt;=J15,"⚠️ COMMANDER",IF(F15&lt;=G15,"🟡 ALERTE","🟢 OK")))</f>
        <v/>
      </c>
      <c r="I15" s="81">
        <f>IFERROR(ROUND(E15/MAX(1,DAYS(TODAY(),DATE(2026,2,1))),2),0)</f>
        <v/>
      </c>
      <c r="J15" s="82">
        <f>IFERROR(ROUND(I15*2+G15,0),G15)</f>
        <v/>
      </c>
      <c r="K15" s="83">
        <f>IFERROR(IF(I15=0,"inf",ROUND(F15/I15,0)),"inf")</f>
        <v/>
      </c>
    </row>
    <row r="16" ht="16" customHeight="1">
      <c r="A16" s="40" t="inlineStr">
        <is>
          <t>ART-014</t>
        </is>
      </c>
      <c r="B16" s="14">
        <f>IFERROR(VLOOKUP(A16,ARTICLES!A:B,2,FALSE),"")</f>
        <v/>
      </c>
      <c r="C16" s="41">
        <f>IFERROR(VLOOKUP(A16,ARTICLES!A:D,4,FALSE),"")</f>
        <v/>
      </c>
      <c r="D16" s="37">
        <f>SUMIFS(MOUVEMENTS!E:E,MOUVEMENTS!B:B,A16,MOUVEMENTS!D:D,"IN")</f>
        <v/>
      </c>
      <c r="E16" s="38">
        <f>SUMIFS(MOUVEMENTS!E:E,MOUVEMENTS!B:B,A16,MOUVEMENTS!D:D,"OUT")</f>
        <v/>
      </c>
      <c r="F16" s="39">
        <f>D16-E16</f>
        <v/>
      </c>
      <c r="G16" s="17">
        <f>IFERROR(VLOOKUP(A16,ARTICLES!A:F,6,FALSE),"")</f>
        <v/>
      </c>
      <c r="H16" s="41">
        <f>IF(F16&lt;=0,"🔴 RUPTURE",IF(F16&lt;=J16,"⚠️ COMMANDER",IF(F16&lt;=G16,"🟡 ALERTE","🟢 OK")))</f>
        <v/>
      </c>
      <c r="I16" s="81">
        <f>IFERROR(ROUND(E16/MAX(1,DAYS(TODAY(),DATE(2026,2,1))),2),0)</f>
        <v/>
      </c>
      <c r="J16" s="82">
        <f>IFERROR(ROUND(I16*2+G16,0),G16)</f>
        <v/>
      </c>
      <c r="K16" s="83">
        <f>IFERROR(IF(I16=0,"inf",ROUND(F16/I16,0)),"inf")</f>
        <v/>
      </c>
    </row>
    <row r="17" ht="16" customHeight="1">
      <c r="A17" s="35" t="inlineStr">
        <is>
          <t>ART-015</t>
        </is>
      </c>
      <c r="B17" s="8">
        <f>IFERROR(VLOOKUP(A17,ARTICLES!A:B,2,FALSE),"")</f>
        <v/>
      </c>
      <c r="C17" s="36">
        <f>IFERROR(VLOOKUP(A17,ARTICLES!A:D,4,FALSE),"")</f>
        <v/>
      </c>
      <c r="D17" s="37">
        <f>SUMIFS(MOUVEMENTS!E:E,MOUVEMENTS!B:B,A17,MOUVEMENTS!D:D,"IN")</f>
        <v/>
      </c>
      <c r="E17" s="38">
        <f>SUMIFS(MOUVEMENTS!E:E,MOUVEMENTS!B:B,A17,MOUVEMENTS!D:D,"OUT")</f>
        <v/>
      </c>
      <c r="F17" s="39">
        <f>D17-E17</f>
        <v/>
      </c>
      <c r="G17" s="13">
        <f>IFERROR(VLOOKUP(A17,ARTICLES!A:F,6,FALSE),"")</f>
        <v/>
      </c>
      <c r="H17" s="36">
        <f>IF(F17&lt;=0,"🔴 RUPTURE",IF(F17&lt;=J17,"⚠️ COMMANDER",IF(F17&lt;=G17,"🟡 ALERTE","🟢 OK")))</f>
        <v/>
      </c>
      <c r="I17" s="81">
        <f>IFERROR(ROUND(E17/MAX(1,DAYS(TODAY(),DATE(2026,2,1))),2),0)</f>
        <v/>
      </c>
      <c r="J17" s="82">
        <f>IFERROR(ROUND(I17*2+G17,0),G17)</f>
        <v/>
      </c>
      <c r="K17" s="83">
        <f>IFERROR(IF(I17=0,"inf",ROUND(F17/I17,0)),"inf")</f>
        <v/>
      </c>
    </row>
    <row r="19">
      <c r="A19" s="42" t="inlineStr">
        <is>
          <t>RÉSUMÉ GLOBAL</t>
        </is>
      </c>
    </row>
    <row r="20">
      <c r="A20" s="84" t="inlineStr">
        <is>
          <t>⚙️  Lead Time utilisé dans ROP (col J) :</t>
        </is>
      </c>
      <c r="B20" s="44" t="n"/>
      <c r="C20" s="45" t="n"/>
      <c r="D20" s="85" t="n">
        <v>2</v>
      </c>
      <c r="E20" s="75" t="inlineStr">
        <is>
          <t>jours  ←  modifiez si nécessaire puis adaptez la formule de J3:J17</t>
        </is>
      </c>
    </row>
    <row r="21">
      <c r="A21" s="43" t="inlineStr">
        <is>
          <t>Articles en ALERTE:</t>
        </is>
      </c>
      <c r="B21" s="44" t="n"/>
      <c r="C21" s="45" t="n"/>
      <c r="D21" s="46">
        <f>COUNTIF(H3:H17,"🟡 ALERTE")</f>
        <v/>
      </c>
    </row>
    <row r="22">
      <c r="A22" s="43" t="inlineStr">
        <is>
          <t>Articles en RUPTURE:</t>
        </is>
      </c>
      <c r="B22" s="44" t="n"/>
      <c r="C22" s="45" t="n"/>
      <c r="D22" s="46">
        <f>COUNTIF(H3:H17,"🔴 RUPTURE")</f>
        <v/>
      </c>
    </row>
    <row r="23">
      <c r="A23" s="43" t="inlineStr">
        <is>
          <t>Articles OK:</t>
        </is>
      </c>
      <c r="B23" s="44" t="n"/>
      <c r="C23" s="45" t="n"/>
      <c r="D23" s="46">
        <f>COUNTIF(H3:H17,"🟢 OK")</f>
        <v/>
      </c>
    </row>
  </sheetData>
  <mergeCells count="6">
    <mergeCell ref="A19:C19"/>
    <mergeCell ref="A23:C23"/>
    <mergeCell ref="A22:C22"/>
    <mergeCell ref="A1:K1"/>
    <mergeCell ref="A21:C21"/>
    <mergeCell ref="A20:C20"/>
  </mergeCells>
  <conditionalFormatting sqref="A3:H17">
    <cfRule type="expression" priority="1" dxfId="0">
      <formula>$H3="🔴 RUPTURE"</formula>
    </cfRule>
    <cfRule type="expression" priority="2" dxfId="1">
      <formula>$H3="🟡 ALERTE"</formula>
    </cfRule>
    <cfRule type="expression" priority="3" dxfId="2">
      <formula>$H3="🟢 OK"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6" customWidth="1" min="4" max="4"/>
    <col width="16" customWidth="1" min="5" max="5"/>
    <col width="16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8" customWidth="1" min="12" max="12"/>
  </cols>
  <sheetData>
    <row r="1" ht="30" customHeight="1">
      <c r="A1" s="86" t="inlineStr">
        <is>
          <t>🧮  FICHE CMUP — INVENTAIRE PERMANENT EN TEMPS RÉEL</t>
        </is>
      </c>
    </row>
    <row r="2">
      <c r="A2" s="87" t="inlineStr">
        <is>
          <t>Article sélectionné :</t>
        </is>
      </c>
      <c r="D2" s="88" t="inlineStr">
        <is>
          <t>ART-001</t>
        </is>
      </c>
      <c r="E2" s="89" t="inlineStr">
        <is>
          <t>← Menu déroulant : choisissez un article</t>
        </is>
      </c>
    </row>
    <row r="3">
      <c r="A3" s="90" t="inlineStr">
        <is>
          <t>Désignation :</t>
        </is>
      </c>
      <c r="D3" s="91">
        <f>IFERROR(VLOOKUP(D2,ARTICLES!A:B,2,FALSE),"— introuvable —")</f>
        <v/>
      </c>
      <c r="E3" s="92" t="n"/>
      <c r="F3" s="92" t="n"/>
      <c r="G3" s="92" t="n"/>
      <c r="H3" s="93" t="n"/>
      <c r="I3" s="90" t="inlineStr">
        <is>
          <t>Seuil min :</t>
        </is>
      </c>
      <c r="J3" s="94">
        <f>IFERROR(VLOOKUP(D2,ARTICLES!A:F,6,FALSE),"")</f>
        <v/>
      </c>
      <c r="K3" s="90" t="inlineStr">
        <is>
          <t>Classe ABC :</t>
        </is>
      </c>
      <c r="L3" s="94">
        <f>IFERROR(VLOOKUP(D2,ARTICLES!A:D,4,FALSE),"")</f>
        <v/>
      </c>
    </row>
    <row r="4" ht="22" customHeight="1">
      <c r="A4" s="95" t="inlineStr">
        <is>
          <t>📊  INDICATEURS EN TEMPS RÉEL (mis à jour automatiquement)</t>
        </is>
      </c>
    </row>
    <row r="5" ht="32" customHeight="1">
      <c r="A5" s="80" t="inlineStr">
        <is>
          <t>Total entrées
(unités)</t>
        </is>
      </c>
      <c r="B5" s="80" t="inlineStr">
        <is>
          <t>Total sorties
(unités)</t>
        </is>
      </c>
      <c r="C5" s="80" t="inlineStr">
        <is>
          <t>Stock actuel
(unités)</t>
        </is>
      </c>
      <c r="D5" s="80" t="inlineStr">
        <is>
          <t>Valeur totale IN
(DA)</t>
        </is>
      </c>
      <c r="E5" s="80" t="inlineStr">
        <is>
          <t>CMUP actuel
(DA/unité)</t>
        </is>
      </c>
      <c r="F5" s="80" t="inlineStr">
        <is>
          <t>Stock valorisé
(DA)</t>
        </is>
      </c>
      <c r="G5" s="80" t="inlineStr">
        <is>
          <t>Statut</t>
        </is>
      </c>
    </row>
    <row r="6" ht="26" customHeight="1">
      <c r="A6" s="96">
        <f>SUMIFS(MOUVEMENTS!E:E,MOUVEMENTS!B:B,D2,MOUVEMENTS!D:D,"IN")</f>
        <v/>
      </c>
      <c r="B6" s="96">
        <f>SUMIFS(MOUVEMENTS!E:E,MOUVEMENTS!B:B,D2,MOUVEMENTS!D:D,"OUT")</f>
        <v/>
      </c>
      <c r="C6" s="96">
        <f>A6-B6</f>
        <v/>
      </c>
      <c r="D6" s="97">
        <f>IFERROR(SUMPRODUCT((MOUVEMENTS!B$3:B$200=D2)*(MOUVEMENTS!D$3:D$200="IN")*MOUVEMENTS!E$3:E$200*MOUVEMENTS!F$3:F$200),0)</f>
        <v/>
      </c>
      <c r="E6" s="98">
        <f>IFERROR(D6/A6,IFERROR(VLOOKUP(D2,ARTICLES!A:H,8,FALSE),0))</f>
        <v/>
      </c>
      <c r="F6" s="99">
        <f>C6*E6</f>
        <v/>
      </c>
      <c r="G6" s="100">
        <f>IF(C6&lt;=0,"🔴 RUPTURE",IF(C6&lt;=IFERROR(VLOOKUP(D2,ARTICLES!A:F,6,FALSE),0),"🟡 ALERTE","🟢 OK"))</f>
        <v/>
      </c>
    </row>
    <row r="8">
      <c r="A8" s="101" t="inlineStr">
        <is>
          <t>📝  COMMENT UTILISER CETTE FICHE</t>
        </is>
      </c>
    </row>
    <row r="9">
      <c r="A9" s="102" t="inlineStr">
        <is>
          <t>1. Changez le code en D2 (menu déroulant) → tous les indicateurs se recalculent automatiquement.</t>
        </is>
      </c>
    </row>
    <row r="10">
      <c r="A10" s="102" t="inlineStr">
        <is>
          <t>2. CMUP en E6 = Valeur totale des entrées / Quantité totale entrée (méthode CMUP après dernière entrée).</t>
        </is>
      </c>
    </row>
    <row r="11">
      <c r="A11" s="102" t="inlineStr">
        <is>
          <t>3. Pour voir le détail chronologique : filtrez la feuille MOUVEMENTS (colonne B = code article).</t>
        </is>
      </c>
    </row>
    <row r="12">
      <c r="A12" s="102" t="inlineStr">
        <is>
          <t>4. Valeur stock (F6) = Stock actuel × CMUP = valeur bilancielle pour le rapport d'inventaire.</t>
        </is>
      </c>
    </row>
  </sheetData>
  <mergeCells count="11">
    <mergeCell ref="A10:L10"/>
    <mergeCell ref="A12:L12"/>
    <mergeCell ref="A11:L11"/>
    <mergeCell ref="A1:L1"/>
    <mergeCell ref="E2:I2"/>
    <mergeCell ref="A8:L8"/>
    <mergeCell ref="A3:C3"/>
    <mergeCell ref="A9:L9"/>
    <mergeCell ref="A4:L4"/>
    <mergeCell ref="A2:C2"/>
    <mergeCell ref="D3:H3"/>
  </mergeCells>
  <dataValidations count="1">
    <dataValidation sqref="D2" showDropDown="0" showInputMessage="0" showErrorMessage="1" allowBlank="0" errorTitle="Code invalide" error="Sélectionnez un code de la liste ARTICLES" type="list">
      <formula1>ARTICLES!$A$3:$A$20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6" customWidth="1" min="3" max="3"/>
    <col width="35" customWidth="1" min="4" max="4"/>
  </cols>
  <sheetData>
    <row r="1" ht="24" customHeight="1">
      <c r="A1" s="10" t="inlineStr">
        <is>
          <t>📐  PARAMÈTRES WILSON — QUANTITÉ ÉCONOMIQUE DE COMMANDE (EOQ)</t>
        </is>
      </c>
    </row>
    <row r="2" ht="18" customHeight="1">
      <c r="A2" s="55" t="inlineStr">
        <is>
          <t>🔵  PARAMÈTRES D'ENTRÉE (modifier les valeurs en bleu)</t>
        </is>
      </c>
    </row>
    <row r="3" ht="16" customHeight="1">
      <c r="A3" s="43" t="inlineStr">
        <is>
          <t>D (Demande annuelle)</t>
        </is>
      </c>
      <c r="B3" s="56" t="n">
        <v>1000</v>
      </c>
      <c r="C3" s="57" t="inlineStr">
        <is>
          <t>rames</t>
        </is>
      </c>
      <c r="D3" s="58" t="inlineStr">
        <is>
          <t>Consommation annuelle totale en unités</t>
        </is>
      </c>
    </row>
    <row r="4" ht="16" customHeight="1">
      <c r="A4" s="43" t="inlineStr">
        <is>
          <t>CL (Coût de passation)</t>
        </is>
      </c>
      <c r="B4" s="59" t="n">
        <v>50</v>
      </c>
      <c r="C4" s="57" t="inlineStr">
        <is>
          <t>DA/cmd</t>
        </is>
      </c>
      <c r="D4" s="58" t="inlineStr">
        <is>
          <t>Frais administratifs par commande passée</t>
        </is>
      </c>
    </row>
    <row r="5" ht="16" customHeight="1">
      <c r="A5" s="43" t="inlineStr">
        <is>
          <t>PU (Prix unitaire)</t>
        </is>
      </c>
      <c r="B5" s="59" t="n">
        <v>180</v>
      </c>
      <c r="C5" s="57" t="inlineStr">
        <is>
          <t>DA/rame</t>
        </is>
      </c>
      <c r="D5" s="58" t="inlineStr">
        <is>
          <t>Prix d'achat moyen d'une rame A4</t>
        </is>
      </c>
    </row>
    <row r="6" ht="16" customHeight="1">
      <c r="A6" s="43" t="inlineStr">
        <is>
          <t>t (Taux de possession)</t>
        </is>
      </c>
      <c r="B6" s="60" t="n">
        <v>0.2</v>
      </c>
      <c r="C6" s="57" t="inlineStr">
        <is>
          <t>%</t>
        </is>
      </c>
      <c r="D6" s="58" t="inlineStr">
        <is>
          <t>20% = coût de stockage annuel/valeur</t>
        </is>
      </c>
    </row>
    <row r="7" ht="16" customHeight="1">
      <c r="A7" s="43" t="inlineStr">
        <is>
          <t>SS (Stock de sécurité)</t>
        </is>
      </c>
      <c r="B7" s="56" t="n">
        <v>200</v>
      </c>
      <c r="C7" s="57" t="inlineStr">
        <is>
          <t>rames</t>
        </is>
      </c>
      <c r="D7" s="58" t="inlineStr">
        <is>
          <t>Tampon contre les délais fournisseurs</t>
        </is>
      </c>
    </row>
    <row r="8" ht="16" customHeight="1">
      <c r="A8" s="43" t="inlineStr">
        <is>
          <t>DL (Délai de livraison)</t>
        </is>
      </c>
      <c r="B8" s="56" t="n">
        <v>2</v>
      </c>
      <c r="C8" s="57" t="inlineStr">
        <is>
          <t>semaines</t>
        </is>
      </c>
      <c r="D8" s="58" t="inlineStr">
        <is>
          <t>Délai fournisseur Alger → El Bayadh</t>
        </is>
      </c>
    </row>
    <row r="9" ht="16" customHeight="1">
      <c r="A9" s="43" t="inlineStr">
        <is>
          <t>S (Semaines travaillées/an)</t>
        </is>
      </c>
      <c r="B9" s="56" t="n">
        <v>50</v>
      </c>
      <c r="C9" s="57" t="inlineStr">
        <is>
          <t>semaines</t>
        </is>
      </c>
      <c r="D9" s="58" t="inlineStr">
        <is>
          <t>Semaines effectives de consommation</t>
        </is>
      </c>
    </row>
    <row r="11" ht="18" customHeight="1">
      <c r="A11" s="61" t="inlineStr">
        <is>
          <t>🟢  RÉSULTATS CALCULÉS AUTOMATIQUEMENT</t>
        </is>
      </c>
    </row>
    <row r="12" ht="16" customHeight="1">
      <c r="A12" s="43" t="inlineStr">
        <is>
          <t>EOQ — Quantité Économique</t>
        </is>
      </c>
      <c r="B12" s="62">
        <f>ROUND(SQRT(2*B3*B4/(B6*B5)),0)</f>
        <v/>
      </c>
      <c r="C12" s="103" t="inlineStr">
        <is>
          <t>← Source EOQ pour toutes les formules ci-dessous</t>
        </is>
      </c>
      <c r="D12" s="58" t="inlineStr">
        <is>
          <t>Lot optimal à commander</t>
        </is>
      </c>
    </row>
    <row r="13" ht="16" customHeight="1">
      <c r="A13" s="43" t="inlineStr">
        <is>
          <t>N — Nb de commandes/an</t>
        </is>
      </c>
      <c r="B13" s="62">
        <f>IFERROR(ROUND(B3/B12,1),"")</f>
        <v/>
      </c>
      <c r="C13" s="57" t="inlineStr">
        <is>
          <t>cmd/an</t>
        </is>
      </c>
      <c r="D13" s="58" t="inlineStr">
        <is>
          <t>Fréquence annuelle de commandes</t>
        </is>
      </c>
    </row>
    <row r="14" ht="16" customHeight="1">
      <c r="A14" s="43" t="inlineStr">
        <is>
          <t>Conso. hebdomadaire</t>
        </is>
      </c>
      <c r="B14" s="62">
        <f>ROUND(B3/B9,0)</f>
        <v/>
      </c>
      <c r="C14" s="57" t="inlineStr">
        <is>
          <t>rames/sem</t>
        </is>
      </c>
      <c r="D14" s="58" t="inlineStr">
        <is>
          <t>B3/B9 — consommation par semaine</t>
        </is>
      </c>
    </row>
    <row r="15" ht="16" customHeight="1">
      <c r="A15" s="43" t="inlineStr">
        <is>
          <t>ROP — Point de commande</t>
        </is>
      </c>
      <c r="B15" s="62">
        <f>ROUND((B3/B9)*B8+B7,0)</f>
        <v/>
      </c>
      <c r="C15" s="57" t="inlineStr">
        <is>
          <t>rames</t>
        </is>
      </c>
      <c r="D15" s="58" t="inlineStr">
        <is>
          <t>Déclencher commande à ce niveau</t>
        </is>
      </c>
    </row>
    <row r="16" ht="16" customHeight="1">
      <c r="A16" s="43" t="inlineStr">
        <is>
          <t>Stock moyen détenu</t>
        </is>
      </c>
      <c r="B16" s="62">
        <f>IFERROR(ROUND(B12/2+B7,0),"")</f>
        <v/>
      </c>
      <c r="C16" s="57" t="inlineStr">
        <is>
          <t>rames</t>
        </is>
      </c>
      <c r="D16" s="58" t="inlineStr">
        <is>
          <t>EOQ/2 + stock sécurité</t>
        </is>
      </c>
    </row>
    <row r="17" ht="16" customHeight="1">
      <c r="A17" s="43" t="inlineStr">
        <is>
          <t>Coût annuel de passation</t>
        </is>
      </c>
      <c r="B17" s="62">
        <f>IFERROR(ROUND((B3/B12)*B4,0),"")</f>
        <v/>
      </c>
      <c r="C17" s="57" t="inlineStr">
        <is>
          <t>DA</t>
        </is>
      </c>
      <c r="D17" s="58" t="inlineStr">
        <is>
          <t>Nb cmd × CL</t>
        </is>
      </c>
    </row>
    <row r="18" ht="16" customHeight="1">
      <c r="A18" s="43" t="inlineStr">
        <is>
          <t>Coût annuel de détention</t>
        </is>
      </c>
      <c r="B18" s="62">
        <f>IFERROR(ROUND((B12/2+B7)*B6*B5,0),"")</f>
        <v/>
      </c>
      <c r="C18" s="57" t="inlineStr">
        <is>
          <t>DA</t>
        </is>
      </c>
      <c r="D18" s="58" t="inlineStr">
        <is>
          <t>Stock moyen × t × PU</t>
        </is>
      </c>
    </row>
    <row r="19" ht="16" customHeight="1">
      <c r="A19" s="43" t="inlineStr">
        <is>
          <t>Coût Variable Total (CVT)</t>
        </is>
      </c>
      <c r="B19" s="62">
        <f>IFERROR(B17+B18,"")</f>
        <v/>
      </c>
      <c r="C19" s="103" t="inlineStr">
        <is>
          <t>✅ Corrigé: CVT = Cp + Cd (était référence circulaire)</t>
        </is>
      </c>
      <c r="D19" s="58" t="inlineStr">
        <is>
          <t>Passation + Détention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8" customWidth="1" min="4" max="4"/>
    <col width="15" customWidth="1" min="5" max="5"/>
    <col width="14" customWidth="1" min="6" max="6"/>
    <col width="13" customWidth="1" min="7" max="7"/>
    <col width="14" customWidth="1" min="8" max="8"/>
  </cols>
  <sheetData>
    <row r="1" ht="24" customHeight="1">
      <c r="A1" s="10" t="inlineStr">
        <is>
          <t>📁  HISTORIQUE DES COMMANDES ET RÉCEPTIONS</t>
        </is>
      </c>
    </row>
    <row r="2" ht="20" customHeight="1">
      <c r="A2" s="4" t="inlineStr">
        <is>
          <t>N° BC</t>
        </is>
      </c>
      <c r="B2" s="4" t="inlineStr">
        <is>
          <t>Date BC</t>
        </is>
      </c>
      <c r="C2" s="4" t="inlineStr">
        <is>
          <t>Fournisseur</t>
        </is>
      </c>
      <c r="D2" s="4" t="inlineStr">
        <is>
          <t>Article</t>
        </is>
      </c>
      <c r="E2" s="4" t="inlineStr">
        <is>
          <t>Qté commandée</t>
        </is>
      </c>
      <c r="F2" s="4" t="inlineStr">
        <is>
          <t>Date livraison</t>
        </is>
      </c>
      <c r="G2" s="4" t="inlineStr">
        <is>
          <t>Qté reçue</t>
        </is>
      </c>
      <c r="H2" s="4" t="inlineStr">
        <is>
          <t>Statut BC</t>
        </is>
      </c>
    </row>
    <row r="3" ht="16" customHeight="1">
      <c r="A3" s="11" t="inlineStr">
        <is>
          <t>BC-001</t>
        </is>
      </c>
      <c r="B3" s="11" t="inlineStr">
        <is>
          <t>2026-02-01</t>
        </is>
      </c>
      <c r="C3" s="11" t="inlineStr">
        <is>
          <t>Papeterie ENAP Alger</t>
        </is>
      </c>
      <c r="D3" s="8" t="inlineStr">
        <is>
          <t>Rame papier A4</t>
        </is>
      </c>
      <c r="E3" s="11" t="n">
        <v>1000</v>
      </c>
      <c r="F3" s="11" t="inlineStr">
        <is>
          <t>2026-02-03</t>
        </is>
      </c>
      <c r="G3" s="11" t="n">
        <v>1000</v>
      </c>
      <c r="H3" s="12" t="inlineStr">
        <is>
          <t>✅ Livré</t>
        </is>
      </c>
    </row>
    <row r="4" ht="16" customHeight="1">
      <c r="A4" s="15" t="inlineStr">
        <is>
          <t>BC-002</t>
        </is>
      </c>
      <c r="B4" s="15" t="inlineStr">
        <is>
          <t>2026-02-08</t>
        </is>
      </c>
      <c r="C4" s="15" t="inlineStr">
        <is>
          <t>Papeterie ENAP Alger</t>
        </is>
      </c>
      <c r="D4" s="14" t="inlineStr">
        <is>
          <t>Cahier 192 pages</t>
        </is>
      </c>
      <c r="E4" s="15" t="n">
        <v>200</v>
      </c>
      <c r="F4" s="15" t="inlineStr">
        <is>
          <t>2026-02-10</t>
        </is>
      </c>
      <c r="G4" s="15" t="n">
        <v>200</v>
      </c>
      <c r="H4" s="12" t="inlineStr">
        <is>
          <t>✅ Livré</t>
        </is>
      </c>
    </row>
    <row r="5" ht="16" customHeight="1">
      <c r="A5" s="11" t="inlineStr">
        <is>
          <t>BC-003</t>
        </is>
      </c>
      <c r="B5" s="11" t="inlineStr">
        <is>
          <t>2026-02-15</t>
        </is>
      </c>
      <c r="C5" s="11" t="inlineStr">
        <is>
          <t>Papeterie ENAP Alger</t>
        </is>
      </c>
      <c r="D5" s="8" t="inlineStr">
        <is>
          <t>Stylos boîte 50</t>
        </is>
      </c>
      <c r="E5" s="11" t="n">
        <v>5</v>
      </c>
      <c r="F5" s="11" t="inlineStr">
        <is>
          <t>2026-02-17</t>
        </is>
      </c>
      <c r="G5" s="11" t="n">
        <v>5</v>
      </c>
      <c r="H5" s="12" t="inlineStr">
        <is>
          <t>✅ Livré</t>
        </is>
      </c>
    </row>
    <row r="6" ht="16" customHeight="1">
      <c r="A6" s="15" t="inlineStr">
        <is>
          <t>BC-004</t>
        </is>
      </c>
      <c r="B6" s="15" t="inlineStr">
        <is>
          <t>2026-03-01</t>
        </is>
      </c>
      <c r="C6" s="15" t="inlineStr">
        <is>
          <t>Papeterie ENAP Alger</t>
        </is>
      </c>
      <c r="D6" s="14" t="inlineStr">
        <is>
          <t>Rame papier A4</t>
        </is>
      </c>
      <c r="E6" s="15" t="n">
        <v>500</v>
      </c>
      <c r="F6" s="15" t="inlineStr">
        <is>
          <t>2026-03-03</t>
        </is>
      </c>
      <c r="G6" s="15" t="n">
        <v>500</v>
      </c>
      <c r="H6" s="12" t="inlineStr">
        <is>
          <t>✅ Livré</t>
        </is>
      </c>
    </row>
    <row r="7" ht="16" customHeight="1">
      <c r="A7" s="11" t="inlineStr">
        <is>
          <t>BC-005</t>
        </is>
      </c>
      <c r="B7" s="11" t="inlineStr">
        <is>
          <t>2026-03-05</t>
        </is>
      </c>
      <c r="C7" s="11" t="inlineStr">
        <is>
          <t>Bureautique Center</t>
        </is>
      </c>
      <c r="D7" s="8" t="inlineStr">
        <is>
          <t>Cartouche toner HP</t>
        </is>
      </c>
      <c r="E7" s="11" t="n">
        <v>8</v>
      </c>
      <c r="F7" s="11" t="inlineStr">
        <is>
          <t>2026-03-08</t>
        </is>
      </c>
      <c r="G7" s="11" t="n">
        <v>8</v>
      </c>
      <c r="H7" s="12" t="inlineStr">
        <is>
          <t>✅ Livré</t>
        </is>
      </c>
    </row>
    <row r="8" ht="16" customHeight="1">
      <c r="A8" s="15" t="inlineStr">
        <is>
          <t>BC-006</t>
        </is>
      </c>
      <c r="B8" s="15" t="inlineStr">
        <is>
          <t>2026-03-15</t>
        </is>
      </c>
      <c r="C8" s="15" t="inlineStr">
        <is>
          <t>Papeterie ENAP Alger</t>
        </is>
      </c>
      <c r="D8" s="14" t="inlineStr">
        <is>
          <t>Rame papier A3</t>
        </is>
      </c>
      <c r="E8" s="15" t="n">
        <v>50</v>
      </c>
      <c r="F8" s="15" t="inlineStr">
        <is>
          <t>2026-03-18</t>
        </is>
      </c>
      <c r="G8" s="15" t="n">
        <v>50</v>
      </c>
      <c r="H8" s="12" t="inlineStr">
        <is>
          <t>✅ Livré</t>
        </is>
      </c>
    </row>
    <row r="9" ht="16" customHeight="1">
      <c r="A9" s="11" t="inlineStr">
        <is>
          <t>BC-007</t>
        </is>
      </c>
      <c r="B9" s="11" t="inlineStr">
        <is>
          <t>2026-03-20</t>
        </is>
      </c>
      <c r="C9" s="11" t="inlineStr">
        <is>
          <t>Bureautique Center</t>
        </is>
      </c>
      <c r="D9" s="8" t="inlineStr">
        <is>
          <t>Tambour HP</t>
        </is>
      </c>
      <c r="E9" s="11" t="n">
        <v>1</v>
      </c>
      <c r="F9" s="11" t="n"/>
      <c r="G9" s="11" t="n">
        <v>0</v>
      </c>
      <c r="H9" s="63" t="inlineStr">
        <is>
          <t>🕐 En attente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C4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0" customWidth="1" min="3" max="3"/>
  </cols>
  <sheetData>
    <row r="1" ht="26" customHeight="1">
      <c r="B1" s="64" t="inlineStr">
        <is>
          <t>ℹ️  GUIDE D'UTILISATION — SYSTÈME ERP STOCK ACADÉMIE</t>
        </is>
      </c>
    </row>
    <row r="3" ht="20" customHeight="1">
      <c r="B3" s="65" t="inlineStr">
        <is>
          <t xml:space="preserve">  ACCUEIL &amp; NAVIGATION</t>
        </is>
      </c>
    </row>
    <row r="4" ht="16" customHeight="1">
      <c r="B4" s="66" t="inlineStr">
        <is>
          <t xml:space="preserve">  Ce fichier est le système ERP de gestion des stocks du magasin de l'Académie d'El Bayadh.</t>
        </is>
      </c>
      <c r="C4" s="45" t="n"/>
    </row>
    <row r="5" ht="16" customHeight="1">
      <c r="B5" s="67" t="inlineStr">
        <is>
          <t xml:space="preserve">  Chaque onglet correspond à un module. Ne jamais supprimer une colonne avec une formule.</t>
        </is>
      </c>
      <c r="C5" s="45" t="n"/>
    </row>
    <row r="6" ht="16" customHeight="1">
      <c r="B6" s="66" t="inlineStr">
        <is>
          <t xml:space="preserve">  Sauvegarder une copie de sauvegarde chaque semaine (ex: ERP_Stock_2026_S12.xlsx).</t>
        </is>
      </c>
      <c r="C6" s="45" t="n"/>
    </row>
    <row r="8" ht="20" customHeight="1">
      <c r="B8" s="61" t="inlineStr">
        <is>
          <t xml:space="preserve">  ARTICLES — Comment ajouter un article</t>
        </is>
      </c>
    </row>
    <row r="9" ht="16" customHeight="1">
      <c r="B9" s="67" t="inlineStr">
        <is>
          <t xml:space="preserve">  1. Aller sur l'onglet ARTICLES.</t>
        </is>
      </c>
      <c r="C9" s="45" t="n"/>
    </row>
    <row r="10" ht="16" customHeight="1">
      <c r="B10" s="66" t="inlineStr">
        <is>
          <t xml:space="preserve">  2. Saisir le code article (ex: ART-016) dans la colonne A.</t>
        </is>
      </c>
      <c r="C10" s="45" t="n"/>
    </row>
    <row r="11" ht="16" customHeight="1">
      <c r="B11" s="67" t="inlineStr">
        <is>
          <t xml:space="preserve">  3. Remplir la désignation, catégorie, classe ABC (A/B/C), unité, stocks min/max, prix, fournisseur, emplacement.</t>
        </is>
      </c>
      <c r="C11" s="45" t="n"/>
    </row>
    <row r="12" ht="16" customHeight="1">
      <c r="B12" s="66" t="inlineStr">
        <is>
          <t xml:space="preserve">  4. Aller sur DASHBOARD et ajouter le même code article en colonne A pour l'activer.</t>
        </is>
      </c>
      <c r="C12" s="45" t="n"/>
    </row>
    <row r="14" ht="20" customHeight="1">
      <c r="B14" s="68" t="inlineStr">
        <is>
          <t xml:space="preserve">  MOUVEMENTS — Enregistrer une entrée ou sortie</t>
        </is>
      </c>
    </row>
    <row r="15" ht="16" customHeight="1">
      <c r="B15" s="67" t="inlineStr">
        <is>
          <t xml:space="preserve">  1. Aller sur l'onglet MOUVEMENTS.</t>
        </is>
      </c>
      <c r="C15" s="45" t="n"/>
    </row>
    <row r="16" ht="16" customHeight="1">
      <c r="B16" s="66" t="inlineStr">
        <is>
          <t xml:space="preserve">  2. Dans la première ligne vide: saisir la Date (format JJ/MM/AAAA).</t>
        </is>
      </c>
      <c r="C16" s="45" t="n"/>
    </row>
    <row r="17" ht="16" customHeight="1">
      <c r="B17" s="67" t="inlineStr">
        <is>
          <t xml:space="preserve">  3. Saisir le Code Article (ex: ART-001). La désignation s'affiche automatiquement.</t>
        </is>
      </c>
      <c r="C17" s="45" t="n"/>
    </row>
    <row r="18" ht="16" customHeight="1">
      <c r="B18" s="66" t="inlineStr">
        <is>
          <t xml:space="preserve">  4. Choisir le Type: IN (entrée) ou OUT (sortie) dans la liste déroulante.</t>
        </is>
      </c>
      <c r="C18" s="45" t="n"/>
    </row>
    <row r="19" ht="16" customHeight="1">
      <c r="B19" s="67" t="inlineStr">
        <is>
          <t xml:space="preserve">  5. Saisir la Quantité et le Prix Unitaire. La Valeur se calcule automatiquement.</t>
        </is>
      </c>
      <c r="C19" s="45" t="n"/>
    </row>
    <row r="20" ht="16" customHeight="1">
      <c r="B20" s="66" t="inlineStr">
        <is>
          <t xml:space="preserve">  6. Saisir le N° de référence (BR-XXX ou BS-XXX) et le nom de l'opérateur.</t>
        </is>
      </c>
      <c r="C20" s="45" t="n"/>
    </row>
    <row r="21" ht="16" customHeight="1">
      <c r="B21" s="67" t="inlineStr">
        <is>
          <t xml:space="preserve">  7. Le DASHBOARD se met à jour automatiquement (calculer avec F9 si besoin).</t>
        </is>
      </c>
      <c r="C21" s="45" t="n"/>
    </row>
    <row r="23" ht="20" customHeight="1">
      <c r="B23" s="65" t="inlineStr">
        <is>
          <t xml:space="preserve">  DASHBOARD — Lire les alertes</t>
        </is>
      </c>
    </row>
    <row r="24" ht="16" customHeight="1">
      <c r="B24" s="66" t="inlineStr">
        <is>
          <t xml:space="preserve">  🟢 OK: le stock est suffisant au-dessus du seuil minimum.</t>
        </is>
      </c>
      <c r="C24" s="45" t="n"/>
    </row>
    <row r="25" ht="16" customHeight="1">
      <c r="B25" s="67" t="inlineStr">
        <is>
          <t xml:space="preserve">  🟡 ALERTE: le stock a atteint ou dépassé le seuil minimum → passer une commande!</t>
        </is>
      </c>
      <c r="C25" s="45" t="n"/>
    </row>
    <row r="26" ht="16" customHeight="1">
      <c r="B26" s="66" t="inlineStr">
        <is>
          <t xml:space="preserve">  🔴 RUPTURE: le stock est à zéro → urgence, commander immédiatement.</t>
        </is>
      </c>
      <c r="C26" s="45" t="n"/>
    </row>
    <row r="27" ht="16" customHeight="1">
      <c r="B27" s="67" t="inlineStr">
        <is>
          <t xml:space="preserve">  Appuyer sur F9 pour forcer le recalcul si les formules ne s'actualisent pas.</t>
        </is>
      </c>
      <c r="C27" s="45" t="n"/>
    </row>
    <row r="29" ht="20" customHeight="1">
      <c r="B29" s="61" t="inlineStr">
        <is>
          <t xml:space="preserve">  CALCULS_EOQ — Utiliser le calculateur Wilson</t>
        </is>
      </c>
    </row>
    <row r="30" ht="16" customHeight="1">
      <c r="B30" s="66" t="inlineStr">
        <is>
          <t xml:space="preserve">  1. Modifier les valeurs en BLEU (D, CL, PU, t, SS, DL) selon votre article.</t>
        </is>
      </c>
      <c r="C30" s="45" t="n"/>
    </row>
    <row r="31" ht="16" customHeight="1">
      <c r="B31" s="67" t="inlineStr">
        <is>
          <t xml:space="preserve">  2. Les résultats (EOQ, ROP, CVT) se calculent automatiquement en vert.</t>
        </is>
      </c>
      <c r="C31" s="45" t="n"/>
    </row>
    <row r="32" ht="16" customHeight="1">
      <c r="B32" s="66" t="inlineStr">
        <is>
          <t xml:space="preserve">  3. EOQ = quantité optimale à commander à chaque fois.</t>
        </is>
      </c>
      <c r="C32" s="45" t="n"/>
    </row>
    <row r="33" ht="16" customHeight="1">
      <c r="B33" s="67" t="inlineStr">
        <is>
          <t xml:space="preserve">  4. ROP = niveau de stock déclenchant une nouvelle commande.</t>
        </is>
      </c>
      <c r="C33" s="45" t="n"/>
    </row>
    <row r="34" ht="16" customHeight="1">
      <c r="B34" s="66" t="inlineStr">
        <is>
          <t xml:space="preserve">  5. Ne modifier jamais les cellules en VERT (formules de résultats).</t>
        </is>
      </c>
      <c r="C34" s="45" t="n"/>
    </row>
    <row r="36" ht="20" customHeight="1">
      <c r="B36" s="68" t="inlineStr">
        <is>
          <t xml:space="preserve">  INVENTAIRE — Fiche de stock CMUP</t>
        </is>
      </c>
    </row>
    <row r="37" ht="16" customHeight="1">
      <c r="B37" s="67" t="inlineStr">
        <is>
          <t xml:space="preserve">  Changer le code article en cellule B2 pour afficher sa fiche.</t>
        </is>
      </c>
      <c r="C37" s="45" t="n"/>
    </row>
    <row r="38" ht="16" customHeight="1">
      <c r="B38" s="66" t="inlineStr">
        <is>
          <t xml:space="preserve">  Ajouter chaque mouvement (entrée ou sortie) dans les lignes suivantes.</t>
        </is>
      </c>
      <c r="C38" s="45" t="n"/>
    </row>
    <row r="39" ht="16" customHeight="1">
      <c r="B39" s="67" t="inlineStr">
        <is>
          <t xml:space="preserve">  Le CMUP (Coût Moyen Unitaire Pondéré) se recalcule automatiquement.</t>
        </is>
      </c>
      <c r="C39" s="45" t="n"/>
    </row>
    <row r="40" ht="16" customHeight="1">
      <c r="B40" s="66" t="inlineStr">
        <is>
          <t xml:space="preserve">  La valeur du stock en DA apparaît en colonne J.</t>
        </is>
      </c>
      <c r="C40" s="45" t="n"/>
    </row>
    <row r="41" ht="16" customHeight="1">
      <c r="B41" s="67" t="inlineStr">
        <is>
          <t xml:space="preserve">  Imprimer cette fiche pour le PV d'inventaire.</t>
        </is>
      </c>
      <c r="C41" s="45" t="n"/>
    </row>
    <row r="43" ht="20" customHeight="1">
      <c r="B43" s="69" t="inlineStr">
        <is>
          <t xml:space="preserve">  COMPATIBILITÉ WINDOWS 7 / EXCEL 2010</t>
        </is>
      </c>
    </row>
    <row r="44" ht="16" customHeight="1">
      <c r="B44" s="66" t="inlineStr">
        <is>
          <t xml:space="preserve">  Ce fichier est conçu pour fonctionner sur Windows 7 avec Excel 2010 ou supérieur.</t>
        </is>
      </c>
      <c r="C44" s="45" t="n"/>
    </row>
    <row r="45" ht="16" customHeight="1">
      <c r="B45" s="67" t="inlineStr">
        <is>
          <t xml:space="preserve">  Toutes les formules utilisées sont compatibles: VLOOKUP, SUMIFS, IF, IFERROR, SQRT.</t>
        </is>
      </c>
      <c r="C45" s="45" t="n"/>
    </row>
    <row r="46" ht="16" customHeight="1">
      <c r="B46" s="66" t="inlineStr">
        <is>
          <t xml:space="preserve">  Pas de XLOOKUP (Excel 2019+) utilisé — volontairement pour compatibilité.</t>
        </is>
      </c>
      <c r="C46" s="45" t="n"/>
    </row>
    <row r="47" ht="16" customHeight="1">
      <c r="B47" s="67" t="inlineStr">
        <is>
          <t xml:space="preserve">  Format .xlsx sans macros VBA. Sauvegarder au format .xlsx standard.</t>
        </is>
      </c>
      <c r="C47" s="45" t="n"/>
    </row>
    <row r="48" ht="16" customHeight="1">
      <c r="B48" s="66" t="inlineStr">
        <is>
          <t xml:space="preserve">  Si Excel demande d'activer les macros, cliquer sur Activer.</t>
        </is>
      </c>
      <c r="C48" s="45" t="n"/>
    </row>
  </sheetData>
  <mergeCells count="41">
    <mergeCell ref="B47:C47"/>
    <mergeCell ref="B16:C16"/>
    <mergeCell ref="B25:C25"/>
    <mergeCell ref="B3:C3"/>
    <mergeCell ref="B46:C46"/>
    <mergeCell ref="B31:C31"/>
    <mergeCell ref="B27:C27"/>
    <mergeCell ref="B18:C18"/>
    <mergeCell ref="B43:C43"/>
    <mergeCell ref="B12:C12"/>
    <mergeCell ref="B39:C39"/>
    <mergeCell ref="B21:C21"/>
    <mergeCell ref="B48:C48"/>
    <mergeCell ref="B11:C11"/>
    <mergeCell ref="B23:C23"/>
    <mergeCell ref="B14:C14"/>
    <mergeCell ref="B17:C17"/>
    <mergeCell ref="B1:C1"/>
    <mergeCell ref="B8:C8"/>
    <mergeCell ref="B38:C38"/>
    <mergeCell ref="B44:C44"/>
    <mergeCell ref="B29:C29"/>
    <mergeCell ref="B19:C19"/>
    <mergeCell ref="B34:C34"/>
    <mergeCell ref="B37:C37"/>
    <mergeCell ref="B10:C10"/>
    <mergeCell ref="B40:C40"/>
    <mergeCell ref="B9:C9"/>
    <mergeCell ref="B6:C6"/>
    <mergeCell ref="B24:C24"/>
    <mergeCell ref="B30:C30"/>
    <mergeCell ref="B15:C15"/>
    <mergeCell ref="B33:C33"/>
    <mergeCell ref="B5:C5"/>
    <mergeCell ref="B20:C20"/>
    <mergeCell ref="B45:C45"/>
    <mergeCell ref="B36:C36"/>
    <mergeCell ref="B32:C32"/>
    <mergeCell ref="B26:C26"/>
    <mergeCell ref="B41:C4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2026-03-22T05:06:14Z</dcterms:created>
  <dcterms:modified xmlns:dcterms="http://purl.org/dc/terms/" xmlns:xsi="http://www.w3.org/2001/XMLSchema-instance" xsi:type="dcterms:W3CDTF">2026-03-22T06:22:35Z</dcterms:modified>
</cp:coreProperties>
</file>