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SIE_MARS_2026" sheetId="1" state="visible" r:id="rId1"/>
    <sheet xmlns:r="http://schemas.openxmlformats.org/officeDocument/2006/relationships" name="GUIDE_ARTIC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5D4037"/>
      <sz val="9"/>
    </font>
    <font>
      <name val="Arial"/>
      <color rgb="00000000"/>
      <sz val="9"/>
    </font>
    <font>
      <name val="Arial"/>
      <b val="1"/>
      <color rgb="00FFFFFF"/>
      <sz val="10"/>
    </font>
    <font>
      <name val="Arial"/>
      <i val="1"/>
      <color rgb="001A5276"/>
      <sz val="8"/>
    </font>
    <font>
      <name val="Arial"/>
      <b val="1"/>
      <color rgb="00000000"/>
      <sz val="10"/>
    </font>
    <font>
      <name val="Arial"/>
      <color rgb="00000000"/>
      <sz val="10"/>
    </font>
    <font>
      <name val="Arial"/>
      <i val="1"/>
      <color rgb="001A5276"/>
      <sz val="10"/>
    </font>
    <font>
      <name val="Arial"/>
      <b val="1"/>
      <color rgb="0027AE60"/>
      <sz val="10"/>
    </font>
    <font>
      <name val="Arial"/>
      <b val="1"/>
      <color rgb="00C0392B"/>
      <sz val="10"/>
    </font>
    <font>
      <name val="Arial"/>
      <color rgb="005D4037"/>
      <sz val="9"/>
    </font>
    <font>
      <name val="Arial"/>
      <b val="1"/>
      <color rgb="00FFFFFF"/>
      <sz val="12"/>
    </font>
    <font>
      <name val="Arial"/>
      <i val="1"/>
      <color rgb="00000000"/>
      <sz val="9"/>
    </font>
  </fonts>
  <fills count="13">
    <fill>
      <patternFill/>
    </fill>
    <fill>
      <patternFill patternType="gray125"/>
    </fill>
    <fill>
      <patternFill patternType="solid">
        <fgColor rgb="001B2631"/>
      </patternFill>
    </fill>
    <fill>
      <patternFill patternType="solid">
        <fgColor rgb="00FFF9C4"/>
      </patternFill>
    </fill>
    <fill>
      <patternFill patternType="solid">
        <fgColor rgb="00EAFAF1"/>
      </patternFill>
    </fill>
    <fill>
      <patternFill patternType="solid">
        <fgColor rgb="00FADBD8"/>
      </patternFill>
    </fill>
    <fill>
      <patternFill patternType="solid">
        <fgColor rgb="000C447C"/>
      </patternFill>
    </fill>
    <fill>
      <patternFill patternType="solid">
        <fgColor rgb="00EBF5FB"/>
      </patternFill>
    </fill>
    <fill>
      <patternFill patternType="solid">
        <fgColor rgb="00F2F3F4"/>
      </patternFill>
    </fill>
    <fill>
      <patternFill patternType="solid">
        <fgColor rgb="00E8F8F5"/>
      </patternFill>
    </fill>
    <fill>
      <patternFill patternType="solid">
        <fgColor rgb="00D5F5E3"/>
      </patternFill>
    </fill>
    <fill>
      <patternFill patternType="solid">
        <fgColor rgb="00F8F9FA"/>
      </patternFill>
    </fill>
    <fill>
      <patternFill patternType="solid">
        <fgColor rgb="00FEF9E7"/>
      </patternFill>
    </fill>
  </fills>
  <borders count="7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 style="thin">
        <color rgb="000C447C"/>
      </left>
      <right style="thin">
        <color rgb="000C447C"/>
      </right>
      <top style="thin">
        <color rgb="000C447C"/>
      </top>
      <bottom style="thin">
        <color rgb="000C447C"/>
      </bottom>
    </border>
    <border>
      <left style="thin">
        <color rgb="00F39C12"/>
      </left>
      <right style="thin">
        <color rgb="00F39C12"/>
      </right>
      <top style="thin">
        <color rgb="00F39C12"/>
      </top>
      <bottom style="thin">
        <color rgb="00F39C12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right" vertical="center"/>
    </xf>
    <xf numFmtId="3" fontId="7" fillId="9" borderId="1" applyAlignment="1" pivotButton="0" quotePrefix="0" xfId="0">
      <alignment horizontal="right" vertical="center"/>
    </xf>
    <xf numFmtId="3" fontId="6" fillId="10" borderId="1" applyAlignment="1" pivotButton="0" quotePrefix="0" xfId="0">
      <alignment horizontal="right" vertical="center"/>
    </xf>
    <xf numFmtId="0" fontId="3" fillId="11" borderId="1" applyAlignment="1" pivotButton="0" quotePrefix="0" xfId="0">
      <alignment horizontal="center" vertical="center"/>
    </xf>
    <xf numFmtId="0" fontId="4" fillId="6" borderId="5" applyAlignment="1" pivotButton="0" quotePrefix="0" xfId="0">
      <alignment horizontal="center" vertical="center"/>
    </xf>
    <xf numFmtId="0" fontId="0" fillId="0" borderId="5" pivotButton="0" quotePrefix="0" xfId="0"/>
    <xf numFmtId="3" fontId="6" fillId="10" borderId="5" applyAlignment="1" pivotButton="0" quotePrefix="0" xfId="0">
      <alignment horizontal="right" vertical="center"/>
    </xf>
    <xf numFmtId="0" fontId="9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11" fillId="12" borderId="6" applyAlignment="1" pivotButton="0" quotePrefix="0" xfId="0">
      <alignment horizontal="left" vertical="top" wrapText="1"/>
    </xf>
    <xf numFmtId="0" fontId="12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/>
    </xf>
    <xf numFmtId="3" fontId="7" fillId="12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B6D11"/>
    <outlinePr summaryBelow="1" summaryRight="1"/>
    <pageSetUpPr/>
  </sheetPr>
  <dimension ref="A1:N2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3" customWidth="1" min="3" max="3"/>
    <col width="32" customWidth="1" min="4" max="4"/>
    <col width="14" customWidth="1" min="5" max="5"/>
    <col width="10" customWidth="1" min="6" max="6"/>
    <col width="16" customWidth="1" min="7" max="7"/>
    <col width="14" customWidth="1" min="8" max="8"/>
    <col width="14" customWidth="1" min="9" max="9"/>
    <col width="26" customWidth="1" min="10" max="10"/>
    <col hidden="1" width="13" customWidth="1" min="12" max="12"/>
    <col hidden="1" width="13" customWidth="1" min="13" max="13"/>
    <col hidden="1" width="13" customWidth="1" min="14" max="14"/>
  </cols>
  <sheetData>
    <row r="1" ht="24" customHeight="1">
      <c r="A1" s="1" t="inlineStr">
        <is>
          <t>FICHE DE SAISIE — MOUVEMENTS MARS 2026  |  Magasin Mdidriya Tarbiya El Bayadh  |  À intégrer dans ERP_Academie_v5_final.xlsx</t>
        </is>
      </c>
      <c r="L1" t="inlineStr">
        <is>
          <t>REF_CODE</t>
        </is>
      </c>
      <c r="M1" t="inlineStr">
        <is>
          <t>REF_NOM</t>
        </is>
      </c>
      <c r="N1" t="inlineStr">
        <is>
          <t>REF_PU</t>
        </is>
      </c>
    </row>
    <row r="2" ht="28" customHeight="1">
      <c r="A2" s="2" t="inlineStr">
        <is>
          <t>Instructions : Remplir les colonnes B à I pour chaque mouvement. Colonne A = numéro auto. Colonnes J = Statut validation auto. Cellules jaunes = saisie obligatoire. Ne pas modifier les en-têtes.</t>
        </is>
      </c>
      <c r="L2" t="inlineStr">
        <is>
          <t>ART-001</t>
        </is>
      </c>
      <c r="M2" t="inlineStr">
        <is>
          <t>Rame papier A4 80g/m2</t>
        </is>
      </c>
      <c r="N2" t="n">
        <v>400</v>
      </c>
    </row>
    <row r="3" ht="16" customHeight="1">
      <c r="A3" s="3" t="inlineStr"/>
      <c r="B3" s="3" t="inlineStr">
        <is>
          <t>ENTRÉE = IN</t>
        </is>
      </c>
      <c r="C3" s="4" t="n"/>
      <c r="D3" s="5" t="inlineStr"/>
      <c r="E3" s="5" t="inlineStr">
        <is>
          <t>SORTIE = OUT</t>
        </is>
      </c>
      <c r="F3" s="4" t="n"/>
      <c r="G3" s="6" t="inlineStr"/>
      <c r="H3" s="6" t="inlineStr">
        <is>
          <t>Cellule modifiable</t>
        </is>
      </c>
      <c r="I3" s="4" t="n"/>
      <c r="L3" t="inlineStr">
        <is>
          <t>ART-002</t>
        </is>
      </c>
      <c r="M3" t="inlineStr">
        <is>
          <t>Toner laser noir HP</t>
        </is>
      </c>
      <c r="N3" t="n">
        <v>3500</v>
      </c>
    </row>
    <row r="4" ht="18" customHeight="1">
      <c r="A4" s="7" t="inlineStr">
        <is>
          <t>#</t>
        </is>
      </c>
      <c r="B4" s="7" t="inlineStr">
        <is>
          <t>Date</t>
        </is>
      </c>
      <c r="C4" s="7" t="inlineStr">
        <is>
          <t>Code Article</t>
        </is>
      </c>
      <c r="D4" s="7" t="inlineStr">
        <is>
          <t>Designation (auto)</t>
        </is>
      </c>
      <c r="E4" s="7" t="inlineStr">
        <is>
          <t>Type</t>
        </is>
      </c>
      <c r="F4" s="7" t="inlineStr">
        <is>
          <t>Quantite</t>
        </is>
      </c>
      <c r="G4" s="7" t="inlineStr">
        <is>
          <t>Prix Unit. (DA)</t>
        </is>
      </c>
      <c r="H4" s="7" t="inlineStr">
        <is>
          <t>Valeur (DA)</t>
        </is>
      </c>
      <c r="I4" s="7" t="inlineStr">
        <is>
          <t>Ref. Document</t>
        </is>
      </c>
      <c r="J4" s="7" t="inlineStr">
        <is>
          <t>Validation</t>
        </is>
      </c>
      <c r="L4" t="inlineStr">
        <is>
          <t>ART-003</t>
        </is>
      </c>
      <c r="M4" t="inlineStr">
        <is>
          <t>Cartouche encre Canon</t>
        </is>
      </c>
      <c r="N4" t="n">
        <v>2200</v>
      </c>
    </row>
    <row r="5" ht="14" customHeight="1">
      <c r="A5" s="8" t="inlineStr"/>
      <c r="B5" s="8" t="inlineStr">
        <is>
          <t>JJ/MM/AAAA</t>
        </is>
      </c>
      <c r="C5" s="8" t="inlineStr">
        <is>
          <t>ART-001 à ART-008</t>
        </is>
      </c>
      <c r="D5" s="8" t="inlineStr">
        <is>
          <t>Automatique via VLOOKUP</t>
        </is>
      </c>
      <c r="E5" s="8" t="inlineStr">
        <is>
          <t>IN ou OUT</t>
        </is>
      </c>
      <c r="F5" s="8" t="inlineStr">
        <is>
          <t>Nombre entier</t>
        </is>
      </c>
      <c r="G5" s="8" t="inlineStr">
        <is>
          <t>DA — prix unitaire</t>
        </is>
      </c>
      <c r="H5" s="8">
        <f>Qté × PU</f>
        <v/>
      </c>
      <c r="I5" s="8" t="inlineStr">
        <is>
          <t>BR-XXX / BS-XXX</t>
        </is>
      </c>
      <c r="J5" s="8" t="inlineStr">
        <is>
          <t>Auto-check</t>
        </is>
      </c>
      <c r="L5" t="inlineStr">
        <is>
          <t>ART-004</t>
        </is>
      </c>
      <c r="M5" t="inlineStr">
        <is>
          <t>Stylos bille bleu x50</t>
        </is>
      </c>
      <c r="N5" t="n">
        <v>400</v>
      </c>
    </row>
    <row r="6" ht="18" customHeight="1">
      <c r="A6" s="9" t="n">
        <v>1</v>
      </c>
      <c r="B6" s="10" t="n"/>
      <c r="C6" s="11" t="n"/>
      <c r="D6" s="12">
        <f>IFERROR(VLOOKUP(C6,$L$2:$N$9,2,0),"")</f>
        <v/>
      </c>
      <c r="E6" s="13" t="n"/>
      <c r="F6" s="14" t="n"/>
      <c r="G6" s="15">
        <f>IFERROR(VLOOKUP(C6,$L$2:$N$9,3,0),"")</f>
        <v/>
      </c>
      <c r="H6" s="16">
        <f>IFERROR(IF(AND(F6&lt;&gt;"",G6&lt;&gt;""),F6*G6,""),"")</f>
        <v/>
      </c>
      <c r="I6" s="11" t="n"/>
      <c r="J6" s="17">
        <f>IF(OR(B6="",C6="",E6="",F6="",I6=""),"⚠ Incomplet",IF(NOT(OR(E6="IN",E6="OUT")),"❌ Type invalide",IF(F6&lt;=0,"❌ Qte invalide","✓ Pret à saisir")))</f>
        <v/>
      </c>
      <c r="L6" t="inlineStr">
        <is>
          <t>ART-005</t>
        </is>
      </c>
      <c r="M6" t="inlineStr">
        <is>
          <t>Cahier grand format 192p</t>
        </is>
      </c>
      <c r="N6" t="n">
        <v>85</v>
      </c>
    </row>
    <row r="7" ht="18" customHeight="1">
      <c r="A7" s="9" t="n">
        <v>2</v>
      </c>
      <c r="B7" s="10" t="n"/>
      <c r="C7" s="11" t="n"/>
      <c r="D7" s="12">
        <f>IFERROR(VLOOKUP(C7,$L$2:$N$9,2,0),"")</f>
        <v/>
      </c>
      <c r="E7" s="13" t="n"/>
      <c r="F7" s="14" t="n"/>
      <c r="G7" s="15">
        <f>IFERROR(VLOOKUP(C7,$L$2:$N$9,3,0),"")</f>
        <v/>
      </c>
      <c r="H7" s="16">
        <f>IFERROR(IF(AND(F7&lt;&gt;"",G7&lt;&gt;""),F7*G7,""),"")</f>
        <v/>
      </c>
      <c r="I7" s="11" t="n"/>
      <c r="J7" s="17">
        <f>IF(OR(B7="",C7="",E7="",F7="",I7=""),"⚠ Incomplet",IF(NOT(OR(E7="IN",E7="OUT")),"❌ Type invalide",IF(F7&lt;=0,"❌ Qte invalide","✓ Pret à saisir")))</f>
        <v/>
      </c>
      <c r="L7" t="inlineStr">
        <is>
          <t>ART-006</t>
        </is>
      </c>
      <c r="M7" t="inlineStr">
        <is>
          <t>Agrafeuse de bureau</t>
        </is>
      </c>
      <c r="N7" t="n">
        <v>650</v>
      </c>
    </row>
    <row r="8" ht="18" customHeight="1">
      <c r="A8" s="9" t="n">
        <v>3</v>
      </c>
      <c r="B8" s="10" t="n"/>
      <c r="C8" s="11" t="n"/>
      <c r="D8" s="12">
        <f>IFERROR(VLOOKUP(C8,$L$2:$N$9,2,0),"")</f>
        <v/>
      </c>
      <c r="E8" s="13" t="n"/>
      <c r="F8" s="14" t="n"/>
      <c r="G8" s="15">
        <f>IFERROR(VLOOKUP(C8,$L$2:$N$9,3,0),"")</f>
        <v/>
      </c>
      <c r="H8" s="16">
        <f>IFERROR(IF(AND(F8&lt;&gt;"",G8&lt;&gt;""),F8*G8,""),"")</f>
        <v/>
      </c>
      <c r="I8" s="11" t="n"/>
      <c r="J8" s="17">
        <f>IF(OR(B8="",C8="",E8="",F8="",I8=""),"⚠ Incomplet",IF(NOT(OR(E8="IN",E8="OUT")),"❌ Type invalide",IF(F8&lt;=0,"❌ Qte invalide","✓ Pret à saisir")))</f>
        <v/>
      </c>
      <c r="L8" t="inlineStr">
        <is>
          <t>ART-007</t>
        </is>
      </c>
      <c r="M8" t="inlineStr">
        <is>
          <t>Rame papier A3 80g/m2</t>
        </is>
      </c>
      <c r="N8" t="n">
        <v>350</v>
      </c>
    </row>
    <row r="9" ht="18" customHeight="1">
      <c r="A9" s="9" t="n">
        <v>4</v>
      </c>
      <c r="B9" s="10" t="n"/>
      <c r="C9" s="11" t="n"/>
      <c r="D9" s="12">
        <f>IFERROR(VLOOKUP(C9,$L$2:$N$9,2,0),"")</f>
        <v/>
      </c>
      <c r="E9" s="13" t="n"/>
      <c r="F9" s="14" t="n"/>
      <c r="G9" s="15">
        <f>IFERROR(VLOOKUP(C9,$L$2:$N$9,3,0),"")</f>
        <v/>
      </c>
      <c r="H9" s="16">
        <f>IFERROR(IF(AND(F9&lt;&gt;"",G9&lt;&gt;""),F9*G9,""),"")</f>
        <v/>
      </c>
      <c r="I9" s="11" t="n"/>
      <c r="J9" s="17">
        <f>IF(OR(B9="",C9="",E9="",F9="",I9=""),"⚠ Incomplet",IF(NOT(OR(E9="IN",E9="OUT")),"❌ Type invalide",IF(F9&lt;=0,"❌ Qte invalide","✓ Pret à saisir")))</f>
        <v/>
      </c>
      <c r="L9" t="inlineStr">
        <is>
          <t>ART-008</t>
        </is>
      </c>
      <c r="M9" t="inlineStr">
        <is>
          <t>Marqueur permanent noir</t>
        </is>
      </c>
      <c r="N9" t="n">
        <v>85</v>
      </c>
    </row>
    <row r="10" ht="18" customHeight="1">
      <c r="A10" s="9" t="n">
        <v>5</v>
      </c>
      <c r="B10" s="10" t="n"/>
      <c r="C10" s="11" t="n"/>
      <c r="D10" s="12">
        <f>IFERROR(VLOOKUP(C10,$L$2:$N$9,2,0),"")</f>
        <v/>
      </c>
      <c r="E10" s="13" t="n"/>
      <c r="F10" s="14" t="n"/>
      <c r="G10" s="15">
        <f>IFERROR(VLOOKUP(C10,$L$2:$N$9,3,0),"")</f>
        <v/>
      </c>
      <c r="H10" s="16">
        <f>IFERROR(IF(AND(F10&lt;&gt;"",G10&lt;&gt;""),F10*G10,""),"")</f>
        <v/>
      </c>
      <c r="I10" s="11" t="n"/>
      <c r="J10" s="17">
        <f>IF(OR(B10="",C10="",E10="",F10="",I10=""),"⚠ Incomplet",IF(NOT(OR(E10="IN",E10="OUT")),"❌ Type invalide",IF(F10&lt;=0,"❌ Qte invalide","✓ Pret à saisir")))</f>
        <v/>
      </c>
    </row>
    <row r="11" ht="18" customHeight="1">
      <c r="A11" s="9" t="n">
        <v>6</v>
      </c>
      <c r="B11" s="10" t="n"/>
      <c r="C11" s="11" t="n"/>
      <c r="D11" s="12">
        <f>IFERROR(VLOOKUP(C11,$L$2:$N$9,2,0),"")</f>
        <v/>
      </c>
      <c r="E11" s="13" t="n"/>
      <c r="F11" s="14" t="n"/>
      <c r="G11" s="15">
        <f>IFERROR(VLOOKUP(C11,$L$2:$N$9,3,0),"")</f>
        <v/>
      </c>
      <c r="H11" s="16">
        <f>IFERROR(IF(AND(F11&lt;&gt;"",G11&lt;&gt;""),F11*G11,""),"")</f>
        <v/>
      </c>
      <c r="I11" s="11" t="n"/>
      <c r="J11" s="17">
        <f>IF(OR(B11="",C11="",E11="",F11="",I11=""),"⚠ Incomplet",IF(NOT(OR(E11="IN",E11="OUT")),"❌ Type invalide",IF(F11&lt;=0,"❌ Qte invalide","✓ Pret à saisir")))</f>
        <v/>
      </c>
    </row>
    <row r="12" ht="18" customHeight="1">
      <c r="A12" s="9" t="n">
        <v>7</v>
      </c>
      <c r="B12" s="10" t="n"/>
      <c r="C12" s="11" t="n"/>
      <c r="D12" s="12">
        <f>IFERROR(VLOOKUP(C12,$L$2:$N$9,2,0),"")</f>
        <v/>
      </c>
      <c r="E12" s="13" t="n"/>
      <c r="F12" s="14" t="n"/>
      <c r="G12" s="15">
        <f>IFERROR(VLOOKUP(C12,$L$2:$N$9,3,0),"")</f>
        <v/>
      </c>
      <c r="H12" s="16">
        <f>IFERROR(IF(AND(F12&lt;&gt;"",G12&lt;&gt;""),F12*G12,""),"")</f>
        <v/>
      </c>
      <c r="I12" s="11" t="n"/>
      <c r="J12" s="17">
        <f>IF(OR(B12="",C12="",E12="",F12="",I12=""),"⚠ Incomplet",IF(NOT(OR(E12="IN",E12="OUT")),"❌ Type invalide",IF(F12&lt;=0,"❌ Qte invalide","✓ Pret à saisir")))</f>
        <v/>
      </c>
    </row>
    <row r="13" ht="18" customHeight="1">
      <c r="A13" s="9" t="n">
        <v>8</v>
      </c>
      <c r="B13" s="10" t="n"/>
      <c r="C13" s="11" t="n"/>
      <c r="D13" s="12">
        <f>IFERROR(VLOOKUP(C13,$L$2:$N$9,2,0),"")</f>
        <v/>
      </c>
      <c r="E13" s="13" t="n"/>
      <c r="F13" s="14" t="n"/>
      <c r="G13" s="15">
        <f>IFERROR(VLOOKUP(C13,$L$2:$N$9,3,0),"")</f>
        <v/>
      </c>
      <c r="H13" s="16">
        <f>IFERROR(IF(AND(F13&lt;&gt;"",G13&lt;&gt;""),F13*G13,""),"")</f>
        <v/>
      </c>
      <c r="I13" s="11" t="n"/>
      <c r="J13" s="17">
        <f>IF(OR(B13="",C13="",E13="",F13="",I13=""),"⚠ Incomplet",IF(NOT(OR(E13="IN",E13="OUT")),"❌ Type invalide",IF(F13&lt;=0,"❌ Qte invalide","✓ Pret à saisir")))</f>
        <v/>
      </c>
    </row>
    <row r="14" ht="18" customHeight="1">
      <c r="A14" s="9" t="n">
        <v>9</v>
      </c>
      <c r="B14" s="10" t="n"/>
      <c r="C14" s="11" t="n"/>
      <c r="D14" s="12">
        <f>IFERROR(VLOOKUP(C14,$L$2:$N$9,2,0),"")</f>
        <v/>
      </c>
      <c r="E14" s="13" t="n"/>
      <c r="F14" s="14" t="n"/>
      <c r="G14" s="15">
        <f>IFERROR(VLOOKUP(C14,$L$2:$N$9,3,0),"")</f>
        <v/>
      </c>
      <c r="H14" s="16">
        <f>IFERROR(IF(AND(F14&lt;&gt;"",G14&lt;&gt;""),F14*G14,""),"")</f>
        <v/>
      </c>
      <c r="I14" s="11" t="n"/>
      <c r="J14" s="17">
        <f>IF(OR(B14="",C14="",E14="",F14="",I14=""),"⚠ Incomplet",IF(NOT(OR(E14="IN",E14="OUT")),"❌ Type invalide",IF(F14&lt;=0,"❌ Qte invalide","✓ Pret à saisir")))</f>
        <v/>
      </c>
    </row>
    <row r="15" ht="18" customHeight="1">
      <c r="A15" s="9" t="n">
        <v>10</v>
      </c>
      <c r="B15" s="10" t="n"/>
      <c r="C15" s="11" t="n"/>
      <c r="D15" s="12">
        <f>IFERROR(VLOOKUP(C15,$L$2:$N$9,2,0),"")</f>
        <v/>
      </c>
      <c r="E15" s="13" t="n"/>
      <c r="F15" s="14" t="n"/>
      <c r="G15" s="15">
        <f>IFERROR(VLOOKUP(C15,$L$2:$N$9,3,0),"")</f>
        <v/>
      </c>
      <c r="H15" s="16">
        <f>IFERROR(IF(AND(F15&lt;&gt;"",G15&lt;&gt;""),F15*G15,""),"")</f>
        <v/>
      </c>
      <c r="I15" s="11" t="n"/>
      <c r="J15" s="17">
        <f>IF(OR(B15="",C15="",E15="",F15="",I15=""),"⚠ Incomplet",IF(NOT(OR(E15="IN",E15="OUT")),"❌ Type invalide",IF(F15&lt;=0,"❌ Qte invalide","✓ Pret à saisir")))</f>
        <v/>
      </c>
    </row>
    <row r="16" ht="18" customHeight="1">
      <c r="A16" s="9" t="n">
        <v>11</v>
      </c>
      <c r="B16" s="10" t="n"/>
      <c r="C16" s="11" t="n"/>
      <c r="D16" s="12">
        <f>IFERROR(VLOOKUP(C16,$L$2:$N$9,2,0),"")</f>
        <v/>
      </c>
      <c r="E16" s="13" t="n"/>
      <c r="F16" s="14" t="n"/>
      <c r="G16" s="15">
        <f>IFERROR(VLOOKUP(C16,$L$2:$N$9,3,0),"")</f>
        <v/>
      </c>
      <c r="H16" s="16">
        <f>IFERROR(IF(AND(F16&lt;&gt;"",G16&lt;&gt;""),F16*G16,""),"")</f>
        <v/>
      </c>
      <c r="I16" s="11" t="n"/>
      <c r="J16" s="17">
        <f>IF(OR(B16="",C16="",E16="",F16="",I16=""),"⚠ Incomplet",IF(NOT(OR(E16="IN",E16="OUT")),"❌ Type invalide",IF(F16&lt;=0,"❌ Qte invalide","✓ Pret à saisir")))</f>
        <v/>
      </c>
    </row>
    <row r="17" ht="18" customHeight="1">
      <c r="A17" s="9" t="n">
        <v>12</v>
      </c>
      <c r="B17" s="10" t="n"/>
      <c r="C17" s="11" t="n"/>
      <c r="D17" s="12">
        <f>IFERROR(VLOOKUP(C17,$L$2:$N$9,2,0),"")</f>
        <v/>
      </c>
      <c r="E17" s="13" t="n"/>
      <c r="F17" s="14" t="n"/>
      <c r="G17" s="15">
        <f>IFERROR(VLOOKUP(C17,$L$2:$N$9,3,0),"")</f>
        <v/>
      </c>
      <c r="H17" s="16">
        <f>IFERROR(IF(AND(F17&lt;&gt;"",G17&lt;&gt;""),F17*G17,""),"")</f>
        <v/>
      </c>
      <c r="I17" s="11" t="n"/>
      <c r="J17" s="17">
        <f>IF(OR(B17="",C17="",E17="",F17="",I17=""),"⚠ Incomplet",IF(NOT(OR(E17="IN",E17="OUT")),"❌ Type invalide",IF(F17&lt;=0,"❌ Qte invalide","✓ Pret à saisir")))</f>
        <v/>
      </c>
    </row>
    <row r="18" ht="18" customHeight="1">
      <c r="A18" s="9" t="n">
        <v>13</v>
      </c>
      <c r="B18" s="10" t="n"/>
      <c r="C18" s="11" t="n"/>
      <c r="D18" s="12">
        <f>IFERROR(VLOOKUP(C18,$L$2:$N$9,2,0),"")</f>
        <v/>
      </c>
      <c r="E18" s="13" t="n"/>
      <c r="F18" s="14" t="n"/>
      <c r="G18" s="15">
        <f>IFERROR(VLOOKUP(C18,$L$2:$N$9,3,0),"")</f>
        <v/>
      </c>
      <c r="H18" s="16">
        <f>IFERROR(IF(AND(F18&lt;&gt;"",G18&lt;&gt;""),F18*G18,""),"")</f>
        <v/>
      </c>
      <c r="I18" s="11" t="n"/>
      <c r="J18" s="17">
        <f>IF(OR(B18="",C18="",E18="",F18="",I18=""),"⚠ Incomplet",IF(NOT(OR(E18="IN",E18="OUT")),"❌ Type invalide",IF(F18&lt;=0,"❌ Qte invalide","✓ Pret à saisir")))</f>
        <v/>
      </c>
    </row>
    <row r="19" ht="18" customHeight="1">
      <c r="A19" s="9" t="n">
        <v>14</v>
      </c>
      <c r="B19" s="10" t="n"/>
      <c r="C19" s="11" t="n"/>
      <c r="D19" s="12">
        <f>IFERROR(VLOOKUP(C19,$L$2:$N$9,2,0),"")</f>
        <v/>
      </c>
      <c r="E19" s="13" t="n"/>
      <c r="F19" s="14" t="n"/>
      <c r="G19" s="15">
        <f>IFERROR(VLOOKUP(C19,$L$2:$N$9,3,0),"")</f>
        <v/>
      </c>
      <c r="H19" s="16">
        <f>IFERROR(IF(AND(F19&lt;&gt;"",G19&lt;&gt;""),F19*G19,""),"")</f>
        <v/>
      </c>
      <c r="I19" s="11" t="n"/>
      <c r="J19" s="17">
        <f>IF(OR(B19="",C19="",E19="",F19="",I19=""),"⚠ Incomplet",IF(NOT(OR(E19="IN",E19="OUT")),"❌ Type invalide",IF(F19&lt;=0,"❌ Qte invalide","✓ Pret à saisir")))</f>
        <v/>
      </c>
    </row>
    <row r="20" ht="18" customHeight="1">
      <c r="A20" s="9" t="n">
        <v>15</v>
      </c>
      <c r="B20" s="10" t="n"/>
      <c r="C20" s="11" t="n"/>
      <c r="D20" s="12">
        <f>IFERROR(VLOOKUP(C20,$L$2:$N$9,2,0),"")</f>
        <v/>
      </c>
      <c r="E20" s="13" t="n"/>
      <c r="F20" s="14" t="n"/>
      <c r="G20" s="15">
        <f>IFERROR(VLOOKUP(C20,$L$2:$N$9,3,0),"")</f>
        <v/>
      </c>
      <c r="H20" s="16">
        <f>IFERROR(IF(AND(F20&lt;&gt;"",G20&lt;&gt;""),F20*G20,""),"")</f>
        <v/>
      </c>
      <c r="I20" s="11" t="n"/>
      <c r="J20" s="17">
        <f>IF(OR(B20="",C20="",E20="",F20="",I20=""),"⚠ Incomplet",IF(NOT(OR(E20="IN",E20="OUT")),"❌ Type invalide",IF(F20&lt;=0,"❌ Qte invalide","✓ Pret à saisir")))</f>
        <v/>
      </c>
    </row>
    <row r="21" ht="18" customHeight="1">
      <c r="A21" s="9" t="n">
        <v>16</v>
      </c>
      <c r="B21" s="10" t="n"/>
      <c r="C21" s="11" t="n"/>
      <c r="D21" s="12">
        <f>IFERROR(VLOOKUP(C21,$L$2:$N$9,2,0),"")</f>
        <v/>
      </c>
      <c r="E21" s="13" t="n"/>
      <c r="F21" s="14" t="n"/>
      <c r="G21" s="15">
        <f>IFERROR(VLOOKUP(C21,$L$2:$N$9,3,0),"")</f>
        <v/>
      </c>
      <c r="H21" s="16">
        <f>IFERROR(IF(AND(F21&lt;&gt;"",G21&lt;&gt;""),F21*G21,""),"")</f>
        <v/>
      </c>
      <c r="I21" s="11" t="n"/>
      <c r="J21" s="17">
        <f>IF(OR(B21="",C21="",E21="",F21="",I21=""),"⚠ Incomplet",IF(NOT(OR(E21="IN",E21="OUT")),"❌ Type invalide",IF(F21&lt;=0,"❌ Qte invalide","✓ Pret à saisir")))</f>
        <v/>
      </c>
    </row>
    <row r="22" ht="18" customHeight="1">
      <c r="A22" s="9" t="n">
        <v>17</v>
      </c>
      <c r="B22" s="10" t="n"/>
      <c r="C22" s="11" t="n"/>
      <c r="D22" s="12">
        <f>IFERROR(VLOOKUP(C22,$L$2:$N$9,2,0),"")</f>
        <v/>
      </c>
      <c r="E22" s="13" t="n"/>
      <c r="F22" s="14" t="n"/>
      <c r="G22" s="15">
        <f>IFERROR(VLOOKUP(C22,$L$2:$N$9,3,0),"")</f>
        <v/>
      </c>
      <c r="H22" s="16">
        <f>IFERROR(IF(AND(F22&lt;&gt;"",G22&lt;&gt;""),F22*G22,""),"")</f>
        <v/>
      </c>
      <c r="I22" s="11" t="n"/>
      <c r="J22" s="17">
        <f>IF(OR(B22="",C22="",E22="",F22="",I22=""),"⚠ Incomplet",IF(NOT(OR(E22="IN",E22="OUT")),"❌ Type invalide",IF(F22&lt;=0,"❌ Qte invalide","✓ Pret à saisir")))</f>
        <v/>
      </c>
    </row>
    <row r="23" ht="18" customHeight="1">
      <c r="A23" s="9" t="n">
        <v>18</v>
      </c>
      <c r="B23" s="10" t="n"/>
      <c r="C23" s="11" t="n"/>
      <c r="D23" s="12">
        <f>IFERROR(VLOOKUP(C23,$L$2:$N$9,2,0),"")</f>
        <v/>
      </c>
      <c r="E23" s="13" t="n"/>
      <c r="F23" s="14" t="n"/>
      <c r="G23" s="15">
        <f>IFERROR(VLOOKUP(C23,$L$2:$N$9,3,0),"")</f>
        <v/>
      </c>
      <c r="H23" s="16">
        <f>IFERROR(IF(AND(F23&lt;&gt;"",G23&lt;&gt;""),F23*G23,""),"")</f>
        <v/>
      </c>
      <c r="I23" s="11" t="n"/>
      <c r="J23" s="17">
        <f>IF(OR(B23="",C23="",E23="",F23="",I23=""),"⚠ Incomplet",IF(NOT(OR(E23="IN",E23="OUT")),"❌ Type invalide",IF(F23&lt;=0,"❌ Qte invalide","✓ Pret à saisir")))</f>
        <v/>
      </c>
    </row>
    <row r="24" ht="18" customHeight="1">
      <c r="A24" s="9" t="n">
        <v>19</v>
      </c>
      <c r="B24" s="10" t="n"/>
      <c r="C24" s="11" t="n"/>
      <c r="D24" s="12">
        <f>IFERROR(VLOOKUP(C24,$L$2:$N$9,2,0),"")</f>
        <v/>
      </c>
      <c r="E24" s="13" t="n"/>
      <c r="F24" s="14" t="n"/>
      <c r="G24" s="15">
        <f>IFERROR(VLOOKUP(C24,$L$2:$N$9,3,0),"")</f>
        <v/>
      </c>
      <c r="H24" s="16">
        <f>IFERROR(IF(AND(F24&lt;&gt;"",G24&lt;&gt;""),F24*G24,""),"")</f>
        <v/>
      </c>
      <c r="I24" s="11" t="n"/>
      <c r="J24" s="17">
        <f>IF(OR(B24="",C24="",E24="",F24="",I24=""),"⚠ Incomplet",IF(NOT(OR(E24="IN",E24="OUT")),"❌ Type invalide",IF(F24&lt;=0,"❌ Qte invalide","✓ Pret à saisir")))</f>
        <v/>
      </c>
    </row>
    <row r="25" ht="18" customHeight="1">
      <c r="A25" s="9" t="n">
        <v>20</v>
      </c>
      <c r="B25" s="10" t="n"/>
      <c r="C25" s="11" t="n"/>
      <c r="D25" s="12">
        <f>IFERROR(VLOOKUP(C25,$L$2:$N$9,2,0),"")</f>
        <v/>
      </c>
      <c r="E25" s="13" t="n"/>
      <c r="F25" s="14" t="n"/>
      <c r="G25" s="15">
        <f>IFERROR(VLOOKUP(C25,$L$2:$N$9,3,0),"")</f>
        <v/>
      </c>
      <c r="H25" s="16">
        <f>IFERROR(IF(AND(F25&lt;&gt;"",G25&lt;&gt;""),F25*G25,""),"")</f>
        <v/>
      </c>
      <c r="I25" s="11" t="n"/>
      <c r="J25" s="17">
        <f>IF(OR(B25="",C25="",E25="",F25="",I25=""),"⚠ Incomplet",IF(NOT(OR(E25="IN",E25="OUT")),"❌ Type invalide",IF(F25&lt;=0,"❌ Qte invalide","✓ Pret à saisir")))</f>
        <v/>
      </c>
    </row>
    <row r="26" ht="18" customHeight="1">
      <c r="A26" s="18" t="inlineStr">
        <is>
          <t>TOTAL</t>
        </is>
      </c>
      <c r="B26" s="19" t="n"/>
      <c r="C26" s="19" t="n"/>
      <c r="D26" s="19" t="n"/>
      <c r="E26" s="19" t="n"/>
      <c r="F26" s="20">
        <f>SUM(F6:F25)</f>
        <v/>
      </c>
      <c r="G26" s="19" t="n"/>
      <c r="H26" s="20">
        <f>SUM(H6:H25)</f>
        <v/>
      </c>
      <c r="I26" s="19" t="n"/>
      <c r="J26" s="19" t="n"/>
    </row>
    <row r="27" ht="18" customHeight="1">
      <c r="A27" s="21" t="inlineStr">
        <is>
          <t>IN</t>
        </is>
      </c>
      <c r="B27" s="22" t="inlineStr">
        <is>
          <t>Total entrees (qte)</t>
        </is>
      </c>
      <c r="C27" s="23">
        <f>SUMIF(E6:E25,"IN",F6:F25)</f>
        <v/>
      </c>
      <c r="E27" s="24" t="inlineStr">
        <is>
          <t>OUT</t>
        </is>
      </c>
      <c r="F27" s="25" t="inlineStr">
        <is>
          <t>Total sorties (qte)</t>
        </is>
      </c>
      <c r="G27" s="26">
        <f>SUMIF(E6:E25,"OUT",F6:F25)</f>
        <v/>
      </c>
      <c r="I27" s="27" t="inlineStr">
        <is>
          <t>Lignes saisies</t>
        </is>
      </c>
      <c r="J27" s="28">
        <f>COUNTIF(J6:J25,"✓ Pret à saisir")</f>
        <v/>
      </c>
    </row>
    <row r="28" ht="40" customHeight="1">
      <c r="A28" s="29" t="inlineStr">
        <is>
          <t>INTÉGRATION DANS ERP_Academie_v5_final.xlsx :
1. Copier les lignes complètes (statut ✓) de cette feuille
2. Coller dans MOUVEMENTS à partir de la prochaine ligne vide (row 17+)
3. Vérifier que les formules Running Val (col J), Running Qty (col K), CMUP (col L) se propagent
4. Le TABLEAU DE BORD se met à jour automatiquement — vérifier les statuts ROP</t>
        </is>
      </c>
    </row>
  </sheetData>
  <mergeCells count="6">
    <mergeCell ref="A1:J1"/>
    <mergeCell ref="B3:C3"/>
    <mergeCell ref="A2:J2"/>
    <mergeCell ref="A28:J28"/>
    <mergeCell ref="E3:F3"/>
    <mergeCell ref="H3:I3"/>
  </mergeCells>
  <dataValidations count="2">
    <dataValidation sqref="E6:E25" showDropDown="0" showInputMessage="0" showErrorMessage="0" allowBlank="1" type="list">
      <formula1>"IN,OUT"</formula1>
    </dataValidation>
    <dataValidation sqref="C6:C25" showDropDown="0" showInputMessage="0" showErrorMessage="0" allowBlank="1" type="list">
      <formula1>"ART-001,ART-002,ART-003,ART-004,ART-005,ART-006,ART-007,ART-008"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C447C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6" customWidth="1" min="4" max="4"/>
    <col width="12" customWidth="1" min="5" max="5"/>
    <col width="8" customWidth="1" min="6" max="6"/>
  </cols>
  <sheetData>
    <row r="1" ht="24" customHeight="1">
      <c r="A1" s="30" t="inlineStr">
        <is>
          <t>GUIDE DE RÉFÉRENCE — Codes et Prix Articles (Mars 2026)</t>
        </is>
      </c>
    </row>
    <row r="2" ht="18" customHeight="1">
      <c r="A2" s="7" t="inlineStr">
        <is>
          <t>Code</t>
        </is>
      </c>
      <c r="B2" s="7" t="inlineStr">
        <is>
          <t>Designation</t>
        </is>
      </c>
      <c r="C2" s="7" t="inlineStr">
        <is>
          <t>Unite</t>
        </is>
      </c>
      <c r="D2" s="7" t="inlineStr">
        <is>
          <t>Prix Unit. (DA)</t>
        </is>
      </c>
      <c r="E2" s="7" t="inlineStr">
        <is>
          <t>Stock Min</t>
        </is>
      </c>
      <c r="F2" s="7" t="inlineStr">
        <is>
          <t>ABC</t>
        </is>
      </c>
    </row>
    <row r="3" ht="17" customHeight="1">
      <c r="A3" s="31" t="inlineStr">
        <is>
          <t>ART-001</t>
        </is>
      </c>
      <c r="B3" s="27" t="inlineStr">
        <is>
          <t>Rame papier A4 80g/m2</t>
        </is>
      </c>
      <c r="C3" s="31" t="inlineStr">
        <is>
          <t>Rame</t>
        </is>
      </c>
      <c r="D3" s="32" t="n">
        <v>400</v>
      </c>
      <c r="E3" s="31" t="n">
        <v>400</v>
      </c>
      <c r="F3" s="31" t="inlineStr">
        <is>
          <t>C</t>
        </is>
      </c>
    </row>
    <row r="4" ht="17" customHeight="1">
      <c r="A4" s="33" t="inlineStr">
        <is>
          <t>ART-002</t>
        </is>
      </c>
      <c r="B4" s="25" t="inlineStr">
        <is>
          <t>Toner laser noir HP</t>
        </is>
      </c>
      <c r="C4" s="33" t="inlineStr">
        <is>
          <t>Unite</t>
        </is>
      </c>
      <c r="D4" s="34" t="n">
        <v>3500</v>
      </c>
      <c r="E4" s="33" t="n">
        <v>5</v>
      </c>
      <c r="F4" s="33" t="inlineStr">
        <is>
          <t>A</t>
        </is>
      </c>
    </row>
    <row r="5" ht="17" customHeight="1">
      <c r="A5" s="33" t="inlineStr">
        <is>
          <t>ART-003</t>
        </is>
      </c>
      <c r="B5" s="25" t="inlineStr">
        <is>
          <t>Cartouche encre Canon</t>
        </is>
      </c>
      <c r="C5" s="33" t="inlineStr">
        <is>
          <t>Unite</t>
        </is>
      </c>
      <c r="D5" s="34" t="n">
        <v>2200</v>
      </c>
      <c r="E5" s="33" t="n">
        <v>4</v>
      </c>
      <c r="F5" s="33" t="inlineStr">
        <is>
          <t>A</t>
        </is>
      </c>
    </row>
    <row r="6" ht="17" customHeight="1">
      <c r="A6" s="31" t="inlineStr">
        <is>
          <t>ART-004</t>
        </is>
      </c>
      <c r="B6" s="27" t="inlineStr">
        <is>
          <t>Stylos bille bleu x50</t>
        </is>
      </c>
      <c r="C6" s="31" t="inlineStr">
        <is>
          <t>Boite</t>
        </is>
      </c>
      <c r="D6" s="32" t="n">
        <v>400</v>
      </c>
      <c r="E6" s="31" t="n">
        <v>2</v>
      </c>
      <c r="F6" s="31" t="inlineStr">
        <is>
          <t>C</t>
        </is>
      </c>
    </row>
    <row r="7" ht="17" customHeight="1">
      <c r="A7" s="35" t="inlineStr">
        <is>
          <t>ART-005</t>
        </is>
      </c>
      <c r="B7" s="36" t="inlineStr">
        <is>
          <t>Cahier grand 192p</t>
        </is>
      </c>
      <c r="C7" s="35" t="inlineStr">
        <is>
          <t>Unite</t>
        </is>
      </c>
      <c r="D7" s="37" t="n">
        <v>85</v>
      </c>
      <c r="E7" s="35" t="n">
        <v>50</v>
      </c>
      <c r="F7" s="35" t="inlineStr">
        <is>
          <t>B</t>
        </is>
      </c>
    </row>
    <row r="8" ht="17" customHeight="1">
      <c r="A8" s="31" t="inlineStr">
        <is>
          <t>ART-006</t>
        </is>
      </c>
      <c r="B8" s="27" t="inlineStr">
        <is>
          <t>Agrafeuse de bureau</t>
        </is>
      </c>
      <c r="C8" s="31" t="inlineStr">
        <is>
          <t>Unite</t>
        </is>
      </c>
      <c r="D8" s="32" t="n">
        <v>650</v>
      </c>
      <c r="E8" s="31" t="n">
        <v>2</v>
      </c>
      <c r="F8" s="31" t="inlineStr">
        <is>
          <t>C</t>
        </is>
      </c>
    </row>
    <row r="9" ht="17" customHeight="1">
      <c r="A9" s="35" t="inlineStr">
        <is>
          <t>ART-007</t>
        </is>
      </c>
      <c r="B9" s="36" t="inlineStr">
        <is>
          <t>Rame papier A3 80g/m2</t>
        </is>
      </c>
      <c r="C9" s="35" t="inlineStr">
        <is>
          <t>Rame</t>
        </is>
      </c>
      <c r="D9" s="37" t="n">
        <v>350</v>
      </c>
      <c r="E9" s="35" t="n">
        <v>50</v>
      </c>
      <c r="F9" s="35" t="inlineStr">
        <is>
          <t>B</t>
        </is>
      </c>
    </row>
    <row r="10" ht="17" customHeight="1">
      <c r="A10" s="31" t="inlineStr">
        <is>
          <t>ART-008</t>
        </is>
      </c>
      <c r="B10" s="27" t="inlineStr">
        <is>
          <t>Marqueur permanent</t>
        </is>
      </c>
      <c r="C10" s="31" t="inlineStr">
        <is>
          <t>Unite</t>
        </is>
      </c>
      <c r="D10" s="32" t="n">
        <v>85</v>
      </c>
      <c r="E10" s="31" t="n">
        <v>10</v>
      </c>
      <c r="F10" s="31" t="inlineStr">
        <is>
          <t>C</t>
        </is>
      </c>
    </row>
    <row r="12" ht="18" customHeight="1">
      <c r="A12" s="38" t="inlineStr">
        <is>
          <t>Format doc reference : BR-XXX = Bon de Reception | BS-XXX = Bon de Sortie | SI-001 = Stock Initial</t>
        </is>
      </c>
    </row>
  </sheetData>
  <mergeCells count="2"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2026-03-23T06:23:40Z</dcterms:created>
  <dcterms:modified xmlns:dcterms="http://purl.org/dc/terms/" xmlns:xsi="http://www.w3.org/2001/XMLSchema-instance" xsi:type="dcterms:W3CDTF">2026-03-23T06:23:40Z</dcterms:modified>
</cp:coreProperties>
</file>