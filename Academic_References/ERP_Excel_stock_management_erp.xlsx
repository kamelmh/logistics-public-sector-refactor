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_MASTER" sheetId="1" state="visible" r:id="rId1"/>
    <sheet xmlns:r="http://schemas.openxmlformats.org/officeDocument/2006/relationships" name="STOCK_MOVEMENT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Article</t>
        </is>
      </c>
      <c r="B1" t="inlineStr">
        <is>
          <t>Nom Article</t>
        </is>
      </c>
      <c r="C1" t="inlineStr">
        <is>
          <t>Catégorie</t>
        </is>
      </c>
      <c r="D1" t="inlineStr">
        <is>
          <t>Unité</t>
        </is>
      </c>
      <c r="E1" t="inlineStr">
        <is>
          <t>Stock Minimum</t>
        </is>
      </c>
      <c r="F1" t="inlineStr">
        <is>
          <t>Fournisseur</t>
        </is>
      </c>
      <c r="G1" t="inlineStr">
        <is>
          <t>Emplacement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 Article</t>
        </is>
      </c>
      <c r="C1" t="inlineStr">
        <is>
          <t>Nom Article</t>
        </is>
      </c>
      <c r="D1" t="inlineStr">
        <is>
          <t>Type Mouvement</t>
        </is>
      </c>
      <c r="E1" t="inlineStr">
        <is>
          <t>Quantité</t>
        </is>
      </c>
      <c r="F1" t="inlineStr">
        <is>
          <t>Prix Unitaire</t>
        </is>
      </c>
      <c r="G1" t="inlineStr">
        <is>
          <t>Valeur Totale</t>
        </is>
      </c>
      <c r="H1" t="inlineStr">
        <is>
          <t>Référence</t>
        </is>
      </c>
      <c r="I1" t="inlineStr">
        <is>
          <t>Opérateur</t>
        </is>
      </c>
    </row>
    <row r="2">
      <c r="C2">
        <f>IFERROR(VLOOKUP(B2,ITEMS_MASTER!A:B,2,FALSE),"")</f>
        <v/>
      </c>
      <c r="G2">
        <f>E2*F2</f>
        <v/>
      </c>
    </row>
    <row r="3">
      <c r="C3">
        <f>IFERROR(VLOOKUP(B3,ITEMS_MASTER!A:B,2,FALSE),"")</f>
        <v/>
      </c>
      <c r="G3">
        <f>E3*F3</f>
        <v/>
      </c>
    </row>
    <row r="4">
      <c r="C4">
        <f>IFERROR(VLOOKUP(B4,ITEMS_MASTER!A:B,2,FALSE),"")</f>
        <v/>
      </c>
      <c r="G4">
        <f>E4*F4</f>
        <v/>
      </c>
    </row>
    <row r="5">
      <c r="C5">
        <f>IFERROR(VLOOKUP(B5,ITEMS_MASTER!A:B,2,FALSE),"")</f>
        <v/>
      </c>
      <c r="G5">
        <f>E5*F5</f>
        <v/>
      </c>
    </row>
    <row r="6">
      <c r="C6">
        <f>IFERROR(VLOOKUP(B6,ITEMS_MASTER!A:B,2,FALSE),"")</f>
        <v/>
      </c>
      <c r="G6">
        <f>E6*F6</f>
        <v/>
      </c>
    </row>
    <row r="7">
      <c r="C7">
        <f>IFERROR(VLOOKUP(B7,ITEMS_MASTER!A:B,2,FALSE),"")</f>
        <v/>
      </c>
      <c r="G7">
        <f>E7*F7</f>
        <v/>
      </c>
    </row>
    <row r="8">
      <c r="C8">
        <f>IFERROR(VLOOKUP(B8,ITEMS_MASTER!A:B,2,FALSE),"")</f>
        <v/>
      </c>
      <c r="G8">
        <f>E8*F8</f>
        <v/>
      </c>
    </row>
    <row r="9">
      <c r="C9">
        <f>IFERROR(VLOOKUP(B9,ITEMS_MASTER!A:B,2,FALSE),"")</f>
        <v/>
      </c>
      <c r="G9">
        <f>E9*F9</f>
        <v/>
      </c>
    </row>
    <row r="10">
      <c r="C10">
        <f>IFERROR(VLOOKUP(B10,ITEMS_MASTER!A:B,2,FALSE),"")</f>
        <v/>
      </c>
      <c r="G10">
        <f>E10*F10</f>
        <v/>
      </c>
    </row>
    <row r="11">
      <c r="C11">
        <f>IFERROR(VLOOKUP(B11,ITEMS_MASTER!A:B,2,FALSE),"")</f>
        <v/>
      </c>
      <c r="G11">
        <f>E11*F11</f>
        <v/>
      </c>
    </row>
    <row r="12">
      <c r="C12">
        <f>IFERROR(VLOOKUP(B12,ITEMS_MASTER!A:B,2,FALSE),"")</f>
        <v/>
      </c>
      <c r="G12">
        <f>E12*F12</f>
        <v/>
      </c>
    </row>
    <row r="13">
      <c r="C13">
        <f>IFERROR(VLOOKUP(B13,ITEMS_MASTER!A:B,2,FALSE),"")</f>
        <v/>
      </c>
      <c r="G13">
        <f>E13*F13</f>
        <v/>
      </c>
    </row>
    <row r="14">
      <c r="C14">
        <f>IFERROR(VLOOKUP(B14,ITEMS_MASTER!A:B,2,FALSE),"")</f>
        <v/>
      </c>
      <c r="G14">
        <f>E14*F14</f>
        <v/>
      </c>
    </row>
    <row r="15">
      <c r="C15">
        <f>IFERROR(VLOOKUP(B15,ITEMS_MASTER!A:B,2,FALSE),"")</f>
        <v/>
      </c>
      <c r="G15">
        <f>E15*F15</f>
        <v/>
      </c>
    </row>
    <row r="16">
      <c r="C16">
        <f>IFERROR(VLOOKUP(B16,ITEMS_MASTER!A:B,2,FALSE),"")</f>
        <v/>
      </c>
      <c r="G16">
        <f>E16*F16</f>
        <v/>
      </c>
    </row>
    <row r="17">
      <c r="C17">
        <f>IFERROR(VLOOKUP(B17,ITEMS_MASTER!A:B,2,FALSE),"")</f>
        <v/>
      </c>
      <c r="G17">
        <f>E17*F17</f>
        <v/>
      </c>
    </row>
    <row r="18">
      <c r="C18">
        <f>IFERROR(VLOOKUP(B18,ITEMS_MASTER!A:B,2,FALSE),"")</f>
        <v/>
      </c>
      <c r="G18">
        <f>E18*F18</f>
        <v/>
      </c>
    </row>
    <row r="19">
      <c r="C19">
        <f>IFERROR(VLOOKUP(B19,ITEMS_MASTER!A:B,2,FALSE),"")</f>
        <v/>
      </c>
      <c r="G19">
        <f>E19*F19</f>
        <v/>
      </c>
    </row>
    <row r="20">
      <c r="C20">
        <f>IFERROR(VLOOKUP(B20,ITEMS_MASTER!A:B,2,FALSE),"")</f>
        <v/>
      </c>
      <c r="G20">
        <f>E20*F20</f>
        <v/>
      </c>
    </row>
    <row r="21">
      <c r="C21">
        <f>IFERROR(VLOOKUP(B21,ITEMS_MASTER!A:B,2,FALSE),"")</f>
        <v/>
      </c>
      <c r="G21">
        <f>E21*F21</f>
        <v/>
      </c>
    </row>
    <row r="22">
      <c r="C22">
        <f>IFERROR(VLOOKUP(B22,ITEMS_MASTER!A:B,2,FALSE),"")</f>
        <v/>
      </c>
      <c r="G22">
        <f>E22*F22</f>
        <v/>
      </c>
    </row>
    <row r="23">
      <c r="C23">
        <f>IFERROR(VLOOKUP(B23,ITEMS_MASTER!A:B,2,FALSE),"")</f>
        <v/>
      </c>
      <c r="G23">
        <f>E23*F23</f>
        <v/>
      </c>
    </row>
    <row r="24">
      <c r="C24">
        <f>IFERROR(VLOOKUP(B24,ITEMS_MASTER!A:B,2,FALSE),"")</f>
        <v/>
      </c>
      <c r="G24">
        <f>E24*F24</f>
        <v/>
      </c>
    </row>
    <row r="25">
      <c r="C25">
        <f>IFERROR(VLOOKUP(B25,ITEMS_MASTER!A:B,2,FALSE),"")</f>
        <v/>
      </c>
      <c r="G25">
        <f>E25*F25</f>
        <v/>
      </c>
    </row>
    <row r="26">
      <c r="C26">
        <f>IFERROR(VLOOKUP(B26,ITEMS_MASTER!A:B,2,FALSE),"")</f>
        <v/>
      </c>
      <c r="G26">
        <f>E26*F26</f>
        <v/>
      </c>
    </row>
    <row r="27">
      <c r="C27">
        <f>IFERROR(VLOOKUP(B27,ITEMS_MASTER!A:B,2,FALSE),"")</f>
        <v/>
      </c>
      <c r="G27">
        <f>E27*F27</f>
        <v/>
      </c>
    </row>
    <row r="28">
      <c r="C28">
        <f>IFERROR(VLOOKUP(B28,ITEMS_MASTER!A:B,2,FALSE),"")</f>
        <v/>
      </c>
      <c r="G28">
        <f>E28*F28</f>
        <v/>
      </c>
    </row>
    <row r="29">
      <c r="C29">
        <f>IFERROR(VLOOKUP(B29,ITEMS_MASTER!A:B,2,FALSE),"")</f>
        <v/>
      </c>
      <c r="G29">
        <f>E29*F29</f>
        <v/>
      </c>
    </row>
    <row r="30">
      <c r="C30">
        <f>IFERROR(VLOOKUP(B30,ITEMS_MASTER!A:B,2,FALSE),"")</f>
        <v/>
      </c>
      <c r="G30">
        <f>E30*F30</f>
        <v/>
      </c>
    </row>
    <row r="31">
      <c r="C31">
        <f>IFERROR(VLOOKUP(B31,ITEMS_MASTER!A:B,2,FALSE),"")</f>
        <v/>
      </c>
      <c r="G31">
        <f>E31*F31</f>
        <v/>
      </c>
    </row>
    <row r="32">
      <c r="C32">
        <f>IFERROR(VLOOKUP(B32,ITEMS_MASTER!A:B,2,FALSE),"")</f>
        <v/>
      </c>
      <c r="G32">
        <f>E32*F32</f>
        <v/>
      </c>
    </row>
    <row r="33">
      <c r="C33">
        <f>IFERROR(VLOOKUP(B33,ITEMS_MASTER!A:B,2,FALSE),"")</f>
        <v/>
      </c>
      <c r="G33">
        <f>E33*F33</f>
        <v/>
      </c>
    </row>
    <row r="34">
      <c r="C34">
        <f>IFERROR(VLOOKUP(B34,ITEMS_MASTER!A:B,2,FALSE),"")</f>
        <v/>
      </c>
      <c r="G34">
        <f>E34*F34</f>
        <v/>
      </c>
    </row>
    <row r="35">
      <c r="C35">
        <f>IFERROR(VLOOKUP(B35,ITEMS_MASTER!A:B,2,FALSE),"")</f>
        <v/>
      </c>
      <c r="G35">
        <f>E35*F35</f>
        <v/>
      </c>
    </row>
    <row r="36">
      <c r="C36">
        <f>IFERROR(VLOOKUP(B36,ITEMS_MASTER!A:B,2,FALSE),"")</f>
        <v/>
      </c>
      <c r="G36">
        <f>E36*F36</f>
        <v/>
      </c>
    </row>
    <row r="37">
      <c r="C37">
        <f>IFERROR(VLOOKUP(B37,ITEMS_MASTER!A:B,2,FALSE),"")</f>
        <v/>
      </c>
      <c r="G37">
        <f>E37*F37</f>
        <v/>
      </c>
    </row>
    <row r="38">
      <c r="C38">
        <f>IFERROR(VLOOKUP(B38,ITEMS_MASTER!A:B,2,FALSE),"")</f>
        <v/>
      </c>
      <c r="G38">
        <f>E38*F38</f>
        <v/>
      </c>
    </row>
    <row r="39">
      <c r="C39">
        <f>IFERROR(VLOOKUP(B39,ITEMS_MASTER!A:B,2,FALSE),"")</f>
        <v/>
      </c>
      <c r="G39">
        <f>E39*F39</f>
        <v/>
      </c>
    </row>
    <row r="40">
      <c r="C40">
        <f>IFERROR(VLOOKUP(B40,ITEMS_MASTER!A:B,2,FALSE),"")</f>
        <v/>
      </c>
      <c r="G40">
        <f>E40*F40</f>
        <v/>
      </c>
    </row>
    <row r="41">
      <c r="C41">
        <f>IFERROR(VLOOKUP(B41,ITEMS_MASTER!A:B,2,FALSE),"")</f>
        <v/>
      </c>
      <c r="G41">
        <f>E41*F41</f>
        <v/>
      </c>
    </row>
    <row r="42">
      <c r="C42">
        <f>IFERROR(VLOOKUP(B42,ITEMS_MASTER!A:B,2,FALSE),"")</f>
        <v/>
      </c>
      <c r="G42">
        <f>E42*F42</f>
        <v/>
      </c>
    </row>
    <row r="43">
      <c r="C43">
        <f>IFERROR(VLOOKUP(B43,ITEMS_MASTER!A:B,2,FALSE),"")</f>
        <v/>
      </c>
      <c r="G43">
        <f>E43*F43</f>
        <v/>
      </c>
    </row>
    <row r="44">
      <c r="C44">
        <f>IFERROR(VLOOKUP(B44,ITEMS_MASTER!A:B,2,FALSE),"")</f>
        <v/>
      </c>
      <c r="G44">
        <f>E44*F44</f>
        <v/>
      </c>
    </row>
    <row r="45">
      <c r="C45">
        <f>IFERROR(VLOOKUP(B45,ITEMS_MASTER!A:B,2,FALSE),"")</f>
        <v/>
      </c>
      <c r="G45">
        <f>E45*F45</f>
        <v/>
      </c>
    </row>
    <row r="46">
      <c r="C46">
        <f>IFERROR(VLOOKUP(B46,ITEMS_MASTER!A:B,2,FALSE),"")</f>
        <v/>
      </c>
      <c r="G46">
        <f>E46*F46</f>
        <v/>
      </c>
    </row>
    <row r="47">
      <c r="C47">
        <f>IFERROR(VLOOKUP(B47,ITEMS_MASTER!A:B,2,FALSE),"")</f>
        <v/>
      </c>
      <c r="G47">
        <f>E47*F47</f>
        <v/>
      </c>
    </row>
    <row r="48">
      <c r="C48">
        <f>IFERROR(VLOOKUP(B48,ITEMS_MASTER!A:B,2,FALSE),"")</f>
        <v/>
      </c>
      <c r="G48">
        <f>E48*F48</f>
        <v/>
      </c>
    </row>
    <row r="49">
      <c r="C49">
        <f>IFERROR(VLOOKUP(B49,ITEMS_MASTER!A:B,2,FALSE),"")</f>
        <v/>
      </c>
      <c r="G49">
        <f>E49*F49</f>
        <v/>
      </c>
    </row>
    <row r="50">
      <c r="C50">
        <f>IFERROR(VLOOKUP(B50,ITEMS_MASTER!A:B,2,FALSE),"")</f>
        <v/>
      </c>
      <c r="G50">
        <f>E50*F50</f>
        <v/>
      </c>
    </row>
    <row r="51">
      <c r="C51">
        <f>IFERROR(VLOOKUP(B51,ITEMS_MASTER!A:B,2,FALSE),"")</f>
        <v/>
      </c>
      <c r="G51">
        <f>E51*F51</f>
        <v/>
      </c>
    </row>
    <row r="52">
      <c r="C52">
        <f>IFERROR(VLOOKUP(B52,ITEMS_MASTER!A:B,2,FALSE),"")</f>
        <v/>
      </c>
      <c r="G52">
        <f>E52*F52</f>
        <v/>
      </c>
    </row>
    <row r="53">
      <c r="C53">
        <f>IFERROR(VLOOKUP(B53,ITEMS_MASTER!A:B,2,FALSE),"")</f>
        <v/>
      </c>
      <c r="G53">
        <f>E53*F53</f>
        <v/>
      </c>
    </row>
    <row r="54">
      <c r="C54">
        <f>IFERROR(VLOOKUP(B54,ITEMS_MASTER!A:B,2,FALSE),"")</f>
        <v/>
      </c>
      <c r="G54">
        <f>E54*F54</f>
        <v/>
      </c>
    </row>
    <row r="55">
      <c r="C55">
        <f>IFERROR(VLOOKUP(B55,ITEMS_MASTER!A:B,2,FALSE),"")</f>
        <v/>
      </c>
      <c r="G55">
        <f>E55*F55</f>
        <v/>
      </c>
    </row>
    <row r="56">
      <c r="C56">
        <f>IFERROR(VLOOKUP(B56,ITEMS_MASTER!A:B,2,FALSE),"")</f>
        <v/>
      </c>
      <c r="G56">
        <f>E56*F56</f>
        <v/>
      </c>
    </row>
    <row r="57">
      <c r="C57">
        <f>IFERROR(VLOOKUP(B57,ITEMS_MASTER!A:B,2,FALSE),"")</f>
        <v/>
      </c>
      <c r="G57">
        <f>E57*F57</f>
        <v/>
      </c>
    </row>
    <row r="58">
      <c r="C58">
        <f>IFERROR(VLOOKUP(B58,ITEMS_MASTER!A:B,2,FALSE),"")</f>
        <v/>
      </c>
      <c r="G58">
        <f>E58*F58</f>
        <v/>
      </c>
    </row>
    <row r="59">
      <c r="C59">
        <f>IFERROR(VLOOKUP(B59,ITEMS_MASTER!A:B,2,FALSE),"")</f>
        <v/>
      </c>
      <c r="G59">
        <f>E59*F59</f>
        <v/>
      </c>
    </row>
    <row r="60">
      <c r="C60">
        <f>IFERROR(VLOOKUP(B60,ITEMS_MASTER!A:B,2,FALSE),"")</f>
        <v/>
      </c>
      <c r="G60">
        <f>E60*F60</f>
        <v/>
      </c>
    </row>
    <row r="61">
      <c r="C61">
        <f>IFERROR(VLOOKUP(B61,ITEMS_MASTER!A:B,2,FALSE),"")</f>
        <v/>
      </c>
      <c r="G61">
        <f>E61*F61</f>
        <v/>
      </c>
    </row>
    <row r="62">
      <c r="C62">
        <f>IFERROR(VLOOKUP(B62,ITEMS_MASTER!A:B,2,FALSE),"")</f>
        <v/>
      </c>
      <c r="G62">
        <f>E62*F62</f>
        <v/>
      </c>
    </row>
    <row r="63">
      <c r="C63">
        <f>IFERROR(VLOOKUP(B63,ITEMS_MASTER!A:B,2,FALSE),"")</f>
        <v/>
      </c>
      <c r="G63">
        <f>E63*F63</f>
        <v/>
      </c>
    </row>
    <row r="64">
      <c r="C64">
        <f>IFERROR(VLOOKUP(B64,ITEMS_MASTER!A:B,2,FALSE),"")</f>
        <v/>
      </c>
      <c r="G64">
        <f>E64*F64</f>
        <v/>
      </c>
    </row>
    <row r="65">
      <c r="C65">
        <f>IFERROR(VLOOKUP(B65,ITEMS_MASTER!A:B,2,FALSE),"")</f>
        <v/>
      </c>
      <c r="G65">
        <f>E65*F65</f>
        <v/>
      </c>
    </row>
    <row r="66">
      <c r="C66">
        <f>IFERROR(VLOOKUP(B66,ITEMS_MASTER!A:B,2,FALSE),"")</f>
        <v/>
      </c>
      <c r="G66">
        <f>E66*F66</f>
        <v/>
      </c>
    </row>
    <row r="67">
      <c r="C67">
        <f>IFERROR(VLOOKUP(B67,ITEMS_MASTER!A:B,2,FALSE),"")</f>
        <v/>
      </c>
      <c r="G67">
        <f>E67*F67</f>
        <v/>
      </c>
    </row>
    <row r="68">
      <c r="C68">
        <f>IFERROR(VLOOKUP(B68,ITEMS_MASTER!A:B,2,FALSE),"")</f>
        <v/>
      </c>
      <c r="G68">
        <f>E68*F68</f>
        <v/>
      </c>
    </row>
    <row r="69">
      <c r="C69">
        <f>IFERROR(VLOOKUP(B69,ITEMS_MASTER!A:B,2,FALSE),"")</f>
        <v/>
      </c>
      <c r="G69">
        <f>E69*F69</f>
        <v/>
      </c>
    </row>
    <row r="70">
      <c r="C70">
        <f>IFERROR(VLOOKUP(B70,ITEMS_MASTER!A:B,2,FALSE),"")</f>
        <v/>
      </c>
      <c r="G70">
        <f>E70*F70</f>
        <v/>
      </c>
    </row>
    <row r="71">
      <c r="C71">
        <f>IFERROR(VLOOKUP(B71,ITEMS_MASTER!A:B,2,FALSE),"")</f>
        <v/>
      </c>
      <c r="G71">
        <f>E71*F71</f>
        <v/>
      </c>
    </row>
    <row r="72">
      <c r="C72">
        <f>IFERROR(VLOOKUP(B72,ITEMS_MASTER!A:B,2,FALSE),"")</f>
        <v/>
      </c>
      <c r="G72">
        <f>E72*F72</f>
        <v/>
      </c>
    </row>
    <row r="73">
      <c r="C73">
        <f>IFERROR(VLOOKUP(B73,ITEMS_MASTER!A:B,2,FALSE),"")</f>
        <v/>
      </c>
      <c r="G73">
        <f>E73*F73</f>
        <v/>
      </c>
    </row>
    <row r="74">
      <c r="C74">
        <f>IFERROR(VLOOKUP(B74,ITEMS_MASTER!A:B,2,FALSE),"")</f>
        <v/>
      </c>
      <c r="G74">
        <f>E74*F74</f>
        <v/>
      </c>
    </row>
    <row r="75">
      <c r="C75">
        <f>IFERROR(VLOOKUP(B75,ITEMS_MASTER!A:B,2,FALSE),"")</f>
        <v/>
      </c>
      <c r="G75">
        <f>E75*F75</f>
        <v/>
      </c>
    </row>
    <row r="76">
      <c r="C76">
        <f>IFERROR(VLOOKUP(B76,ITEMS_MASTER!A:B,2,FALSE),"")</f>
        <v/>
      </c>
      <c r="G76">
        <f>E76*F76</f>
        <v/>
      </c>
    </row>
    <row r="77">
      <c r="C77">
        <f>IFERROR(VLOOKUP(B77,ITEMS_MASTER!A:B,2,FALSE),"")</f>
        <v/>
      </c>
      <c r="G77">
        <f>E77*F77</f>
        <v/>
      </c>
    </row>
    <row r="78">
      <c r="C78">
        <f>IFERROR(VLOOKUP(B78,ITEMS_MASTER!A:B,2,FALSE),"")</f>
        <v/>
      </c>
      <c r="G78">
        <f>E78*F78</f>
        <v/>
      </c>
    </row>
    <row r="79">
      <c r="C79">
        <f>IFERROR(VLOOKUP(B79,ITEMS_MASTER!A:B,2,FALSE),"")</f>
        <v/>
      </c>
      <c r="G79">
        <f>E79*F79</f>
        <v/>
      </c>
    </row>
    <row r="80">
      <c r="C80">
        <f>IFERROR(VLOOKUP(B80,ITEMS_MASTER!A:B,2,FALSE),"")</f>
        <v/>
      </c>
      <c r="G80">
        <f>E80*F80</f>
        <v/>
      </c>
    </row>
    <row r="81">
      <c r="C81">
        <f>IFERROR(VLOOKUP(B81,ITEMS_MASTER!A:B,2,FALSE),"")</f>
        <v/>
      </c>
      <c r="G81">
        <f>E81*F81</f>
        <v/>
      </c>
    </row>
    <row r="82">
      <c r="C82">
        <f>IFERROR(VLOOKUP(B82,ITEMS_MASTER!A:B,2,FALSE),"")</f>
        <v/>
      </c>
      <c r="G82">
        <f>E82*F82</f>
        <v/>
      </c>
    </row>
    <row r="83">
      <c r="C83">
        <f>IFERROR(VLOOKUP(B83,ITEMS_MASTER!A:B,2,FALSE),"")</f>
        <v/>
      </c>
      <c r="G83">
        <f>E83*F83</f>
        <v/>
      </c>
    </row>
    <row r="84">
      <c r="C84">
        <f>IFERROR(VLOOKUP(B84,ITEMS_MASTER!A:B,2,FALSE),"")</f>
        <v/>
      </c>
      <c r="G84">
        <f>E84*F84</f>
        <v/>
      </c>
    </row>
    <row r="85">
      <c r="C85">
        <f>IFERROR(VLOOKUP(B85,ITEMS_MASTER!A:B,2,FALSE),"")</f>
        <v/>
      </c>
      <c r="G85">
        <f>E85*F85</f>
        <v/>
      </c>
    </row>
    <row r="86">
      <c r="C86">
        <f>IFERROR(VLOOKUP(B86,ITEMS_MASTER!A:B,2,FALSE),"")</f>
        <v/>
      </c>
      <c r="G86">
        <f>E86*F86</f>
        <v/>
      </c>
    </row>
    <row r="87">
      <c r="C87">
        <f>IFERROR(VLOOKUP(B87,ITEMS_MASTER!A:B,2,FALSE),"")</f>
        <v/>
      </c>
      <c r="G87">
        <f>E87*F87</f>
        <v/>
      </c>
    </row>
    <row r="88">
      <c r="C88">
        <f>IFERROR(VLOOKUP(B88,ITEMS_MASTER!A:B,2,FALSE),"")</f>
        <v/>
      </c>
      <c r="G88">
        <f>E88*F88</f>
        <v/>
      </c>
    </row>
    <row r="89">
      <c r="C89">
        <f>IFERROR(VLOOKUP(B89,ITEMS_MASTER!A:B,2,FALSE),"")</f>
        <v/>
      </c>
      <c r="G89">
        <f>E89*F89</f>
        <v/>
      </c>
    </row>
    <row r="90">
      <c r="C90">
        <f>IFERROR(VLOOKUP(B90,ITEMS_MASTER!A:B,2,FALSE),"")</f>
        <v/>
      </c>
      <c r="G90">
        <f>E90*F90</f>
        <v/>
      </c>
    </row>
    <row r="91">
      <c r="C91">
        <f>IFERROR(VLOOKUP(B91,ITEMS_MASTER!A:B,2,FALSE),"")</f>
        <v/>
      </c>
      <c r="G91">
        <f>E91*F91</f>
        <v/>
      </c>
    </row>
    <row r="92">
      <c r="C92">
        <f>IFERROR(VLOOKUP(B92,ITEMS_MASTER!A:B,2,FALSE),"")</f>
        <v/>
      </c>
      <c r="G92">
        <f>E92*F92</f>
        <v/>
      </c>
    </row>
    <row r="93">
      <c r="C93">
        <f>IFERROR(VLOOKUP(B93,ITEMS_MASTER!A:B,2,FALSE),"")</f>
        <v/>
      </c>
      <c r="G93">
        <f>E93*F93</f>
        <v/>
      </c>
    </row>
    <row r="94">
      <c r="C94">
        <f>IFERROR(VLOOKUP(B94,ITEMS_MASTER!A:B,2,FALSE),"")</f>
        <v/>
      </c>
      <c r="G94">
        <f>E94*F94</f>
        <v/>
      </c>
    </row>
    <row r="95">
      <c r="C95">
        <f>IFERROR(VLOOKUP(B95,ITEMS_MASTER!A:B,2,FALSE),"")</f>
        <v/>
      </c>
      <c r="G95">
        <f>E95*F95</f>
        <v/>
      </c>
    </row>
    <row r="96">
      <c r="C96">
        <f>IFERROR(VLOOKUP(B96,ITEMS_MASTER!A:B,2,FALSE),"")</f>
        <v/>
      </c>
      <c r="G96">
        <f>E96*F96</f>
        <v/>
      </c>
    </row>
    <row r="97">
      <c r="C97">
        <f>IFERROR(VLOOKUP(B97,ITEMS_MASTER!A:B,2,FALSE),"")</f>
        <v/>
      </c>
      <c r="G97">
        <f>E97*F97</f>
        <v/>
      </c>
    </row>
    <row r="98">
      <c r="C98">
        <f>IFERROR(VLOOKUP(B98,ITEMS_MASTER!A:B,2,FALSE),"")</f>
        <v/>
      </c>
      <c r="G98">
        <f>E98*F98</f>
        <v/>
      </c>
    </row>
    <row r="99">
      <c r="C99">
        <f>IFERROR(VLOOKUP(B99,ITEMS_MASTER!A:B,2,FALSE),"")</f>
        <v/>
      </c>
      <c r="G99">
        <f>E99*F99</f>
        <v/>
      </c>
    </row>
    <row r="100">
      <c r="C100">
        <f>IFERROR(VLOOKUP(B100,ITEMS_MASTER!A:B,2,FALSE),"")</f>
        <v/>
      </c>
      <c r="G100">
        <f>E100*F100</f>
        <v/>
      </c>
    </row>
    <row r="101">
      <c r="C101">
        <f>IFERROR(VLOOKUP(B101,ITEMS_MASTER!A:B,2,FALSE),"")</f>
        <v/>
      </c>
      <c r="G101">
        <f>E101*F101</f>
        <v/>
      </c>
    </row>
    <row r="102">
      <c r="C102">
        <f>IFERROR(VLOOKUP(B102,ITEMS_MASTER!A:B,2,FALSE),"")</f>
        <v/>
      </c>
      <c r="G102">
        <f>E102*F102</f>
        <v/>
      </c>
    </row>
    <row r="103">
      <c r="C103">
        <f>IFERROR(VLOOKUP(B103,ITEMS_MASTER!A:B,2,FALSE),"")</f>
        <v/>
      </c>
      <c r="G103">
        <f>E103*F103</f>
        <v/>
      </c>
    </row>
    <row r="104">
      <c r="C104">
        <f>IFERROR(VLOOKUP(B104,ITEMS_MASTER!A:B,2,FALSE),"")</f>
        <v/>
      </c>
      <c r="G104">
        <f>E104*F104</f>
        <v/>
      </c>
    </row>
    <row r="105">
      <c r="C105">
        <f>IFERROR(VLOOKUP(B105,ITEMS_MASTER!A:B,2,FALSE),"")</f>
        <v/>
      </c>
      <c r="G105">
        <f>E105*F105</f>
        <v/>
      </c>
    </row>
    <row r="106">
      <c r="C106">
        <f>IFERROR(VLOOKUP(B106,ITEMS_MASTER!A:B,2,FALSE),"")</f>
        <v/>
      </c>
      <c r="G106">
        <f>E106*F106</f>
        <v/>
      </c>
    </row>
    <row r="107">
      <c r="C107">
        <f>IFERROR(VLOOKUP(B107,ITEMS_MASTER!A:B,2,FALSE),"")</f>
        <v/>
      </c>
      <c r="G107">
        <f>E107*F107</f>
        <v/>
      </c>
    </row>
    <row r="108">
      <c r="C108">
        <f>IFERROR(VLOOKUP(B108,ITEMS_MASTER!A:B,2,FALSE),"")</f>
        <v/>
      </c>
      <c r="G108">
        <f>E108*F108</f>
        <v/>
      </c>
    </row>
    <row r="109">
      <c r="C109">
        <f>IFERROR(VLOOKUP(B109,ITEMS_MASTER!A:B,2,FALSE),"")</f>
        <v/>
      </c>
      <c r="G109">
        <f>E109*F109</f>
        <v/>
      </c>
    </row>
    <row r="110">
      <c r="C110">
        <f>IFERROR(VLOOKUP(B110,ITEMS_MASTER!A:B,2,FALSE),"")</f>
        <v/>
      </c>
      <c r="G110">
        <f>E110*F110</f>
        <v/>
      </c>
    </row>
    <row r="111">
      <c r="C111">
        <f>IFERROR(VLOOKUP(B111,ITEMS_MASTER!A:B,2,FALSE),"")</f>
        <v/>
      </c>
      <c r="G111">
        <f>E111*F111</f>
        <v/>
      </c>
    </row>
    <row r="112">
      <c r="C112">
        <f>IFERROR(VLOOKUP(B112,ITEMS_MASTER!A:B,2,FALSE),"")</f>
        <v/>
      </c>
      <c r="G112">
        <f>E112*F112</f>
        <v/>
      </c>
    </row>
    <row r="113">
      <c r="C113">
        <f>IFERROR(VLOOKUP(B113,ITEMS_MASTER!A:B,2,FALSE),"")</f>
        <v/>
      </c>
      <c r="G113">
        <f>E113*F113</f>
        <v/>
      </c>
    </row>
    <row r="114">
      <c r="C114">
        <f>IFERROR(VLOOKUP(B114,ITEMS_MASTER!A:B,2,FALSE),"")</f>
        <v/>
      </c>
      <c r="G114">
        <f>E114*F114</f>
        <v/>
      </c>
    </row>
    <row r="115">
      <c r="C115">
        <f>IFERROR(VLOOKUP(B115,ITEMS_MASTER!A:B,2,FALSE),"")</f>
        <v/>
      </c>
      <c r="G115">
        <f>E115*F115</f>
        <v/>
      </c>
    </row>
    <row r="116">
      <c r="C116">
        <f>IFERROR(VLOOKUP(B116,ITEMS_MASTER!A:B,2,FALSE),"")</f>
        <v/>
      </c>
      <c r="G116">
        <f>E116*F116</f>
        <v/>
      </c>
    </row>
    <row r="117">
      <c r="C117">
        <f>IFERROR(VLOOKUP(B117,ITEMS_MASTER!A:B,2,FALSE),"")</f>
        <v/>
      </c>
      <c r="G117">
        <f>E117*F117</f>
        <v/>
      </c>
    </row>
    <row r="118">
      <c r="C118">
        <f>IFERROR(VLOOKUP(B118,ITEMS_MASTER!A:B,2,FALSE),"")</f>
        <v/>
      </c>
      <c r="G118">
        <f>E118*F118</f>
        <v/>
      </c>
    </row>
    <row r="119">
      <c r="C119">
        <f>IFERROR(VLOOKUP(B119,ITEMS_MASTER!A:B,2,FALSE),"")</f>
        <v/>
      </c>
      <c r="G119">
        <f>E119*F119</f>
        <v/>
      </c>
    </row>
    <row r="120">
      <c r="C120">
        <f>IFERROR(VLOOKUP(B120,ITEMS_MASTER!A:B,2,FALSE),"")</f>
        <v/>
      </c>
      <c r="G120">
        <f>E120*F120</f>
        <v/>
      </c>
    </row>
    <row r="121">
      <c r="C121">
        <f>IFERROR(VLOOKUP(B121,ITEMS_MASTER!A:B,2,FALSE),"")</f>
        <v/>
      </c>
      <c r="G121">
        <f>E121*F121</f>
        <v/>
      </c>
    </row>
    <row r="122">
      <c r="C122">
        <f>IFERROR(VLOOKUP(B122,ITEMS_MASTER!A:B,2,FALSE),"")</f>
        <v/>
      </c>
      <c r="G122">
        <f>E122*F122</f>
        <v/>
      </c>
    </row>
    <row r="123">
      <c r="C123">
        <f>IFERROR(VLOOKUP(B123,ITEMS_MASTER!A:B,2,FALSE),"")</f>
        <v/>
      </c>
      <c r="G123">
        <f>E123*F123</f>
        <v/>
      </c>
    </row>
    <row r="124">
      <c r="C124">
        <f>IFERROR(VLOOKUP(B124,ITEMS_MASTER!A:B,2,FALSE),"")</f>
        <v/>
      </c>
      <c r="G124">
        <f>E124*F124</f>
        <v/>
      </c>
    </row>
    <row r="125">
      <c r="C125">
        <f>IFERROR(VLOOKUP(B125,ITEMS_MASTER!A:B,2,FALSE),"")</f>
        <v/>
      </c>
      <c r="G125">
        <f>E125*F125</f>
        <v/>
      </c>
    </row>
    <row r="126">
      <c r="C126">
        <f>IFERROR(VLOOKUP(B126,ITEMS_MASTER!A:B,2,FALSE),"")</f>
        <v/>
      </c>
      <c r="G126">
        <f>E126*F126</f>
        <v/>
      </c>
    </row>
    <row r="127">
      <c r="C127">
        <f>IFERROR(VLOOKUP(B127,ITEMS_MASTER!A:B,2,FALSE),"")</f>
        <v/>
      </c>
      <c r="G127">
        <f>E127*F127</f>
        <v/>
      </c>
    </row>
    <row r="128">
      <c r="C128">
        <f>IFERROR(VLOOKUP(B128,ITEMS_MASTER!A:B,2,FALSE),"")</f>
        <v/>
      </c>
      <c r="G128">
        <f>E128*F128</f>
        <v/>
      </c>
    </row>
    <row r="129">
      <c r="C129">
        <f>IFERROR(VLOOKUP(B129,ITEMS_MASTER!A:B,2,FALSE),"")</f>
        <v/>
      </c>
      <c r="G129">
        <f>E129*F129</f>
        <v/>
      </c>
    </row>
    <row r="130">
      <c r="C130">
        <f>IFERROR(VLOOKUP(B130,ITEMS_MASTER!A:B,2,FALSE),"")</f>
        <v/>
      </c>
      <c r="G130">
        <f>E130*F130</f>
        <v/>
      </c>
    </row>
    <row r="131">
      <c r="C131">
        <f>IFERROR(VLOOKUP(B131,ITEMS_MASTER!A:B,2,FALSE),"")</f>
        <v/>
      </c>
      <c r="G131">
        <f>E131*F131</f>
        <v/>
      </c>
    </row>
    <row r="132">
      <c r="C132">
        <f>IFERROR(VLOOKUP(B132,ITEMS_MASTER!A:B,2,FALSE),"")</f>
        <v/>
      </c>
      <c r="G132">
        <f>E132*F132</f>
        <v/>
      </c>
    </row>
    <row r="133">
      <c r="C133">
        <f>IFERROR(VLOOKUP(B133,ITEMS_MASTER!A:B,2,FALSE),"")</f>
        <v/>
      </c>
      <c r="G133">
        <f>E133*F133</f>
        <v/>
      </c>
    </row>
    <row r="134">
      <c r="C134">
        <f>IFERROR(VLOOKUP(B134,ITEMS_MASTER!A:B,2,FALSE),"")</f>
        <v/>
      </c>
      <c r="G134">
        <f>E134*F134</f>
        <v/>
      </c>
    </row>
    <row r="135">
      <c r="C135">
        <f>IFERROR(VLOOKUP(B135,ITEMS_MASTER!A:B,2,FALSE),"")</f>
        <v/>
      </c>
      <c r="G135">
        <f>E135*F135</f>
        <v/>
      </c>
    </row>
    <row r="136">
      <c r="C136">
        <f>IFERROR(VLOOKUP(B136,ITEMS_MASTER!A:B,2,FALSE),"")</f>
        <v/>
      </c>
      <c r="G136">
        <f>E136*F136</f>
        <v/>
      </c>
    </row>
    <row r="137">
      <c r="C137">
        <f>IFERROR(VLOOKUP(B137,ITEMS_MASTER!A:B,2,FALSE),"")</f>
        <v/>
      </c>
      <c r="G137">
        <f>E137*F137</f>
        <v/>
      </c>
    </row>
    <row r="138">
      <c r="C138">
        <f>IFERROR(VLOOKUP(B138,ITEMS_MASTER!A:B,2,FALSE),"")</f>
        <v/>
      </c>
      <c r="G138">
        <f>E138*F138</f>
        <v/>
      </c>
    </row>
    <row r="139">
      <c r="C139">
        <f>IFERROR(VLOOKUP(B139,ITEMS_MASTER!A:B,2,FALSE),"")</f>
        <v/>
      </c>
      <c r="G139">
        <f>E139*F139</f>
        <v/>
      </c>
    </row>
    <row r="140">
      <c r="C140">
        <f>IFERROR(VLOOKUP(B140,ITEMS_MASTER!A:B,2,FALSE),"")</f>
        <v/>
      </c>
      <c r="G140">
        <f>E140*F140</f>
        <v/>
      </c>
    </row>
    <row r="141">
      <c r="C141">
        <f>IFERROR(VLOOKUP(B141,ITEMS_MASTER!A:B,2,FALSE),"")</f>
        <v/>
      </c>
      <c r="G141">
        <f>E141*F141</f>
        <v/>
      </c>
    </row>
    <row r="142">
      <c r="C142">
        <f>IFERROR(VLOOKUP(B142,ITEMS_MASTER!A:B,2,FALSE),"")</f>
        <v/>
      </c>
      <c r="G142">
        <f>E142*F142</f>
        <v/>
      </c>
    </row>
    <row r="143">
      <c r="C143">
        <f>IFERROR(VLOOKUP(B143,ITEMS_MASTER!A:B,2,FALSE),"")</f>
        <v/>
      </c>
      <c r="G143">
        <f>E143*F143</f>
        <v/>
      </c>
    </row>
    <row r="144">
      <c r="C144">
        <f>IFERROR(VLOOKUP(B144,ITEMS_MASTER!A:B,2,FALSE),"")</f>
        <v/>
      </c>
      <c r="G144">
        <f>E144*F144</f>
        <v/>
      </c>
    </row>
    <row r="145">
      <c r="C145">
        <f>IFERROR(VLOOKUP(B145,ITEMS_MASTER!A:B,2,FALSE),"")</f>
        <v/>
      </c>
      <c r="G145">
        <f>E145*F145</f>
        <v/>
      </c>
    </row>
    <row r="146">
      <c r="C146">
        <f>IFERROR(VLOOKUP(B146,ITEMS_MASTER!A:B,2,FALSE),"")</f>
        <v/>
      </c>
      <c r="G146">
        <f>E146*F146</f>
        <v/>
      </c>
    </row>
    <row r="147">
      <c r="C147">
        <f>IFERROR(VLOOKUP(B147,ITEMS_MASTER!A:B,2,FALSE),"")</f>
        <v/>
      </c>
      <c r="G147">
        <f>E147*F147</f>
        <v/>
      </c>
    </row>
    <row r="148">
      <c r="C148">
        <f>IFERROR(VLOOKUP(B148,ITEMS_MASTER!A:B,2,FALSE),"")</f>
        <v/>
      </c>
      <c r="G148">
        <f>E148*F148</f>
        <v/>
      </c>
    </row>
    <row r="149">
      <c r="C149">
        <f>IFERROR(VLOOKUP(B149,ITEMS_MASTER!A:B,2,FALSE),"")</f>
        <v/>
      </c>
      <c r="G149">
        <f>E149*F149</f>
        <v/>
      </c>
    </row>
    <row r="150">
      <c r="C150">
        <f>IFERROR(VLOOKUP(B150,ITEMS_MASTER!A:B,2,FALSE),"")</f>
        <v/>
      </c>
      <c r="G150">
        <f>E150*F150</f>
        <v/>
      </c>
    </row>
    <row r="151">
      <c r="C151">
        <f>IFERROR(VLOOKUP(B151,ITEMS_MASTER!A:B,2,FALSE),"")</f>
        <v/>
      </c>
      <c r="G151">
        <f>E151*F151</f>
        <v/>
      </c>
    </row>
    <row r="152">
      <c r="C152">
        <f>IFERROR(VLOOKUP(B152,ITEMS_MASTER!A:B,2,FALSE),"")</f>
        <v/>
      </c>
      <c r="G152">
        <f>E152*F152</f>
        <v/>
      </c>
    </row>
    <row r="153">
      <c r="C153">
        <f>IFERROR(VLOOKUP(B153,ITEMS_MASTER!A:B,2,FALSE),"")</f>
        <v/>
      </c>
      <c r="G153">
        <f>E153*F153</f>
        <v/>
      </c>
    </row>
    <row r="154">
      <c r="C154">
        <f>IFERROR(VLOOKUP(B154,ITEMS_MASTER!A:B,2,FALSE),"")</f>
        <v/>
      </c>
      <c r="G154">
        <f>E154*F154</f>
        <v/>
      </c>
    </row>
    <row r="155">
      <c r="C155">
        <f>IFERROR(VLOOKUP(B155,ITEMS_MASTER!A:B,2,FALSE),"")</f>
        <v/>
      </c>
      <c r="G155">
        <f>E155*F155</f>
        <v/>
      </c>
    </row>
    <row r="156">
      <c r="C156">
        <f>IFERROR(VLOOKUP(B156,ITEMS_MASTER!A:B,2,FALSE),"")</f>
        <v/>
      </c>
      <c r="G156">
        <f>E156*F156</f>
        <v/>
      </c>
    </row>
    <row r="157">
      <c r="C157">
        <f>IFERROR(VLOOKUP(B157,ITEMS_MASTER!A:B,2,FALSE),"")</f>
        <v/>
      </c>
      <c r="G157">
        <f>E157*F157</f>
        <v/>
      </c>
    </row>
    <row r="158">
      <c r="C158">
        <f>IFERROR(VLOOKUP(B158,ITEMS_MASTER!A:B,2,FALSE),"")</f>
        <v/>
      </c>
      <c r="G158">
        <f>E158*F158</f>
        <v/>
      </c>
    </row>
    <row r="159">
      <c r="C159">
        <f>IFERROR(VLOOKUP(B159,ITEMS_MASTER!A:B,2,FALSE),"")</f>
        <v/>
      </c>
      <c r="G159">
        <f>E159*F159</f>
        <v/>
      </c>
    </row>
    <row r="160">
      <c r="C160">
        <f>IFERROR(VLOOKUP(B160,ITEMS_MASTER!A:B,2,FALSE),"")</f>
        <v/>
      </c>
      <c r="G160">
        <f>E160*F160</f>
        <v/>
      </c>
    </row>
    <row r="161">
      <c r="C161">
        <f>IFERROR(VLOOKUP(B161,ITEMS_MASTER!A:B,2,FALSE),"")</f>
        <v/>
      </c>
      <c r="G161">
        <f>E161*F161</f>
        <v/>
      </c>
    </row>
    <row r="162">
      <c r="C162">
        <f>IFERROR(VLOOKUP(B162,ITEMS_MASTER!A:B,2,FALSE),"")</f>
        <v/>
      </c>
      <c r="G162">
        <f>E162*F162</f>
        <v/>
      </c>
    </row>
    <row r="163">
      <c r="C163">
        <f>IFERROR(VLOOKUP(B163,ITEMS_MASTER!A:B,2,FALSE),"")</f>
        <v/>
      </c>
      <c r="G163">
        <f>E163*F163</f>
        <v/>
      </c>
    </row>
    <row r="164">
      <c r="C164">
        <f>IFERROR(VLOOKUP(B164,ITEMS_MASTER!A:B,2,FALSE),"")</f>
        <v/>
      </c>
      <c r="G164">
        <f>E164*F164</f>
        <v/>
      </c>
    </row>
    <row r="165">
      <c r="C165">
        <f>IFERROR(VLOOKUP(B165,ITEMS_MASTER!A:B,2,FALSE),"")</f>
        <v/>
      </c>
      <c r="G165">
        <f>E165*F165</f>
        <v/>
      </c>
    </row>
    <row r="166">
      <c r="C166">
        <f>IFERROR(VLOOKUP(B166,ITEMS_MASTER!A:B,2,FALSE),"")</f>
        <v/>
      </c>
      <c r="G166">
        <f>E166*F166</f>
        <v/>
      </c>
    </row>
    <row r="167">
      <c r="C167">
        <f>IFERROR(VLOOKUP(B167,ITEMS_MASTER!A:B,2,FALSE),"")</f>
        <v/>
      </c>
      <c r="G167">
        <f>E167*F167</f>
        <v/>
      </c>
    </row>
    <row r="168">
      <c r="C168">
        <f>IFERROR(VLOOKUP(B168,ITEMS_MASTER!A:B,2,FALSE),"")</f>
        <v/>
      </c>
      <c r="G168">
        <f>E168*F168</f>
        <v/>
      </c>
    </row>
    <row r="169">
      <c r="C169">
        <f>IFERROR(VLOOKUP(B169,ITEMS_MASTER!A:B,2,FALSE),"")</f>
        <v/>
      </c>
      <c r="G169">
        <f>E169*F169</f>
        <v/>
      </c>
    </row>
    <row r="170">
      <c r="C170">
        <f>IFERROR(VLOOKUP(B170,ITEMS_MASTER!A:B,2,FALSE),"")</f>
        <v/>
      </c>
      <c r="G170">
        <f>E170*F170</f>
        <v/>
      </c>
    </row>
    <row r="171">
      <c r="C171">
        <f>IFERROR(VLOOKUP(B171,ITEMS_MASTER!A:B,2,FALSE),"")</f>
        <v/>
      </c>
      <c r="G171">
        <f>E171*F171</f>
        <v/>
      </c>
    </row>
    <row r="172">
      <c r="C172">
        <f>IFERROR(VLOOKUP(B172,ITEMS_MASTER!A:B,2,FALSE),"")</f>
        <v/>
      </c>
      <c r="G172">
        <f>E172*F172</f>
        <v/>
      </c>
    </row>
    <row r="173">
      <c r="C173">
        <f>IFERROR(VLOOKUP(B173,ITEMS_MASTER!A:B,2,FALSE),"")</f>
        <v/>
      </c>
      <c r="G173">
        <f>E173*F173</f>
        <v/>
      </c>
    </row>
    <row r="174">
      <c r="C174">
        <f>IFERROR(VLOOKUP(B174,ITEMS_MASTER!A:B,2,FALSE),"")</f>
        <v/>
      </c>
      <c r="G174">
        <f>E174*F174</f>
        <v/>
      </c>
    </row>
    <row r="175">
      <c r="C175">
        <f>IFERROR(VLOOKUP(B175,ITEMS_MASTER!A:B,2,FALSE),"")</f>
        <v/>
      </c>
      <c r="G175">
        <f>E175*F175</f>
        <v/>
      </c>
    </row>
    <row r="176">
      <c r="C176">
        <f>IFERROR(VLOOKUP(B176,ITEMS_MASTER!A:B,2,FALSE),"")</f>
        <v/>
      </c>
      <c r="G176">
        <f>E176*F176</f>
        <v/>
      </c>
    </row>
    <row r="177">
      <c r="C177">
        <f>IFERROR(VLOOKUP(B177,ITEMS_MASTER!A:B,2,FALSE),"")</f>
        <v/>
      </c>
      <c r="G177">
        <f>E177*F177</f>
        <v/>
      </c>
    </row>
    <row r="178">
      <c r="C178">
        <f>IFERROR(VLOOKUP(B178,ITEMS_MASTER!A:B,2,FALSE),"")</f>
        <v/>
      </c>
      <c r="G178">
        <f>E178*F178</f>
        <v/>
      </c>
    </row>
    <row r="179">
      <c r="C179">
        <f>IFERROR(VLOOKUP(B179,ITEMS_MASTER!A:B,2,FALSE),"")</f>
        <v/>
      </c>
      <c r="G179">
        <f>E179*F179</f>
        <v/>
      </c>
    </row>
    <row r="180">
      <c r="C180">
        <f>IFERROR(VLOOKUP(B180,ITEMS_MASTER!A:B,2,FALSE),"")</f>
        <v/>
      </c>
      <c r="G180">
        <f>E180*F180</f>
        <v/>
      </c>
    </row>
    <row r="181">
      <c r="C181">
        <f>IFERROR(VLOOKUP(B181,ITEMS_MASTER!A:B,2,FALSE),"")</f>
        <v/>
      </c>
      <c r="G181">
        <f>E181*F181</f>
        <v/>
      </c>
    </row>
    <row r="182">
      <c r="C182">
        <f>IFERROR(VLOOKUP(B182,ITEMS_MASTER!A:B,2,FALSE),"")</f>
        <v/>
      </c>
      <c r="G182">
        <f>E182*F182</f>
        <v/>
      </c>
    </row>
    <row r="183">
      <c r="C183">
        <f>IFERROR(VLOOKUP(B183,ITEMS_MASTER!A:B,2,FALSE),"")</f>
        <v/>
      </c>
      <c r="G183">
        <f>E183*F183</f>
        <v/>
      </c>
    </row>
    <row r="184">
      <c r="C184">
        <f>IFERROR(VLOOKUP(B184,ITEMS_MASTER!A:B,2,FALSE),"")</f>
        <v/>
      </c>
      <c r="G184">
        <f>E184*F184</f>
        <v/>
      </c>
    </row>
    <row r="185">
      <c r="C185">
        <f>IFERROR(VLOOKUP(B185,ITEMS_MASTER!A:B,2,FALSE),"")</f>
        <v/>
      </c>
      <c r="G185">
        <f>E185*F185</f>
        <v/>
      </c>
    </row>
    <row r="186">
      <c r="C186">
        <f>IFERROR(VLOOKUP(B186,ITEMS_MASTER!A:B,2,FALSE),"")</f>
        <v/>
      </c>
      <c r="G186">
        <f>E186*F186</f>
        <v/>
      </c>
    </row>
    <row r="187">
      <c r="C187">
        <f>IFERROR(VLOOKUP(B187,ITEMS_MASTER!A:B,2,FALSE),"")</f>
        <v/>
      </c>
      <c r="G187">
        <f>E187*F187</f>
        <v/>
      </c>
    </row>
    <row r="188">
      <c r="C188">
        <f>IFERROR(VLOOKUP(B188,ITEMS_MASTER!A:B,2,FALSE),"")</f>
        <v/>
      </c>
      <c r="G188">
        <f>E188*F188</f>
        <v/>
      </c>
    </row>
    <row r="189">
      <c r="C189">
        <f>IFERROR(VLOOKUP(B189,ITEMS_MASTER!A:B,2,FALSE),"")</f>
        <v/>
      </c>
      <c r="G189">
        <f>E189*F189</f>
        <v/>
      </c>
    </row>
    <row r="190">
      <c r="C190">
        <f>IFERROR(VLOOKUP(B190,ITEMS_MASTER!A:B,2,FALSE),"")</f>
        <v/>
      </c>
      <c r="G190">
        <f>E190*F190</f>
        <v/>
      </c>
    </row>
    <row r="191">
      <c r="C191">
        <f>IFERROR(VLOOKUP(B191,ITEMS_MASTER!A:B,2,FALSE),"")</f>
        <v/>
      </c>
      <c r="G191">
        <f>E191*F191</f>
        <v/>
      </c>
    </row>
    <row r="192">
      <c r="C192">
        <f>IFERROR(VLOOKUP(B192,ITEMS_MASTER!A:B,2,FALSE),"")</f>
        <v/>
      </c>
      <c r="G192">
        <f>E192*F192</f>
        <v/>
      </c>
    </row>
    <row r="193">
      <c r="C193">
        <f>IFERROR(VLOOKUP(B193,ITEMS_MASTER!A:B,2,FALSE),"")</f>
        <v/>
      </c>
      <c r="G193">
        <f>E193*F193</f>
        <v/>
      </c>
    </row>
    <row r="194">
      <c r="C194">
        <f>IFERROR(VLOOKUP(B194,ITEMS_MASTER!A:B,2,FALSE),"")</f>
        <v/>
      </c>
      <c r="G194">
        <f>E194*F194</f>
        <v/>
      </c>
    </row>
    <row r="195">
      <c r="C195">
        <f>IFERROR(VLOOKUP(B195,ITEMS_MASTER!A:B,2,FALSE),"")</f>
        <v/>
      </c>
      <c r="G195">
        <f>E195*F195</f>
        <v/>
      </c>
    </row>
    <row r="196">
      <c r="C196">
        <f>IFERROR(VLOOKUP(B196,ITEMS_MASTER!A:B,2,FALSE),"")</f>
        <v/>
      </c>
      <c r="G196">
        <f>E196*F196</f>
        <v/>
      </c>
    </row>
    <row r="197">
      <c r="C197">
        <f>IFERROR(VLOOKUP(B197,ITEMS_MASTER!A:B,2,FALSE),"")</f>
        <v/>
      </c>
      <c r="G197">
        <f>E197*F197</f>
        <v/>
      </c>
    </row>
    <row r="198">
      <c r="C198">
        <f>IFERROR(VLOOKUP(B198,ITEMS_MASTER!A:B,2,FALSE),"")</f>
        <v/>
      </c>
      <c r="G198">
        <f>E198*F198</f>
        <v/>
      </c>
    </row>
    <row r="199">
      <c r="C199">
        <f>IFERROR(VLOOKUP(B199,ITEMS_MASTER!A:B,2,FALSE),"")</f>
        <v/>
      </c>
      <c r="G199">
        <f>E199*F199</f>
        <v/>
      </c>
    </row>
  </sheetData>
  <dataValidations count="1">
    <dataValidation sqref="D2:D200" showDropDown="0" showInputMessage="0" showErrorMessage="0" allowBlank="1" type="list">
      <formula1>"IN,OUT"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Article</t>
        </is>
      </c>
      <c r="B1" t="inlineStr">
        <is>
          <t>Nom Article</t>
        </is>
      </c>
      <c r="C1" t="inlineStr">
        <is>
          <t>Total Entrées</t>
        </is>
      </c>
      <c r="D1" t="inlineStr">
        <is>
          <t>Total Sorties</t>
        </is>
      </c>
      <c r="E1" t="inlineStr">
        <is>
          <t>Stock Actuel</t>
        </is>
      </c>
      <c r="F1" t="inlineStr">
        <is>
          <t>Stock Minimum</t>
        </is>
      </c>
      <c r="G1" t="inlineStr">
        <is>
          <t>Statut</t>
        </is>
      </c>
    </row>
    <row r="2">
      <c r="B2">
        <f>IFERROR(VLOOKUP(A2,ITEMS_MASTER!A:B,2,FALSE),"")</f>
        <v/>
      </c>
      <c r="C2">
        <f>SUMIFS(STOCK_MOVEMENTS!E:E,STOCK_MOVEMENTS!B:B,A2,STOCK_MOVEMENTS!D:D,"IN")</f>
        <v/>
      </c>
      <c r="D2">
        <f>SUMIFS(STOCK_MOVEMENTS!E:E,STOCK_MOVEMENTS!B:B,A2,STOCK_MOVEMENTS!D:D,"OUT")</f>
        <v/>
      </c>
      <c r="E2">
        <f>C2-D2</f>
        <v/>
      </c>
      <c r="F2">
        <f>IFERROR(VLOOKUP(A2,ITEMS_MASTER!A:E,5,FALSE),"")</f>
        <v/>
      </c>
      <c r="G2">
        <f>IF(E2=0,"RUPTURE",IF(E2&lt;=F2,"ALERTE","OK"))</f>
        <v/>
      </c>
    </row>
    <row r="3">
      <c r="B3">
        <f>IFERROR(VLOOKUP(A3,ITEMS_MASTER!A:B,2,FALSE),"")</f>
        <v/>
      </c>
      <c r="C3">
        <f>SUMIFS(STOCK_MOVEMENTS!E:E,STOCK_MOVEMENTS!B:B,A3,STOCK_MOVEMENTS!D:D,"IN")</f>
        <v/>
      </c>
      <c r="D3">
        <f>SUMIFS(STOCK_MOVEMENTS!E:E,STOCK_MOVEMENTS!B:B,A3,STOCK_MOVEMENTS!D:D,"OUT")</f>
        <v/>
      </c>
      <c r="E3">
        <f>C3-D3</f>
        <v/>
      </c>
      <c r="F3">
        <f>IFERROR(VLOOKUP(A3,ITEMS_MASTER!A:E,5,FALSE),"")</f>
        <v/>
      </c>
      <c r="G3">
        <f>IF(E3=0,"RUPTURE",IF(E3&lt;=F3,"ALERTE","OK"))</f>
        <v/>
      </c>
    </row>
    <row r="4">
      <c r="B4">
        <f>IFERROR(VLOOKUP(A4,ITEMS_MASTER!A:B,2,FALSE),"")</f>
        <v/>
      </c>
      <c r="C4">
        <f>SUMIFS(STOCK_MOVEMENTS!E:E,STOCK_MOVEMENTS!B:B,A4,STOCK_MOVEMENTS!D:D,"IN")</f>
        <v/>
      </c>
      <c r="D4">
        <f>SUMIFS(STOCK_MOVEMENTS!E:E,STOCK_MOVEMENTS!B:B,A4,STOCK_MOVEMENTS!D:D,"OUT")</f>
        <v/>
      </c>
      <c r="E4">
        <f>C4-D4</f>
        <v/>
      </c>
      <c r="F4">
        <f>IFERROR(VLOOKUP(A4,ITEMS_MASTER!A:E,5,FALSE),"")</f>
        <v/>
      </c>
      <c r="G4">
        <f>IF(E4=0,"RUPTURE",IF(E4&lt;=F4,"ALERTE","OK"))</f>
        <v/>
      </c>
    </row>
    <row r="5">
      <c r="B5">
        <f>IFERROR(VLOOKUP(A5,ITEMS_MASTER!A:B,2,FALSE),"")</f>
        <v/>
      </c>
      <c r="C5">
        <f>SUMIFS(STOCK_MOVEMENTS!E:E,STOCK_MOVEMENTS!B:B,A5,STOCK_MOVEMENTS!D:D,"IN")</f>
        <v/>
      </c>
      <c r="D5">
        <f>SUMIFS(STOCK_MOVEMENTS!E:E,STOCK_MOVEMENTS!B:B,A5,STOCK_MOVEMENTS!D:D,"OUT")</f>
        <v/>
      </c>
      <c r="E5">
        <f>C5-D5</f>
        <v/>
      </c>
      <c r="F5">
        <f>IFERROR(VLOOKUP(A5,ITEMS_MASTER!A:E,5,FALSE),"")</f>
        <v/>
      </c>
      <c r="G5">
        <f>IF(E5=0,"RUPTURE",IF(E5&lt;=F5,"ALERTE","OK"))</f>
        <v/>
      </c>
    </row>
    <row r="6">
      <c r="B6">
        <f>IFERROR(VLOOKUP(A6,ITEMS_MASTER!A:B,2,FALSE),"")</f>
        <v/>
      </c>
      <c r="C6">
        <f>SUMIFS(STOCK_MOVEMENTS!E:E,STOCK_MOVEMENTS!B:B,A6,STOCK_MOVEMENTS!D:D,"IN")</f>
        <v/>
      </c>
      <c r="D6">
        <f>SUMIFS(STOCK_MOVEMENTS!E:E,STOCK_MOVEMENTS!B:B,A6,STOCK_MOVEMENTS!D:D,"OUT")</f>
        <v/>
      </c>
      <c r="E6">
        <f>C6-D6</f>
        <v/>
      </c>
      <c r="F6">
        <f>IFERROR(VLOOKUP(A6,ITEMS_MASTER!A:E,5,FALSE),"")</f>
        <v/>
      </c>
      <c r="G6">
        <f>IF(E6=0,"RUPTURE",IF(E6&lt;=F6,"ALERTE","OK"))</f>
        <v/>
      </c>
    </row>
    <row r="7">
      <c r="B7">
        <f>IFERROR(VLOOKUP(A7,ITEMS_MASTER!A:B,2,FALSE),"")</f>
        <v/>
      </c>
      <c r="C7">
        <f>SUMIFS(STOCK_MOVEMENTS!E:E,STOCK_MOVEMENTS!B:B,A7,STOCK_MOVEMENTS!D:D,"IN")</f>
        <v/>
      </c>
      <c r="D7">
        <f>SUMIFS(STOCK_MOVEMENTS!E:E,STOCK_MOVEMENTS!B:B,A7,STOCK_MOVEMENTS!D:D,"OUT")</f>
        <v/>
      </c>
      <c r="E7">
        <f>C7-D7</f>
        <v/>
      </c>
      <c r="F7">
        <f>IFERROR(VLOOKUP(A7,ITEMS_MASTER!A:E,5,FALSE),"")</f>
        <v/>
      </c>
      <c r="G7">
        <f>IF(E7=0,"RUPTURE",IF(E7&lt;=F7,"ALERTE","OK"))</f>
        <v/>
      </c>
    </row>
    <row r="8">
      <c r="B8">
        <f>IFERROR(VLOOKUP(A8,ITEMS_MASTER!A:B,2,FALSE),"")</f>
        <v/>
      </c>
      <c r="C8">
        <f>SUMIFS(STOCK_MOVEMENTS!E:E,STOCK_MOVEMENTS!B:B,A8,STOCK_MOVEMENTS!D:D,"IN")</f>
        <v/>
      </c>
      <c r="D8">
        <f>SUMIFS(STOCK_MOVEMENTS!E:E,STOCK_MOVEMENTS!B:B,A8,STOCK_MOVEMENTS!D:D,"OUT")</f>
        <v/>
      </c>
      <c r="E8">
        <f>C8-D8</f>
        <v/>
      </c>
      <c r="F8">
        <f>IFERROR(VLOOKUP(A8,ITEMS_MASTER!A:E,5,FALSE),"")</f>
        <v/>
      </c>
      <c r="G8">
        <f>IF(E8=0,"RUPTURE",IF(E8&lt;=F8,"ALERTE","OK"))</f>
        <v/>
      </c>
    </row>
    <row r="9">
      <c r="B9">
        <f>IFERROR(VLOOKUP(A9,ITEMS_MASTER!A:B,2,FALSE),"")</f>
        <v/>
      </c>
      <c r="C9">
        <f>SUMIFS(STOCK_MOVEMENTS!E:E,STOCK_MOVEMENTS!B:B,A9,STOCK_MOVEMENTS!D:D,"IN")</f>
        <v/>
      </c>
      <c r="D9">
        <f>SUMIFS(STOCK_MOVEMENTS!E:E,STOCK_MOVEMENTS!B:B,A9,STOCK_MOVEMENTS!D:D,"OUT")</f>
        <v/>
      </c>
      <c r="E9">
        <f>C9-D9</f>
        <v/>
      </c>
      <c r="F9">
        <f>IFERROR(VLOOKUP(A9,ITEMS_MASTER!A:E,5,FALSE),"")</f>
        <v/>
      </c>
      <c r="G9">
        <f>IF(E9=0,"RUPTURE",IF(E9&lt;=F9,"ALERTE","OK"))</f>
        <v/>
      </c>
    </row>
    <row r="10">
      <c r="B10">
        <f>IFERROR(VLOOKUP(A10,ITEMS_MASTER!A:B,2,FALSE),"")</f>
        <v/>
      </c>
      <c r="C10">
        <f>SUMIFS(STOCK_MOVEMENTS!E:E,STOCK_MOVEMENTS!B:B,A10,STOCK_MOVEMENTS!D:D,"IN")</f>
        <v/>
      </c>
      <c r="D10">
        <f>SUMIFS(STOCK_MOVEMENTS!E:E,STOCK_MOVEMENTS!B:B,A10,STOCK_MOVEMENTS!D:D,"OUT")</f>
        <v/>
      </c>
      <c r="E10">
        <f>C10-D10</f>
        <v/>
      </c>
      <c r="F10">
        <f>IFERROR(VLOOKUP(A10,ITEMS_MASTER!A:E,5,FALSE),"")</f>
        <v/>
      </c>
      <c r="G10">
        <f>IF(E10=0,"RUPTURE",IF(E10&lt;=F10,"ALERTE","OK"))</f>
        <v/>
      </c>
    </row>
    <row r="11">
      <c r="B11">
        <f>IFERROR(VLOOKUP(A11,ITEMS_MASTER!A:B,2,FALSE),"")</f>
        <v/>
      </c>
      <c r="C11">
        <f>SUMIFS(STOCK_MOVEMENTS!E:E,STOCK_MOVEMENTS!B:B,A11,STOCK_MOVEMENTS!D:D,"IN")</f>
        <v/>
      </c>
      <c r="D11">
        <f>SUMIFS(STOCK_MOVEMENTS!E:E,STOCK_MOVEMENTS!B:B,A11,STOCK_MOVEMENTS!D:D,"OUT")</f>
        <v/>
      </c>
      <c r="E11">
        <f>C11-D11</f>
        <v/>
      </c>
      <c r="F11">
        <f>IFERROR(VLOOKUP(A11,ITEMS_MASTER!A:E,5,FALSE),"")</f>
        <v/>
      </c>
      <c r="G11">
        <f>IF(E11=0,"RUPTURE",IF(E11&lt;=F11,"ALERTE","OK"))</f>
        <v/>
      </c>
    </row>
    <row r="12">
      <c r="B12">
        <f>IFERROR(VLOOKUP(A12,ITEMS_MASTER!A:B,2,FALSE),"")</f>
        <v/>
      </c>
      <c r="C12">
        <f>SUMIFS(STOCK_MOVEMENTS!E:E,STOCK_MOVEMENTS!B:B,A12,STOCK_MOVEMENTS!D:D,"IN")</f>
        <v/>
      </c>
      <c r="D12">
        <f>SUMIFS(STOCK_MOVEMENTS!E:E,STOCK_MOVEMENTS!B:B,A12,STOCK_MOVEMENTS!D:D,"OUT")</f>
        <v/>
      </c>
      <c r="E12">
        <f>C12-D12</f>
        <v/>
      </c>
      <c r="F12">
        <f>IFERROR(VLOOKUP(A12,ITEMS_MASTER!A:E,5,FALSE),"")</f>
        <v/>
      </c>
      <c r="G12">
        <f>IF(E12=0,"RUPTURE",IF(E12&lt;=F12,"ALERTE","OK"))</f>
        <v/>
      </c>
    </row>
    <row r="13">
      <c r="B13">
        <f>IFERROR(VLOOKUP(A13,ITEMS_MASTER!A:B,2,FALSE),"")</f>
        <v/>
      </c>
      <c r="C13">
        <f>SUMIFS(STOCK_MOVEMENTS!E:E,STOCK_MOVEMENTS!B:B,A13,STOCK_MOVEMENTS!D:D,"IN")</f>
        <v/>
      </c>
      <c r="D13">
        <f>SUMIFS(STOCK_MOVEMENTS!E:E,STOCK_MOVEMENTS!B:B,A13,STOCK_MOVEMENTS!D:D,"OUT")</f>
        <v/>
      </c>
      <c r="E13">
        <f>C13-D13</f>
        <v/>
      </c>
      <c r="F13">
        <f>IFERROR(VLOOKUP(A13,ITEMS_MASTER!A:E,5,FALSE),"")</f>
        <v/>
      </c>
      <c r="G13">
        <f>IF(E13=0,"RUPTURE",IF(E13&lt;=F13,"ALERTE","OK"))</f>
        <v/>
      </c>
    </row>
    <row r="14">
      <c r="B14">
        <f>IFERROR(VLOOKUP(A14,ITEMS_MASTER!A:B,2,FALSE),"")</f>
        <v/>
      </c>
      <c r="C14">
        <f>SUMIFS(STOCK_MOVEMENTS!E:E,STOCK_MOVEMENTS!B:B,A14,STOCK_MOVEMENTS!D:D,"IN")</f>
        <v/>
      </c>
      <c r="D14">
        <f>SUMIFS(STOCK_MOVEMENTS!E:E,STOCK_MOVEMENTS!B:B,A14,STOCK_MOVEMENTS!D:D,"OUT")</f>
        <v/>
      </c>
      <c r="E14">
        <f>C14-D14</f>
        <v/>
      </c>
      <c r="F14">
        <f>IFERROR(VLOOKUP(A14,ITEMS_MASTER!A:E,5,FALSE),"")</f>
        <v/>
      </c>
      <c r="G14">
        <f>IF(E14=0,"RUPTURE",IF(E14&lt;=F14,"ALERTE","OK"))</f>
        <v/>
      </c>
    </row>
    <row r="15">
      <c r="B15">
        <f>IFERROR(VLOOKUP(A15,ITEMS_MASTER!A:B,2,FALSE),"")</f>
        <v/>
      </c>
      <c r="C15">
        <f>SUMIFS(STOCK_MOVEMENTS!E:E,STOCK_MOVEMENTS!B:B,A15,STOCK_MOVEMENTS!D:D,"IN")</f>
        <v/>
      </c>
      <c r="D15">
        <f>SUMIFS(STOCK_MOVEMENTS!E:E,STOCK_MOVEMENTS!B:B,A15,STOCK_MOVEMENTS!D:D,"OUT")</f>
        <v/>
      </c>
      <c r="E15">
        <f>C15-D15</f>
        <v/>
      </c>
      <c r="F15">
        <f>IFERROR(VLOOKUP(A15,ITEMS_MASTER!A:E,5,FALSE),"")</f>
        <v/>
      </c>
      <c r="G15">
        <f>IF(E15=0,"RUPTURE",IF(E15&lt;=F15,"ALERTE","OK"))</f>
        <v/>
      </c>
    </row>
    <row r="16">
      <c r="B16">
        <f>IFERROR(VLOOKUP(A16,ITEMS_MASTER!A:B,2,FALSE),"")</f>
        <v/>
      </c>
      <c r="C16">
        <f>SUMIFS(STOCK_MOVEMENTS!E:E,STOCK_MOVEMENTS!B:B,A16,STOCK_MOVEMENTS!D:D,"IN")</f>
        <v/>
      </c>
      <c r="D16">
        <f>SUMIFS(STOCK_MOVEMENTS!E:E,STOCK_MOVEMENTS!B:B,A16,STOCK_MOVEMENTS!D:D,"OUT")</f>
        <v/>
      </c>
      <c r="E16">
        <f>C16-D16</f>
        <v/>
      </c>
      <c r="F16">
        <f>IFERROR(VLOOKUP(A16,ITEMS_MASTER!A:E,5,FALSE),"")</f>
        <v/>
      </c>
      <c r="G16">
        <f>IF(E16=0,"RUPTURE",IF(E16&lt;=F16,"ALERTE","OK"))</f>
        <v/>
      </c>
    </row>
    <row r="17">
      <c r="B17">
        <f>IFERROR(VLOOKUP(A17,ITEMS_MASTER!A:B,2,FALSE),"")</f>
        <v/>
      </c>
      <c r="C17">
        <f>SUMIFS(STOCK_MOVEMENTS!E:E,STOCK_MOVEMENTS!B:B,A17,STOCK_MOVEMENTS!D:D,"IN")</f>
        <v/>
      </c>
      <c r="D17">
        <f>SUMIFS(STOCK_MOVEMENTS!E:E,STOCK_MOVEMENTS!B:B,A17,STOCK_MOVEMENTS!D:D,"OUT")</f>
        <v/>
      </c>
      <c r="E17">
        <f>C17-D17</f>
        <v/>
      </c>
      <c r="F17">
        <f>IFERROR(VLOOKUP(A17,ITEMS_MASTER!A:E,5,FALSE),"")</f>
        <v/>
      </c>
      <c r="G17">
        <f>IF(E17=0,"RUPTURE",IF(E17&lt;=F17,"ALERTE","OK"))</f>
        <v/>
      </c>
    </row>
    <row r="18">
      <c r="B18">
        <f>IFERROR(VLOOKUP(A18,ITEMS_MASTER!A:B,2,FALSE),"")</f>
        <v/>
      </c>
      <c r="C18">
        <f>SUMIFS(STOCK_MOVEMENTS!E:E,STOCK_MOVEMENTS!B:B,A18,STOCK_MOVEMENTS!D:D,"IN")</f>
        <v/>
      </c>
      <c r="D18">
        <f>SUMIFS(STOCK_MOVEMENTS!E:E,STOCK_MOVEMENTS!B:B,A18,STOCK_MOVEMENTS!D:D,"OUT")</f>
        <v/>
      </c>
      <c r="E18">
        <f>C18-D18</f>
        <v/>
      </c>
      <c r="F18">
        <f>IFERROR(VLOOKUP(A18,ITEMS_MASTER!A:E,5,FALSE),"")</f>
        <v/>
      </c>
      <c r="G18">
        <f>IF(E18=0,"RUPTURE",IF(E18&lt;=F18,"ALERTE","OK"))</f>
        <v/>
      </c>
    </row>
    <row r="19">
      <c r="B19">
        <f>IFERROR(VLOOKUP(A19,ITEMS_MASTER!A:B,2,FALSE),"")</f>
        <v/>
      </c>
      <c r="C19">
        <f>SUMIFS(STOCK_MOVEMENTS!E:E,STOCK_MOVEMENTS!B:B,A19,STOCK_MOVEMENTS!D:D,"IN")</f>
        <v/>
      </c>
      <c r="D19">
        <f>SUMIFS(STOCK_MOVEMENTS!E:E,STOCK_MOVEMENTS!B:B,A19,STOCK_MOVEMENTS!D:D,"OUT")</f>
        <v/>
      </c>
      <c r="E19">
        <f>C19-D19</f>
        <v/>
      </c>
      <c r="F19">
        <f>IFERROR(VLOOKUP(A19,ITEMS_MASTER!A:E,5,FALSE),"")</f>
        <v/>
      </c>
      <c r="G19">
        <f>IF(E19=0,"RUPTURE",IF(E19&lt;=F19,"ALERTE","OK"))</f>
        <v/>
      </c>
    </row>
    <row r="20">
      <c r="B20">
        <f>IFERROR(VLOOKUP(A20,ITEMS_MASTER!A:B,2,FALSE),"")</f>
        <v/>
      </c>
      <c r="C20">
        <f>SUMIFS(STOCK_MOVEMENTS!E:E,STOCK_MOVEMENTS!B:B,A20,STOCK_MOVEMENTS!D:D,"IN")</f>
        <v/>
      </c>
      <c r="D20">
        <f>SUMIFS(STOCK_MOVEMENTS!E:E,STOCK_MOVEMENTS!B:B,A20,STOCK_MOVEMENTS!D:D,"OUT")</f>
        <v/>
      </c>
      <c r="E20">
        <f>C20-D20</f>
        <v/>
      </c>
      <c r="F20">
        <f>IFERROR(VLOOKUP(A20,ITEMS_MASTER!A:E,5,FALSE),"")</f>
        <v/>
      </c>
      <c r="G20">
        <f>IF(E20=0,"RUPTURE",IF(E20&lt;=F20,"ALERTE","OK"))</f>
        <v/>
      </c>
    </row>
    <row r="21">
      <c r="B21">
        <f>IFERROR(VLOOKUP(A21,ITEMS_MASTER!A:B,2,FALSE),"")</f>
        <v/>
      </c>
      <c r="C21">
        <f>SUMIFS(STOCK_MOVEMENTS!E:E,STOCK_MOVEMENTS!B:B,A21,STOCK_MOVEMENTS!D:D,"IN")</f>
        <v/>
      </c>
      <c r="D21">
        <f>SUMIFS(STOCK_MOVEMENTS!E:E,STOCK_MOVEMENTS!B:B,A21,STOCK_MOVEMENTS!D:D,"OUT")</f>
        <v/>
      </c>
      <c r="E21">
        <f>C21-D21</f>
        <v/>
      </c>
      <c r="F21">
        <f>IFERROR(VLOOKUP(A21,ITEMS_MASTER!A:E,5,FALSE),"")</f>
        <v/>
      </c>
      <c r="G21">
        <f>IF(E21=0,"RUPTURE",IF(E21&lt;=F21,"ALERTE","OK"))</f>
        <v/>
      </c>
    </row>
    <row r="22">
      <c r="B22">
        <f>IFERROR(VLOOKUP(A22,ITEMS_MASTER!A:B,2,FALSE),"")</f>
        <v/>
      </c>
      <c r="C22">
        <f>SUMIFS(STOCK_MOVEMENTS!E:E,STOCK_MOVEMENTS!B:B,A22,STOCK_MOVEMENTS!D:D,"IN")</f>
        <v/>
      </c>
      <c r="D22">
        <f>SUMIFS(STOCK_MOVEMENTS!E:E,STOCK_MOVEMENTS!B:B,A22,STOCK_MOVEMENTS!D:D,"OUT")</f>
        <v/>
      </c>
      <c r="E22">
        <f>C22-D22</f>
        <v/>
      </c>
      <c r="F22">
        <f>IFERROR(VLOOKUP(A22,ITEMS_MASTER!A:E,5,FALSE),"")</f>
        <v/>
      </c>
      <c r="G22">
        <f>IF(E22=0,"RUPTURE",IF(E22&lt;=F22,"ALERTE","OK"))</f>
        <v/>
      </c>
    </row>
    <row r="23">
      <c r="B23">
        <f>IFERROR(VLOOKUP(A23,ITEMS_MASTER!A:B,2,FALSE),"")</f>
        <v/>
      </c>
      <c r="C23">
        <f>SUMIFS(STOCK_MOVEMENTS!E:E,STOCK_MOVEMENTS!B:B,A23,STOCK_MOVEMENTS!D:D,"IN")</f>
        <v/>
      </c>
      <c r="D23">
        <f>SUMIFS(STOCK_MOVEMENTS!E:E,STOCK_MOVEMENTS!B:B,A23,STOCK_MOVEMENTS!D:D,"OUT")</f>
        <v/>
      </c>
      <c r="E23">
        <f>C23-D23</f>
        <v/>
      </c>
      <c r="F23">
        <f>IFERROR(VLOOKUP(A23,ITEMS_MASTER!A:E,5,FALSE),"")</f>
        <v/>
      </c>
      <c r="G23">
        <f>IF(E23=0,"RUPTURE",IF(E23&lt;=F23,"ALERTE","OK"))</f>
        <v/>
      </c>
    </row>
    <row r="24">
      <c r="B24">
        <f>IFERROR(VLOOKUP(A24,ITEMS_MASTER!A:B,2,FALSE),"")</f>
        <v/>
      </c>
      <c r="C24">
        <f>SUMIFS(STOCK_MOVEMENTS!E:E,STOCK_MOVEMENTS!B:B,A24,STOCK_MOVEMENTS!D:D,"IN")</f>
        <v/>
      </c>
      <c r="D24">
        <f>SUMIFS(STOCK_MOVEMENTS!E:E,STOCK_MOVEMENTS!B:B,A24,STOCK_MOVEMENTS!D:D,"OUT")</f>
        <v/>
      </c>
      <c r="E24">
        <f>C24-D24</f>
        <v/>
      </c>
      <c r="F24">
        <f>IFERROR(VLOOKUP(A24,ITEMS_MASTER!A:E,5,FALSE),"")</f>
        <v/>
      </c>
      <c r="G24">
        <f>IF(E24=0,"RUPTURE",IF(E24&lt;=F24,"ALERTE","OK"))</f>
        <v/>
      </c>
    </row>
    <row r="25">
      <c r="B25">
        <f>IFERROR(VLOOKUP(A25,ITEMS_MASTER!A:B,2,FALSE),"")</f>
        <v/>
      </c>
      <c r="C25">
        <f>SUMIFS(STOCK_MOVEMENTS!E:E,STOCK_MOVEMENTS!B:B,A25,STOCK_MOVEMENTS!D:D,"IN")</f>
        <v/>
      </c>
      <c r="D25">
        <f>SUMIFS(STOCK_MOVEMENTS!E:E,STOCK_MOVEMENTS!B:B,A25,STOCK_MOVEMENTS!D:D,"OUT")</f>
        <v/>
      </c>
      <c r="E25">
        <f>C25-D25</f>
        <v/>
      </c>
      <c r="F25">
        <f>IFERROR(VLOOKUP(A25,ITEMS_MASTER!A:E,5,FALSE),"")</f>
        <v/>
      </c>
      <c r="G25">
        <f>IF(E25=0,"RUPTURE",IF(E25&lt;=F25,"ALERTE","OK"))</f>
        <v/>
      </c>
    </row>
    <row r="26">
      <c r="B26">
        <f>IFERROR(VLOOKUP(A26,ITEMS_MASTER!A:B,2,FALSE),"")</f>
        <v/>
      </c>
      <c r="C26">
        <f>SUMIFS(STOCK_MOVEMENTS!E:E,STOCK_MOVEMENTS!B:B,A26,STOCK_MOVEMENTS!D:D,"IN")</f>
        <v/>
      </c>
      <c r="D26">
        <f>SUMIFS(STOCK_MOVEMENTS!E:E,STOCK_MOVEMENTS!B:B,A26,STOCK_MOVEMENTS!D:D,"OUT")</f>
        <v/>
      </c>
      <c r="E26">
        <f>C26-D26</f>
        <v/>
      </c>
      <c r="F26">
        <f>IFERROR(VLOOKUP(A26,ITEMS_MASTER!A:E,5,FALSE),"")</f>
        <v/>
      </c>
      <c r="G26">
        <f>IF(E26=0,"RUPTURE",IF(E26&lt;=F26,"ALERTE","OK"))</f>
        <v/>
      </c>
    </row>
    <row r="27">
      <c r="B27">
        <f>IFERROR(VLOOKUP(A27,ITEMS_MASTER!A:B,2,FALSE),"")</f>
        <v/>
      </c>
      <c r="C27">
        <f>SUMIFS(STOCK_MOVEMENTS!E:E,STOCK_MOVEMENTS!B:B,A27,STOCK_MOVEMENTS!D:D,"IN")</f>
        <v/>
      </c>
      <c r="D27">
        <f>SUMIFS(STOCK_MOVEMENTS!E:E,STOCK_MOVEMENTS!B:B,A27,STOCK_MOVEMENTS!D:D,"OUT")</f>
        <v/>
      </c>
      <c r="E27">
        <f>C27-D27</f>
        <v/>
      </c>
      <c r="F27">
        <f>IFERROR(VLOOKUP(A27,ITEMS_MASTER!A:E,5,FALSE),"")</f>
        <v/>
      </c>
      <c r="G27">
        <f>IF(E27=0,"RUPTURE",IF(E27&lt;=F27,"ALERTE","OK"))</f>
        <v/>
      </c>
    </row>
    <row r="28">
      <c r="B28">
        <f>IFERROR(VLOOKUP(A28,ITEMS_MASTER!A:B,2,FALSE),"")</f>
        <v/>
      </c>
      <c r="C28">
        <f>SUMIFS(STOCK_MOVEMENTS!E:E,STOCK_MOVEMENTS!B:B,A28,STOCK_MOVEMENTS!D:D,"IN")</f>
        <v/>
      </c>
      <c r="D28">
        <f>SUMIFS(STOCK_MOVEMENTS!E:E,STOCK_MOVEMENTS!B:B,A28,STOCK_MOVEMENTS!D:D,"OUT")</f>
        <v/>
      </c>
      <c r="E28">
        <f>C28-D28</f>
        <v/>
      </c>
      <c r="F28">
        <f>IFERROR(VLOOKUP(A28,ITEMS_MASTER!A:E,5,FALSE),"")</f>
        <v/>
      </c>
      <c r="G28">
        <f>IF(E28=0,"RUPTURE",IF(E28&lt;=F28,"ALERTE","OK"))</f>
        <v/>
      </c>
    </row>
    <row r="29">
      <c r="B29">
        <f>IFERROR(VLOOKUP(A29,ITEMS_MASTER!A:B,2,FALSE),"")</f>
        <v/>
      </c>
      <c r="C29">
        <f>SUMIFS(STOCK_MOVEMENTS!E:E,STOCK_MOVEMENTS!B:B,A29,STOCK_MOVEMENTS!D:D,"IN")</f>
        <v/>
      </c>
      <c r="D29">
        <f>SUMIFS(STOCK_MOVEMENTS!E:E,STOCK_MOVEMENTS!B:B,A29,STOCK_MOVEMENTS!D:D,"OUT")</f>
        <v/>
      </c>
      <c r="E29">
        <f>C29-D29</f>
        <v/>
      </c>
      <c r="F29">
        <f>IFERROR(VLOOKUP(A29,ITEMS_MASTER!A:E,5,FALSE),"")</f>
        <v/>
      </c>
      <c r="G29">
        <f>IF(E29=0,"RUPTURE",IF(E29&lt;=F29,"ALERTE","OK"))</f>
        <v/>
      </c>
    </row>
    <row r="30">
      <c r="B30">
        <f>IFERROR(VLOOKUP(A30,ITEMS_MASTER!A:B,2,FALSE),"")</f>
        <v/>
      </c>
      <c r="C30">
        <f>SUMIFS(STOCK_MOVEMENTS!E:E,STOCK_MOVEMENTS!B:B,A30,STOCK_MOVEMENTS!D:D,"IN")</f>
        <v/>
      </c>
      <c r="D30">
        <f>SUMIFS(STOCK_MOVEMENTS!E:E,STOCK_MOVEMENTS!B:B,A30,STOCK_MOVEMENTS!D:D,"OUT")</f>
        <v/>
      </c>
      <c r="E30">
        <f>C30-D30</f>
        <v/>
      </c>
      <c r="F30">
        <f>IFERROR(VLOOKUP(A30,ITEMS_MASTER!A:E,5,FALSE),"")</f>
        <v/>
      </c>
      <c r="G30">
        <f>IF(E30=0,"RUPTURE",IF(E30&lt;=F30,"ALERTE","OK"))</f>
        <v/>
      </c>
    </row>
    <row r="31">
      <c r="B31">
        <f>IFERROR(VLOOKUP(A31,ITEMS_MASTER!A:B,2,FALSE),"")</f>
        <v/>
      </c>
      <c r="C31">
        <f>SUMIFS(STOCK_MOVEMENTS!E:E,STOCK_MOVEMENTS!B:B,A31,STOCK_MOVEMENTS!D:D,"IN")</f>
        <v/>
      </c>
      <c r="D31">
        <f>SUMIFS(STOCK_MOVEMENTS!E:E,STOCK_MOVEMENTS!B:B,A31,STOCK_MOVEMENTS!D:D,"OUT")</f>
        <v/>
      </c>
      <c r="E31">
        <f>C31-D31</f>
        <v/>
      </c>
      <c r="F31">
        <f>IFERROR(VLOOKUP(A31,ITEMS_MASTER!A:E,5,FALSE),"")</f>
        <v/>
      </c>
      <c r="G31">
        <f>IF(E31=0,"RUPTURE",IF(E31&lt;=F31,"ALERTE","OK"))</f>
        <v/>
      </c>
    </row>
    <row r="32">
      <c r="B32">
        <f>IFERROR(VLOOKUP(A32,ITEMS_MASTER!A:B,2,FALSE),"")</f>
        <v/>
      </c>
      <c r="C32">
        <f>SUMIFS(STOCK_MOVEMENTS!E:E,STOCK_MOVEMENTS!B:B,A32,STOCK_MOVEMENTS!D:D,"IN")</f>
        <v/>
      </c>
      <c r="D32">
        <f>SUMIFS(STOCK_MOVEMENTS!E:E,STOCK_MOVEMENTS!B:B,A32,STOCK_MOVEMENTS!D:D,"OUT")</f>
        <v/>
      </c>
      <c r="E32">
        <f>C32-D32</f>
        <v/>
      </c>
      <c r="F32">
        <f>IFERROR(VLOOKUP(A32,ITEMS_MASTER!A:E,5,FALSE),"")</f>
        <v/>
      </c>
      <c r="G32">
        <f>IF(E32=0,"RUPTURE",IF(E32&lt;=F32,"ALERTE","OK"))</f>
        <v/>
      </c>
    </row>
    <row r="33">
      <c r="B33">
        <f>IFERROR(VLOOKUP(A33,ITEMS_MASTER!A:B,2,FALSE),"")</f>
        <v/>
      </c>
      <c r="C33">
        <f>SUMIFS(STOCK_MOVEMENTS!E:E,STOCK_MOVEMENTS!B:B,A33,STOCK_MOVEMENTS!D:D,"IN")</f>
        <v/>
      </c>
      <c r="D33">
        <f>SUMIFS(STOCK_MOVEMENTS!E:E,STOCK_MOVEMENTS!B:B,A33,STOCK_MOVEMENTS!D:D,"OUT")</f>
        <v/>
      </c>
      <c r="E33">
        <f>C33-D33</f>
        <v/>
      </c>
      <c r="F33">
        <f>IFERROR(VLOOKUP(A33,ITEMS_MASTER!A:E,5,FALSE),"")</f>
        <v/>
      </c>
      <c r="G33">
        <f>IF(E33=0,"RUPTURE",IF(E33&lt;=F33,"ALERTE","OK"))</f>
        <v/>
      </c>
    </row>
    <row r="34">
      <c r="B34">
        <f>IFERROR(VLOOKUP(A34,ITEMS_MASTER!A:B,2,FALSE),"")</f>
        <v/>
      </c>
      <c r="C34">
        <f>SUMIFS(STOCK_MOVEMENTS!E:E,STOCK_MOVEMENTS!B:B,A34,STOCK_MOVEMENTS!D:D,"IN")</f>
        <v/>
      </c>
      <c r="D34">
        <f>SUMIFS(STOCK_MOVEMENTS!E:E,STOCK_MOVEMENTS!B:B,A34,STOCK_MOVEMENTS!D:D,"OUT")</f>
        <v/>
      </c>
      <c r="E34">
        <f>C34-D34</f>
        <v/>
      </c>
      <c r="F34">
        <f>IFERROR(VLOOKUP(A34,ITEMS_MASTER!A:E,5,FALSE),"")</f>
        <v/>
      </c>
      <c r="G34">
        <f>IF(E34=0,"RUPTURE",IF(E34&lt;=F34,"ALERTE","OK"))</f>
        <v/>
      </c>
    </row>
    <row r="35">
      <c r="B35">
        <f>IFERROR(VLOOKUP(A35,ITEMS_MASTER!A:B,2,FALSE),"")</f>
        <v/>
      </c>
      <c r="C35">
        <f>SUMIFS(STOCK_MOVEMENTS!E:E,STOCK_MOVEMENTS!B:B,A35,STOCK_MOVEMENTS!D:D,"IN")</f>
        <v/>
      </c>
      <c r="D35">
        <f>SUMIFS(STOCK_MOVEMENTS!E:E,STOCK_MOVEMENTS!B:B,A35,STOCK_MOVEMENTS!D:D,"OUT")</f>
        <v/>
      </c>
      <c r="E35">
        <f>C35-D35</f>
        <v/>
      </c>
      <c r="F35">
        <f>IFERROR(VLOOKUP(A35,ITEMS_MASTER!A:E,5,FALSE),"")</f>
        <v/>
      </c>
      <c r="G35">
        <f>IF(E35=0,"RUPTURE",IF(E35&lt;=F35,"ALERTE","OK"))</f>
        <v/>
      </c>
    </row>
    <row r="36">
      <c r="B36">
        <f>IFERROR(VLOOKUP(A36,ITEMS_MASTER!A:B,2,FALSE),"")</f>
        <v/>
      </c>
      <c r="C36">
        <f>SUMIFS(STOCK_MOVEMENTS!E:E,STOCK_MOVEMENTS!B:B,A36,STOCK_MOVEMENTS!D:D,"IN")</f>
        <v/>
      </c>
      <c r="D36">
        <f>SUMIFS(STOCK_MOVEMENTS!E:E,STOCK_MOVEMENTS!B:B,A36,STOCK_MOVEMENTS!D:D,"OUT")</f>
        <v/>
      </c>
      <c r="E36">
        <f>C36-D36</f>
        <v/>
      </c>
      <c r="F36">
        <f>IFERROR(VLOOKUP(A36,ITEMS_MASTER!A:E,5,FALSE),"")</f>
        <v/>
      </c>
      <c r="G36">
        <f>IF(E36=0,"RUPTURE",IF(E36&lt;=F36,"ALERTE","OK"))</f>
        <v/>
      </c>
    </row>
    <row r="37">
      <c r="B37">
        <f>IFERROR(VLOOKUP(A37,ITEMS_MASTER!A:B,2,FALSE),"")</f>
        <v/>
      </c>
      <c r="C37">
        <f>SUMIFS(STOCK_MOVEMENTS!E:E,STOCK_MOVEMENTS!B:B,A37,STOCK_MOVEMENTS!D:D,"IN")</f>
        <v/>
      </c>
      <c r="D37">
        <f>SUMIFS(STOCK_MOVEMENTS!E:E,STOCK_MOVEMENTS!B:B,A37,STOCK_MOVEMENTS!D:D,"OUT")</f>
        <v/>
      </c>
      <c r="E37">
        <f>C37-D37</f>
        <v/>
      </c>
      <c r="F37">
        <f>IFERROR(VLOOKUP(A37,ITEMS_MASTER!A:E,5,FALSE),"")</f>
        <v/>
      </c>
      <c r="G37">
        <f>IF(E37=0,"RUPTURE",IF(E37&lt;=F37,"ALERTE","OK"))</f>
        <v/>
      </c>
    </row>
    <row r="38">
      <c r="B38">
        <f>IFERROR(VLOOKUP(A38,ITEMS_MASTER!A:B,2,FALSE),"")</f>
        <v/>
      </c>
      <c r="C38">
        <f>SUMIFS(STOCK_MOVEMENTS!E:E,STOCK_MOVEMENTS!B:B,A38,STOCK_MOVEMENTS!D:D,"IN")</f>
        <v/>
      </c>
      <c r="D38">
        <f>SUMIFS(STOCK_MOVEMENTS!E:E,STOCK_MOVEMENTS!B:B,A38,STOCK_MOVEMENTS!D:D,"OUT")</f>
        <v/>
      </c>
      <c r="E38">
        <f>C38-D38</f>
        <v/>
      </c>
      <c r="F38">
        <f>IFERROR(VLOOKUP(A38,ITEMS_MASTER!A:E,5,FALSE),"")</f>
        <v/>
      </c>
      <c r="G38">
        <f>IF(E38=0,"RUPTURE",IF(E38&lt;=F38,"ALERTE","OK"))</f>
        <v/>
      </c>
    </row>
    <row r="39">
      <c r="B39">
        <f>IFERROR(VLOOKUP(A39,ITEMS_MASTER!A:B,2,FALSE),"")</f>
        <v/>
      </c>
      <c r="C39">
        <f>SUMIFS(STOCK_MOVEMENTS!E:E,STOCK_MOVEMENTS!B:B,A39,STOCK_MOVEMENTS!D:D,"IN")</f>
        <v/>
      </c>
      <c r="D39">
        <f>SUMIFS(STOCK_MOVEMENTS!E:E,STOCK_MOVEMENTS!B:B,A39,STOCK_MOVEMENTS!D:D,"OUT")</f>
        <v/>
      </c>
      <c r="E39">
        <f>C39-D39</f>
        <v/>
      </c>
      <c r="F39">
        <f>IFERROR(VLOOKUP(A39,ITEMS_MASTER!A:E,5,FALSE),"")</f>
        <v/>
      </c>
      <c r="G39">
        <f>IF(E39=0,"RUPTURE",IF(E39&lt;=F39,"ALERTE","OK"))</f>
        <v/>
      </c>
    </row>
    <row r="40">
      <c r="B40">
        <f>IFERROR(VLOOKUP(A40,ITEMS_MASTER!A:B,2,FALSE),"")</f>
        <v/>
      </c>
      <c r="C40">
        <f>SUMIFS(STOCK_MOVEMENTS!E:E,STOCK_MOVEMENTS!B:B,A40,STOCK_MOVEMENTS!D:D,"IN")</f>
        <v/>
      </c>
      <c r="D40">
        <f>SUMIFS(STOCK_MOVEMENTS!E:E,STOCK_MOVEMENTS!B:B,A40,STOCK_MOVEMENTS!D:D,"OUT")</f>
        <v/>
      </c>
      <c r="E40">
        <f>C40-D40</f>
        <v/>
      </c>
      <c r="F40">
        <f>IFERROR(VLOOKUP(A40,ITEMS_MASTER!A:E,5,FALSE),"")</f>
        <v/>
      </c>
      <c r="G40">
        <f>IF(E40=0,"RUPTURE",IF(E40&lt;=F40,"ALERTE","OK"))</f>
        <v/>
      </c>
    </row>
    <row r="41">
      <c r="B41">
        <f>IFERROR(VLOOKUP(A41,ITEMS_MASTER!A:B,2,FALSE),"")</f>
        <v/>
      </c>
      <c r="C41">
        <f>SUMIFS(STOCK_MOVEMENTS!E:E,STOCK_MOVEMENTS!B:B,A41,STOCK_MOVEMENTS!D:D,"IN")</f>
        <v/>
      </c>
      <c r="D41">
        <f>SUMIFS(STOCK_MOVEMENTS!E:E,STOCK_MOVEMENTS!B:B,A41,STOCK_MOVEMENTS!D:D,"OUT")</f>
        <v/>
      </c>
      <c r="E41">
        <f>C41-D41</f>
        <v/>
      </c>
      <c r="F41">
        <f>IFERROR(VLOOKUP(A41,ITEMS_MASTER!A:E,5,FALSE),"")</f>
        <v/>
      </c>
      <c r="G41">
        <f>IF(E41=0,"RUPTURE",IF(E41&lt;=F41,"ALERTE","OK"))</f>
        <v/>
      </c>
    </row>
    <row r="42">
      <c r="B42">
        <f>IFERROR(VLOOKUP(A42,ITEMS_MASTER!A:B,2,FALSE),"")</f>
        <v/>
      </c>
      <c r="C42">
        <f>SUMIFS(STOCK_MOVEMENTS!E:E,STOCK_MOVEMENTS!B:B,A42,STOCK_MOVEMENTS!D:D,"IN")</f>
        <v/>
      </c>
      <c r="D42">
        <f>SUMIFS(STOCK_MOVEMENTS!E:E,STOCK_MOVEMENTS!B:B,A42,STOCK_MOVEMENTS!D:D,"OUT")</f>
        <v/>
      </c>
      <c r="E42">
        <f>C42-D42</f>
        <v/>
      </c>
      <c r="F42">
        <f>IFERROR(VLOOKUP(A42,ITEMS_MASTER!A:E,5,FALSE),"")</f>
        <v/>
      </c>
      <c r="G42">
        <f>IF(E42=0,"RUPTURE",IF(E42&lt;=F42,"ALERTE","OK"))</f>
        <v/>
      </c>
    </row>
    <row r="43">
      <c r="B43">
        <f>IFERROR(VLOOKUP(A43,ITEMS_MASTER!A:B,2,FALSE),"")</f>
        <v/>
      </c>
      <c r="C43">
        <f>SUMIFS(STOCK_MOVEMENTS!E:E,STOCK_MOVEMENTS!B:B,A43,STOCK_MOVEMENTS!D:D,"IN")</f>
        <v/>
      </c>
      <c r="D43">
        <f>SUMIFS(STOCK_MOVEMENTS!E:E,STOCK_MOVEMENTS!B:B,A43,STOCK_MOVEMENTS!D:D,"OUT")</f>
        <v/>
      </c>
      <c r="E43">
        <f>C43-D43</f>
        <v/>
      </c>
      <c r="F43">
        <f>IFERROR(VLOOKUP(A43,ITEMS_MASTER!A:E,5,FALSE),"")</f>
        <v/>
      </c>
      <c r="G43">
        <f>IF(E43=0,"RUPTURE",IF(E43&lt;=F43,"ALERTE","OK"))</f>
        <v/>
      </c>
    </row>
    <row r="44">
      <c r="B44">
        <f>IFERROR(VLOOKUP(A44,ITEMS_MASTER!A:B,2,FALSE),"")</f>
        <v/>
      </c>
      <c r="C44">
        <f>SUMIFS(STOCK_MOVEMENTS!E:E,STOCK_MOVEMENTS!B:B,A44,STOCK_MOVEMENTS!D:D,"IN")</f>
        <v/>
      </c>
      <c r="D44">
        <f>SUMIFS(STOCK_MOVEMENTS!E:E,STOCK_MOVEMENTS!B:B,A44,STOCK_MOVEMENTS!D:D,"OUT")</f>
        <v/>
      </c>
      <c r="E44">
        <f>C44-D44</f>
        <v/>
      </c>
      <c r="F44">
        <f>IFERROR(VLOOKUP(A44,ITEMS_MASTER!A:E,5,FALSE),"")</f>
        <v/>
      </c>
      <c r="G44">
        <f>IF(E44=0,"RUPTURE",IF(E44&lt;=F44,"ALERTE","OK"))</f>
        <v/>
      </c>
    </row>
    <row r="45">
      <c r="B45">
        <f>IFERROR(VLOOKUP(A45,ITEMS_MASTER!A:B,2,FALSE),"")</f>
        <v/>
      </c>
      <c r="C45">
        <f>SUMIFS(STOCK_MOVEMENTS!E:E,STOCK_MOVEMENTS!B:B,A45,STOCK_MOVEMENTS!D:D,"IN")</f>
        <v/>
      </c>
      <c r="D45">
        <f>SUMIFS(STOCK_MOVEMENTS!E:E,STOCK_MOVEMENTS!B:B,A45,STOCK_MOVEMENTS!D:D,"OUT")</f>
        <v/>
      </c>
      <c r="E45">
        <f>C45-D45</f>
        <v/>
      </c>
      <c r="F45">
        <f>IFERROR(VLOOKUP(A45,ITEMS_MASTER!A:E,5,FALSE),"")</f>
        <v/>
      </c>
      <c r="G45">
        <f>IF(E45=0,"RUPTURE",IF(E45&lt;=F45,"ALERTE","OK"))</f>
        <v/>
      </c>
    </row>
    <row r="46">
      <c r="B46">
        <f>IFERROR(VLOOKUP(A46,ITEMS_MASTER!A:B,2,FALSE),"")</f>
        <v/>
      </c>
      <c r="C46">
        <f>SUMIFS(STOCK_MOVEMENTS!E:E,STOCK_MOVEMENTS!B:B,A46,STOCK_MOVEMENTS!D:D,"IN")</f>
        <v/>
      </c>
      <c r="D46">
        <f>SUMIFS(STOCK_MOVEMENTS!E:E,STOCK_MOVEMENTS!B:B,A46,STOCK_MOVEMENTS!D:D,"OUT")</f>
        <v/>
      </c>
      <c r="E46">
        <f>C46-D46</f>
        <v/>
      </c>
      <c r="F46">
        <f>IFERROR(VLOOKUP(A46,ITEMS_MASTER!A:E,5,FALSE),"")</f>
        <v/>
      </c>
      <c r="G46">
        <f>IF(E46=0,"RUPTURE",IF(E46&lt;=F46,"ALERTE","OK"))</f>
        <v/>
      </c>
    </row>
    <row r="47">
      <c r="B47">
        <f>IFERROR(VLOOKUP(A47,ITEMS_MASTER!A:B,2,FALSE),"")</f>
        <v/>
      </c>
      <c r="C47">
        <f>SUMIFS(STOCK_MOVEMENTS!E:E,STOCK_MOVEMENTS!B:B,A47,STOCK_MOVEMENTS!D:D,"IN")</f>
        <v/>
      </c>
      <c r="D47">
        <f>SUMIFS(STOCK_MOVEMENTS!E:E,STOCK_MOVEMENTS!B:B,A47,STOCK_MOVEMENTS!D:D,"OUT")</f>
        <v/>
      </c>
      <c r="E47">
        <f>C47-D47</f>
        <v/>
      </c>
      <c r="F47">
        <f>IFERROR(VLOOKUP(A47,ITEMS_MASTER!A:E,5,FALSE),"")</f>
        <v/>
      </c>
      <c r="G47">
        <f>IF(E47=0,"RUPTURE",IF(E47&lt;=F47,"ALERTE","OK"))</f>
        <v/>
      </c>
    </row>
    <row r="48">
      <c r="B48">
        <f>IFERROR(VLOOKUP(A48,ITEMS_MASTER!A:B,2,FALSE),"")</f>
        <v/>
      </c>
      <c r="C48">
        <f>SUMIFS(STOCK_MOVEMENTS!E:E,STOCK_MOVEMENTS!B:B,A48,STOCK_MOVEMENTS!D:D,"IN")</f>
        <v/>
      </c>
      <c r="D48">
        <f>SUMIFS(STOCK_MOVEMENTS!E:E,STOCK_MOVEMENTS!B:B,A48,STOCK_MOVEMENTS!D:D,"OUT")</f>
        <v/>
      </c>
      <c r="E48">
        <f>C48-D48</f>
        <v/>
      </c>
      <c r="F48">
        <f>IFERROR(VLOOKUP(A48,ITEMS_MASTER!A:E,5,FALSE),"")</f>
        <v/>
      </c>
      <c r="G48">
        <f>IF(E48=0,"RUPTURE",IF(E48&lt;=F48,"ALERTE","OK"))</f>
        <v/>
      </c>
    </row>
    <row r="49">
      <c r="B49">
        <f>IFERROR(VLOOKUP(A49,ITEMS_MASTER!A:B,2,FALSE),"")</f>
        <v/>
      </c>
      <c r="C49">
        <f>SUMIFS(STOCK_MOVEMENTS!E:E,STOCK_MOVEMENTS!B:B,A49,STOCK_MOVEMENTS!D:D,"IN")</f>
        <v/>
      </c>
      <c r="D49">
        <f>SUMIFS(STOCK_MOVEMENTS!E:E,STOCK_MOVEMENTS!B:B,A49,STOCK_MOVEMENTS!D:D,"OUT")</f>
        <v/>
      </c>
      <c r="E49">
        <f>C49-D49</f>
        <v/>
      </c>
      <c r="F49">
        <f>IFERROR(VLOOKUP(A49,ITEMS_MASTER!A:E,5,FALSE),"")</f>
        <v/>
      </c>
      <c r="G49">
        <f>IF(E49=0,"RUPTURE",IF(E49&lt;=F49,"ALERTE","OK"))</f>
        <v/>
      </c>
    </row>
    <row r="50">
      <c r="B50">
        <f>IFERROR(VLOOKUP(A50,ITEMS_MASTER!A:B,2,FALSE),"")</f>
        <v/>
      </c>
      <c r="C50">
        <f>SUMIFS(STOCK_MOVEMENTS!E:E,STOCK_MOVEMENTS!B:B,A50,STOCK_MOVEMENTS!D:D,"IN")</f>
        <v/>
      </c>
      <c r="D50">
        <f>SUMIFS(STOCK_MOVEMENTS!E:E,STOCK_MOVEMENTS!B:B,A50,STOCK_MOVEMENTS!D:D,"OUT")</f>
        <v/>
      </c>
      <c r="E50">
        <f>C50-D50</f>
        <v/>
      </c>
      <c r="F50">
        <f>IFERROR(VLOOKUP(A50,ITEMS_MASTER!A:E,5,FALSE),"")</f>
        <v/>
      </c>
      <c r="G50">
        <f>IF(E50=0,"RUPTURE",IF(E50&lt;=F50,"ALERTE","OK"))</f>
        <v/>
      </c>
    </row>
    <row r="51">
      <c r="B51">
        <f>IFERROR(VLOOKUP(A51,ITEMS_MASTER!A:B,2,FALSE),"")</f>
        <v/>
      </c>
      <c r="C51">
        <f>SUMIFS(STOCK_MOVEMENTS!E:E,STOCK_MOVEMENTS!B:B,A51,STOCK_MOVEMENTS!D:D,"IN")</f>
        <v/>
      </c>
      <c r="D51">
        <f>SUMIFS(STOCK_MOVEMENTS!E:E,STOCK_MOVEMENTS!B:B,A51,STOCK_MOVEMENTS!D:D,"OUT")</f>
        <v/>
      </c>
      <c r="E51">
        <f>C51-D51</f>
        <v/>
      </c>
      <c r="F51">
        <f>IFERROR(VLOOKUP(A51,ITEMS_MASTER!A:E,5,FALSE),"")</f>
        <v/>
      </c>
      <c r="G51">
        <f>IF(E51=0,"RUPTURE",IF(E51&lt;=F51,"ALERTE","OK"))</f>
        <v/>
      </c>
    </row>
    <row r="52">
      <c r="B52">
        <f>IFERROR(VLOOKUP(A52,ITEMS_MASTER!A:B,2,FALSE),"")</f>
        <v/>
      </c>
      <c r="C52">
        <f>SUMIFS(STOCK_MOVEMENTS!E:E,STOCK_MOVEMENTS!B:B,A52,STOCK_MOVEMENTS!D:D,"IN")</f>
        <v/>
      </c>
      <c r="D52">
        <f>SUMIFS(STOCK_MOVEMENTS!E:E,STOCK_MOVEMENTS!B:B,A52,STOCK_MOVEMENTS!D:D,"OUT")</f>
        <v/>
      </c>
      <c r="E52">
        <f>C52-D52</f>
        <v/>
      </c>
      <c r="F52">
        <f>IFERROR(VLOOKUP(A52,ITEMS_MASTER!A:E,5,FALSE),"")</f>
        <v/>
      </c>
      <c r="G52">
        <f>IF(E52=0,"RUPTURE",IF(E52&lt;=F52,"ALERTE","OK"))</f>
        <v/>
      </c>
    </row>
    <row r="53">
      <c r="B53">
        <f>IFERROR(VLOOKUP(A53,ITEMS_MASTER!A:B,2,FALSE),"")</f>
        <v/>
      </c>
      <c r="C53">
        <f>SUMIFS(STOCK_MOVEMENTS!E:E,STOCK_MOVEMENTS!B:B,A53,STOCK_MOVEMENTS!D:D,"IN")</f>
        <v/>
      </c>
      <c r="D53">
        <f>SUMIFS(STOCK_MOVEMENTS!E:E,STOCK_MOVEMENTS!B:B,A53,STOCK_MOVEMENTS!D:D,"OUT")</f>
        <v/>
      </c>
      <c r="E53">
        <f>C53-D53</f>
        <v/>
      </c>
      <c r="F53">
        <f>IFERROR(VLOOKUP(A53,ITEMS_MASTER!A:E,5,FALSE),"")</f>
        <v/>
      </c>
      <c r="G53">
        <f>IF(E53=0,"RUPTURE",IF(E53&lt;=F53,"ALERTE","OK"))</f>
        <v/>
      </c>
    </row>
    <row r="54">
      <c r="B54">
        <f>IFERROR(VLOOKUP(A54,ITEMS_MASTER!A:B,2,FALSE),"")</f>
        <v/>
      </c>
      <c r="C54">
        <f>SUMIFS(STOCK_MOVEMENTS!E:E,STOCK_MOVEMENTS!B:B,A54,STOCK_MOVEMENTS!D:D,"IN")</f>
        <v/>
      </c>
      <c r="D54">
        <f>SUMIFS(STOCK_MOVEMENTS!E:E,STOCK_MOVEMENTS!B:B,A54,STOCK_MOVEMENTS!D:D,"OUT")</f>
        <v/>
      </c>
      <c r="E54">
        <f>C54-D54</f>
        <v/>
      </c>
      <c r="F54">
        <f>IFERROR(VLOOKUP(A54,ITEMS_MASTER!A:E,5,FALSE),"")</f>
        <v/>
      </c>
      <c r="G54">
        <f>IF(E54=0,"RUPTURE",IF(E54&lt;=F54,"ALERTE","OK"))</f>
        <v/>
      </c>
    </row>
    <row r="55">
      <c r="B55">
        <f>IFERROR(VLOOKUP(A55,ITEMS_MASTER!A:B,2,FALSE),"")</f>
        <v/>
      </c>
      <c r="C55">
        <f>SUMIFS(STOCK_MOVEMENTS!E:E,STOCK_MOVEMENTS!B:B,A55,STOCK_MOVEMENTS!D:D,"IN")</f>
        <v/>
      </c>
      <c r="D55">
        <f>SUMIFS(STOCK_MOVEMENTS!E:E,STOCK_MOVEMENTS!B:B,A55,STOCK_MOVEMENTS!D:D,"OUT")</f>
        <v/>
      </c>
      <c r="E55">
        <f>C55-D55</f>
        <v/>
      </c>
      <c r="F55">
        <f>IFERROR(VLOOKUP(A55,ITEMS_MASTER!A:E,5,FALSE),"")</f>
        <v/>
      </c>
      <c r="G55">
        <f>IF(E55=0,"RUPTURE",IF(E55&lt;=F55,"ALERTE","OK"))</f>
        <v/>
      </c>
    </row>
    <row r="56">
      <c r="B56">
        <f>IFERROR(VLOOKUP(A56,ITEMS_MASTER!A:B,2,FALSE),"")</f>
        <v/>
      </c>
      <c r="C56">
        <f>SUMIFS(STOCK_MOVEMENTS!E:E,STOCK_MOVEMENTS!B:B,A56,STOCK_MOVEMENTS!D:D,"IN")</f>
        <v/>
      </c>
      <c r="D56">
        <f>SUMIFS(STOCK_MOVEMENTS!E:E,STOCK_MOVEMENTS!B:B,A56,STOCK_MOVEMENTS!D:D,"OUT")</f>
        <v/>
      </c>
      <c r="E56">
        <f>C56-D56</f>
        <v/>
      </c>
      <c r="F56">
        <f>IFERROR(VLOOKUP(A56,ITEMS_MASTER!A:E,5,FALSE),"")</f>
        <v/>
      </c>
      <c r="G56">
        <f>IF(E56=0,"RUPTURE",IF(E56&lt;=F56,"ALERTE","OK"))</f>
        <v/>
      </c>
    </row>
    <row r="57">
      <c r="B57">
        <f>IFERROR(VLOOKUP(A57,ITEMS_MASTER!A:B,2,FALSE),"")</f>
        <v/>
      </c>
      <c r="C57">
        <f>SUMIFS(STOCK_MOVEMENTS!E:E,STOCK_MOVEMENTS!B:B,A57,STOCK_MOVEMENTS!D:D,"IN")</f>
        <v/>
      </c>
      <c r="D57">
        <f>SUMIFS(STOCK_MOVEMENTS!E:E,STOCK_MOVEMENTS!B:B,A57,STOCK_MOVEMENTS!D:D,"OUT")</f>
        <v/>
      </c>
      <c r="E57">
        <f>C57-D57</f>
        <v/>
      </c>
      <c r="F57">
        <f>IFERROR(VLOOKUP(A57,ITEMS_MASTER!A:E,5,FALSE),"")</f>
        <v/>
      </c>
      <c r="G57">
        <f>IF(E57=0,"RUPTURE",IF(E57&lt;=F57,"ALERTE","OK"))</f>
        <v/>
      </c>
    </row>
    <row r="58">
      <c r="B58">
        <f>IFERROR(VLOOKUP(A58,ITEMS_MASTER!A:B,2,FALSE),"")</f>
        <v/>
      </c>
      <c r="C58">
        <f>SUMIFS(STOCK_MOVEMENTS!E:E,STOCK_MOVEMENTS!B:B,A58,STOCK_MOVEMENTS!D:D,"IN")</f>
        <v/>
      </c>
      <c r="D58">
        <f>SUMIFS(STOCK_MOVEMENTS!E:E,STOCK_MOVEMENTS!B:B,A58,STOCK_MOVEMENTS!D:D,"OUT")</f>
        <v/>
      </c>
      <c r="E58">
        <f>C58-D58</f>
        <v/>
      </c>
      <c r="F58">
        <f>IFERROR(VLOOKUP(A58,ITEMS_MASTER!A:E,5,FALSE),"")</f>
        <v/>
      </c>
      <c r="G58">
        <f>IF(E58=0,"RUPTURE",IF(E58&lt;=F58,"ALERTE","OK"))</f>
        <v/>
      </c>
    </row>
    <row r="59">
      <c r="B59">
        <f>IFERROR(VLOOKUP(A59,ITEMS_MASTER!A:B,2,FALSE),"")</f>
        <v/>
      </c>
      <c r="C59">
        <f>SUMIFS(STOCK_MOVEMENTS!E:E,STOCK_MOVEMENTS!B:B,A59,STOCK_MOVEMENTS!D:D,"IN")</f>
        <v/>
      </c>
      <c r="D59">
        <f>SUMIFS(STOCK_MOVEMENTS!E:E,STOCK_MOVEMENTS!B:B,A59,STOCK_MOVEMENTS!D:D,"OUT")</f>
        <v/>
      </c>
      <c r="E59">
        <f>C59-D59</f>
        <v/>
      </c>
      <c r="F59">
        <f>IFERROR(VLOOKUP(A59,ITEMS_MASTER!A:E,5,FALSE),"")</f>
        <v/>
      </c>
      <c r="G59">
        <f>IF(E59=0,"RUPTURE",IF(E59&lt;=F59,"ALERTE","OK"))</f>
        <v/>
      </c>
    </row>
    <row r="60">
      <c r="B60">
        <f>IFERROR(VLOOKUP(A60,ITEMS_MASTER!A:B,2,FALSE),"")</f>
        <v/>
      </c>
      <c r="C60">
        <f>SUMIFS(STOCK_MOVEMENTS!E:E,STOCK_MOVEMENTS!B:B,A60,STOCK_MOVEMENTS!D:D,"IN")</f>
        <v/>
      </c>
      <c r="D60">
        <f>SUMIFS(STOCK_MOVEMENTS!E:E,STOCK_MOVEMENTS!B:B,A60,STOCK_MOVEMENTS!D:D,"OUT")</f>
        <v/>
      </c>
      <c r="E60">
        <f>C60-D60</f>
        <v/>
      </c>
      <c r="F60">
        <f>IFERROR(VLOOKUP(A60,ITEMS_MASTER!A:E,5,FALSE),"")</f>
        <v/>
      </c>
      <c r="G60">
        <f>IF(E60=0,"RUPTURE",IF(E60&lt;=F60,"ALERTE","OK"))</f>
        <v/>
      </c>
    </row>
    <row r="61">
      <c r="B61">
        <f>IFERROR(VLOOKUP(A61,ITEMS_MASTER!A:B,2,FALSE),"")</f>
        <v/>
      </c>
      <c r="C61">
        <f>SUMIFS(STOCK_MOVEMENTS!E:E,STOCK_MOVEMENTS!B:B,A61,STOCK_MOVEMENTS!D:D,"IN")</f>
        <v/>
      </c>
      <c r="D61">
        <f>SUMIFS(STOCK_MOVEMENTS!E:E,STOCK_MOVEMENTS!B:B,A61,STOCK_MOVEMENTS!D:D,"OUT")</f>
        <v/>
      </c>
      <c r="E61">
        <f>C61-D61</f>
        <v/>
      </c>
      <c r="F61">
        <f>IFERROR(VLOOKUP(A61,ITEMS_MASTER!A:E,5,FALSE),"")</f>
        <v/>
      </c>
      <c r="G61">
        <f>IF(E61=0,"RUPTURE",IF(E61&lt;=F61,"ALERTE","OK"))</f>
        <v/>
      </c>
    </row>
    <row r="62">
      <c r="B62">
        <f>IFERROR(VLOOKUP(A62,ITEMS_MASTER!A:B,2,FALSE),"")</f>
        <v/>
      </c>
      <c r="C62">
        <f>SUMIFS(STOCK_MOVEMENTS!E:E,STOCK_MOVEMENTS!B:B,A62,STOCK_MOVEMENTS!D:D,"IN")</f>
        <v/>
      </c>
      <c r="D62">
        <f>SUMIFS(STOCK_MOVEMENTS!E:E,STOCK_MOVEMENTS!B:B,A62,STOCK_MOVEMENTS!D:D,"OUT")</f>
        <v/>
      </c>
      <c r="E62">
        <f>C62-D62</f>
        <v/>
      </c>
      <c r="F62">
        <f>IFERROR(VLOOKUP(A62,ITEMS_MASTER!A:E,5,FALSE),"")</f>
        <v/>
      </c>
      <c r="G62">
        <f>IF(E62=0,"RUPTURE",IF(E62&lt;=F62,"ALERTE","OK"))</f>
        <v/>
      </c>
    </row>
    <row r="63">
      <c r="B63">
        <f>IFERROR(VLOOKUP(A63,ITEMS_MASTER!A:B,2,FALSE),"")</f>
        <v/>
      </c>
      <c r="C63">
        <f>SUMIFS(STOCK_MOVEMENTS!E:E,STOCK_MOVEMENTS!B:B,A63,STOCK_MOVEMENTS!D:D,"IN")</f>
        <v/>
      </c>
      <c r="D63">
        <f>SUMIFS(STOCK_MOVEMENTS!E:E,STOCK_MOVEMENTS!B:B,A63,STOCK_MOVEMENTS!D:D,"OUT")</f>
        <v/>
      </c>
      <c r="E63">
        <f>C63-D63</f>
        <v/>
      </c>
      <c r="F63">
        <f>IFERROR(VLOOKUP(A63,ITEMS_MASTER!A:E,5,FALSE),"")</f>
        <v/>
      </c>
      <c r="G63">
        <f>IF(E63=0,"RUPTURE",IF(E63&lt;=F63,"ALERTE","OK"))</f>
        <v/>
      </c>
    </row>
    <row r="64">
      <c r="B64">
        <f>IFERROR(VLOOKUP(A64,ITEMS_MASTER!A:B,2,FALSE),"")</f>
        <v/>
      </c>
      <c r="C64">
        <f>SUMIFS(STOCK_MOVEMENTS!E:E,STOCK_MOVEMENTS!B:B,A64,STOCK_MOVEMENTS!D:D,"IN")</f>
        <v/>
      </c>
      <c r="D64">
        <f>SUMIFS(STOCK_MOVEMENTS!E:E,STOCK_MOVEMENTS!B:B,A64,STOCK_MOVEMENTS!D:D,"OUT")</f>
        <v/>
      </c>
      <c r="E64">
        <f>C64-D64</f>
        <v/>
      </c>
      <c r="F64">
        <f>IFERROR(VLOOKUP(A64,ITEMS_MASTER!A:E,5,FALSE),"")</f>
        <v/>
      </c>
      <c r="G64">
        <f>IF(E64=0,"RUPTURE",IF(E64&lt;=F64,"ALERTE","OK"))</f>
        <v/>
      </c>
    </row>
    <row r="65">
      <c r="B65">
        <f>IFERROR(VLOOKUP(A65,ITEMS_MASTER!A:B,2,FALSE),"")</f>
        <v/>
      </c>
      <c r="C65">
        <f>SUMIFS(STOCK_MOVEMENTS!E:E,STOCK_MOVEMENTS!B:B,A65,STOCK_MOVEMENTS!D:D,"IN")</f>
        <v/>
      </c>
      <c r="D65">
        <f>SUMIFS(STOCK_MOVEMENTS!E:E,STOCK_MOVEMENTS!B:B,A65,STOCK_MOVEMENTS!D:D,"OUT")</f>
        <v/>
      </c>
      <c r="E65">
        <f>C65-D65</f>
        <v/>
      </c>
      <c r="F65">
        <f>IFERROR(VLOOKUP(A65,ITEMS_MASTER!A:E,5,FALSE),"")</f>
        <v/>
      </c>
      <c r="G65">
        <f>IF(E65=0,"RUPTURE",IF(E65&lt;=F65,"ALERTE","OK"))</f>
        <v/>
      </c>
    </row>
    <row r="66">
      <c r="B66">
        <f>IFERROR(VLOOKUP(A66,ITEMS_MASTER!A:B,2,FALSE),"")</f>
        <v/>
      </c>
      <c r="C66">
        <f>SUMIFS(STOCK_MOVEMENTS!E:E,STOCK_MOVEMENTS!B:B,A66,STOCK_MOVEMENTS!D:D,"IN")</f>
        <v/>
      </c>
      <c r="D66">
        <f>SUMIFS(STOCK_MOVEMENTS!E:E,STOCK_MOVEMENTS!B:B,A66,STOCK_MOVEMENTS!D:D,"OUT")</f>
        <v/>
      </c>
      <c r="E66">
        <f>C66-D66</f>
        <v/>
      </c>
      <c r="F66">
        <f>IFERROR(VLOOKUP(A66,ITEMS_MASTER!A:E,5,FALSE),"")</f>
        <v/>
      </c>
      <c r="G66">
        <f>IF(E66=0,"RUPTURE",IF(E66&lt;=F66,"ALERTE","OK"))</f>
        <v/>
      </c>
    </row>
    <row r="67">
      <c r="B67">
        <f>IFERROR(VLOOKUP(A67,ITEMS_MASTER!A:B,2,FALSE),"")</f>
        <v/>
      </c>
      <c r="C67">
        <f>SUMIFS(STOCK_MOVEMENTS!E:E,STOCK_MOVEMENTS!B:B,A67,STOCK_MOVEMENTS!D:D,"IN")</f>
        <v/>
      </c>
      <c r="D67">
        <f>SUMIFS(STOCK_MOVEMENTS!E:E,STOCK_MOVEMENTS!B:B,A67,STOCK_MOVEMENTS!D:D,"OUT")</f>
        <v/>
      </c>
      <c r="E67">
        <f>C67-D67</f>
        <v/>
      </c>
      <c r="F67">
        <f>IFERROR(VLOOKUP(A67,ITEMS_MASTER!A:E,5,FALSE),"")</f>
        <v/>
      </c>
      <c r="G67">
        <f>IF(E67=0,"RUPTURE",IF(E67&lt;=F67,"ALERTE","OK"))</f>
        <v/>
      </c>
    </row>
    <row r="68">
      <c r="B68">
        <f>IFERROR(VLOOKUP(A68,ITEMS_MASTER!A:B,2,FALSE),"")</f>
        <v/>
      </c>
      <c r="C68">
        <f>SUMIFS(STOCK_MOVEMENTS!E:E,STOCK_MOVEMENTS!B:B,A68,STOCK_MOVEMENTS!D:D,"IN")</f>
        <v/>
      </c>
      <c r="D68">
        <f>SUMIFS(STOCK_MOVEMENTS!E:E,STOCK_MOVEMENTS!B:B,A68,STOCK_MOVEMENTS!D:D,"OUT")</f>
        <v/>
      </c>
      <c r="E68">
        <f>C68-D68</f>
        <v/>
      </c>
      <c r="F68">
        <f>IFERROR(VLOOKUP(A68,ITEMS_MASTER!A:E,5,FALSE),"")</f>
        <v/>
      </c>
      <c r="G68">
        <f>IF(E68=0,"RUPTURE",IF(E68&lt;=F68,"ALERTE","OK"))</f>
        <v/>
      </c>
    </row>
    <row r="69">
      <c r="B69">
        <f>IFERROR(VLOOKUP(A69,ITEMS_MASTER!A:B,2,FALSE),"")</f>
        <v/>
      </c>
      <c r="C69">
        <f>SUMIFS(STOCK_MOVEMENTS!E:E,STOCK_MOVEMENTS!B:B,A69,STOCK_MOVEMENTS!D:D,"IN")</f>
        <v/>
      </c>
      <c r="D69">
        <f>SUMIFS(STOCK_MOVEMENTS!E:E,STOCK_MOVEMENTS!B:B,A69,STOCK_MOVEMENTS!D:D,"OUT")</f>
        <v/>
      </c>
      <c r="E69">
        <f>C69-D69</f>
        <v/>
      </c>
      <c r="F69">
        <f>IFERROR(VLOOKUP(A69,ITEMS_MASTER!A:E,5,FALSE),"")</f>
        <v/>
      </c>
      <c r="G69">
        <f>IF(E69=0,"RUPTURE",IF(E69&lt;=F69,"ALERTE","OK"))</f>
        <v/>
      </c>
    </row>
    <row r="70">
      <c r="B70">
        <f>IFERROR(VLOOKUP(A70,ITEMS_MASTER!A:B,2,FALSE),"")</f>
        <v/>
      </c>
      <c r="C70">
        <f>SUMIFS(STOCK_MOVEMENTS!E:E,STOCK_MOVEMENTS!B:B,A70,STOCK_MOVEMENTS!D:D,"IN")</f>
        <v/>
      </c>
      <c r="D70">
        <f>SUMIFS(STOCK_MOVEMENTS!E:E,STOCK_MOVEMENTS!B:B,A70,STOCK_MOVEMENTS!D:D,"OUT")</f>
        <v/>
      </c>
      <c r="E70">
        <f>C70-D70</f>
        <v/>
      </c>
      <c r="F70">
        <f>IFERROR(VLOOKUP(A70,ITEMS_MASTER!A:E,5,FALSE),"")</f>
        <v/>
      </c>
      <c r="G70">
        <f>IF(E70=0,"RUPTURE",IF(E70&lt;=F70,"ALERTE","OK"))</f>
        <v/>
      </c>
    </row>
    <row r="71">
      <c r="B71">
        <f>IFERROR(VLOOKUP(A71,ITEMS_MASTER!A:B,2,FALSE),"")</f>
        <v/>
      </c>
      <c r="C71">
        <f>SUMIFS(STOCK_MOVEMENTS!E:E,STOCK_MOVEMENTS!B:B,A71,STOCK_MOVEMENTS!D:D,"IN")</f>
        <v/>
      </c>
      <c r="D71">
        <f>SUMIFS(STOCK_MOVEMENTS!E:E,STOCK_MOVEMENTS!B:B,A71,STOCK_MOVEMENTS!D:D,"OUT")</f>
        <v/>
      </c>
      <c r="E71">
        <f>C71-D71</f>
        <v/>
      </c>
      <c r="F71">
        <f>IFERROR(VLOOKUP(A71,ITEMS_MASTER!A:E,5,FALSE),"")</f>
        <v/>
      </c>
      <c r="G71">
        <f>IF(E71=0,"RUPTURE",IF(E71&lt;=F71,"ALERTE","OK"))</f>
        <v/>
      </c>
    </row>
    <row r="72">
      <c r="B72">
        <f>IFERROR(VLOOKUP(A72,ITEMS_MASTER!A:B,2,FALSE),"")</f>
        <v/>
      </c>
      <c r="C72">
        <f>SUMIFS(STOCK_MOVEMENTS!E:E,STOCK_MOVEMENTS!B:B,A72,STOCK_MOVEMENTS!D:D,"IN")</f>
        <v/>
      </c>
      <c r="D72">
        <f>SUMIFS(STOCK_MOVEMENTS!E:E,STOCK_MOVEMENTS!B:B,A72,STOCK_MOVEMENTS!D:D,"OUT")</f>
        <v/>
      </c>
      <c r="E72">
        <f>C72-D72</f>
        <v/>
      </c>
      <c r="F72">
        <f>IFERROR(VLOOKUP(A72,ITEMS_MASTER!A:E,5,FALSE),"")</f>
        <v/>
      </c>
      <c r="G72">
        <f>IF(E72=0,"RUPTURE",IF(E72&lt;=F72,"ALERTE","OK"))</f>
        <v/>
      </c>
    </row>
    <row r="73">
      <c r="B73">
        <f>IFERROR(VLOOKUP(A73,ITEMS_MASTER!A:B,2,FALSE),"")</f>
        <v/>
      </c>
      <c r="C73">
        <f>SUMIFS(STOCK_MOVEMENTS!E:E,STOCK_MOVEMENTS!B:B,A73,STOCK_MOVEMENTS!D:D,"IN")</f>
        <v/>
      </c>
      <c r="D73">
        <f>SUMIFS(STOCK_MOVEMENTS!E:E,STOCK_MOVEMENTS!B:B,A73,STOCK_MOVEMENTS!D:D,"OUT")</f>
        <v/>
      </c>
      <c r="E73">
        <f>C73-D73</f>
        <v/>
      </c>
      <c r="F73">
        <f>IFERROR(VLOOKUP(A73,ITEMS_MASTER!A:E,5,FALSE),"")</f>
        <v/>
      </c>
      <c r="G73">
        <f>IF(E73=0,"RUPTURE",IF(E73&lt;=F73,"ALERTE","OK"))</f>
        <v/>
      </c>
    </row>
    <row r="74">
      <c r="B74">
        <f>IFERROR(VLOOKUP(A74,ITEMS_MASTER!A:B,2,FALSE),"")</f>
        <v/>
      </c>
      <c r="C74">
        <f>SUMIFS(STOCK_MOVEMENTS!E:E,STOCK_MOVEMENTS!B:B,A74,STOCK_MOVEMENTS!D:D,"IN")</f>
        <v/>
      </c>
      <c r="D74">
        <f>SUMIFS(STOCK_MOVEMENTS!E:E,STOCK_MOVEMENTS!B:B,A74,STOCK_MOVEMENTS!D:D,"OUT")</f>
        <v/>
      </c>
      <c r="E74">
        <f>C74-D74</f>
        <v/>
      </c>
      <c r="F74">
        <f>IFERROR(VLOOKUP(A74,ITEMS_MASTER!A:E,5,FALSE),"")</f>
        <v/>
      </c>
      <c r="G74">
        <f>IF(E74=0,"RUPTURE",IF(E74&lt;=F74,"ALERTE","OK"))</f>
        <v/>
      </c>
    </row>
    <row r="75">
      <c r="B75">
        <f>IFERROR(VLOOKUP(A75,ITEMS_MASTER!A:B,2,FALSE),"")</f>
        <v/>
      </c>
      <c r="C75">
        <f>SUMIFS(STOCK_MOVEMENTS!E:E,STOCK_MOVEMENTS!B:B,A75,STOCK_MOVEMENTS!D:D,"IN")</f>
        <v/>
      </c>
      <c r="D75">
        <f>SUMIFS(STOCK_MOVEMENTS!E:E,STOCK_MOVEMENTS!B:B,A75,STOCK_MOVEMENTS!D:D,"OUT")</f>
        <v/>
      </c>
      <c r="E75">
        <f>C75-D75</f>
        <v/>
      </c>
      <c r="F75">
        <f>IFERROR(VLOOKUP(A75,ITEMS_MASTER!A:E,5,FALSE),"")</f>
        <v/>
      </c>
      <c r="G75">
        <f>IF(E75=0,"RUPTURE",IF(E75&lt;=F75,"ALERTE","OK"))</f>
        <v/>
      </c>
    </row>
    <row r="76">
      <c r="B76">
        <f>IFERROR(VLOOKUP(A76,ITEMS_MASTER!A:B,2,FALSE),"")</f>
        <v/>
      </c>
      <c r="C76">
        <f>SUMIFS(STOCK_MOVEMENTS!E:E,STOCK_MOVEMENTS!B:B,A76,STOCK_MOVEMENTS!D:D,"IN")</f>
        <v/>
      </c>
      <c r="D76">
        <f>SUMIFS(STOCK_MOVEMENTS!E:E,STOCK_MOVEMENTS!B:B,A76,STOCK_MOVEMENTS!D:D,"OUT")</f>
        <v/>
      </c>
      <c r="E76">
        <f>C76-D76</f>
        <v/>
      </c>
      <c r="F76">
        <f>IFERROR(VLOOKUP(A76,ITEMS_MASTER!A:E,5,FALSE),"")</f>
        <v/>
      </c>
      <c r="G76">
        <f>IF(E76=0,"RUPTURE",IF(E76&lt;=F76,"ALERTE","OK"))</f>
        <v/>
      </c>
    </row>
    <row r="77">
      <c r="B77">
        <f>IFERROR(VLOOKUP(A77,ITEMS_MASTER!A:B,2,FALSE),"")</f>
        <v/>
      </c>
      <c r="C77">
        <f>SUMIFS(STOCK_MOVEMENTS!E:E,STOCK_MOVEMENTS!B:B,A77,STOCK_MOVEMENTS!D:D,"IN")</f>
        <v/>
      </c>
      <c r="D77">
        <f>SUMIFS(STOCK_MOVEMENTS!E:E,STOCK_MOVEMENTS!B:B,A77,STOCK_MOVEMENTS!D:D,"OUT")</f>
        <v/>
      </c>
      <c r="E77">
        <f>C77-D77</f>
        <v/>
      </c>
      <c r="F77">
        <f>IFERROR(VLOOKUP(A77,ITEMS_MASTER!A:E,5,FALSE),"")</f>
        <v/>
      </c>
      <c r="G77">
        <f>IF(E77=0,"RUPTURE",IF(E77&lt;=F77,"ALERTE","OK"))</f>
        <v/>
      </c>
    </row>
    <row r="78">
      <c r="B78">
        <f>IFERROR(VLOOKUP(A78,ITEMS_MASTER!A:B,2,FALSE),"")</f>
        <v/>
      </c>
      <c r="C78">
        <f>SUMIFS(STOCK_MOVEMENTS!E:E,STOCK_MOVEMENTS!B:B,A78,STOCK_MOVEMENTS!D:D,"IN")</f>
        <v/>
      </c>
      <c r="D78">
        <f>SUMIFS(STOCK_MOVEMENTS!E:E,STOCK_MOVEMENTS!B:B,A78,STOCK_MOVEMENTS!D:D,"OUT")</f>
        <v/>
      </c>
      <c r="E78">
        <f>C78-D78</f>
        <v/>
      </c>
      <c r="F78">
        <f>IFERROR(VLOOKUP(A78,ITEMS_MASTER!A:E,5,FALSE),"")</f>
        <v/>
      </c>
      <c r="G78">
        <f>IF(E78=0,"RUPTURE",IF(E78&lt;=F78,"ALERTE","OK"))</f>
        <v/>
      </c>
    </row>
    <row r="79">
      <c r="B79">
        <f>IFERROR(VLOOKUP(A79,ITEMS_MASTER!A:B,2,FALSE),"")</f>
        <v/>
      </c>
      <c r="C79">
        <f>SUMIFS(STOCK_MOVEMENTS!E:E,STOCK_MOVEMENTS!B:B,A79,STOCK_MOVEMENTS!D:D,"IN")</f>
        <v/>
      </c>
      <c r="D79">
        <f>SUMIFS(STOCK_MOVEMENTS!E:E,STOCK_MOVEMENTS!B:B,A79,STOCK_MOVEMENTS!D:D,"OUT")</f>
        <v/>
      </c>
      <c r="E79">
        <f>C79-D79</f>
        <v/>
      </c>
      <c r="F79">
        <f>IFERROR(VLOOKUP(A79,ITEMS_MASTER!A:E,5,FALSE),"")</f>
        <v/>
      </c>
      <c r="G79">
        <f>IF(E79=0,"RUPTURE",IF(E79&lt;=F79,"ALERTE","OK"))</f>
        <v/>
      </c>
    </row>
    <row r="80">
      <c r="B80">
        <f>IFERROR(VLOOKUP(A80,ITEMS_MASTER!A:B,2,FALSE),"")</f>
        <v/>
      </c>
      <c r="C80">
        <f>SUMIFS(STOCK_MOVEMENTS!E:E,STOCK_MOVEMENTS!B:B,A80,STOCK_MOVEMENTS!D:D,"IN")</f>
        <v/>
      </c>
      <c r="D80">
        <f>SUMIFS(STOCK_MOVEMENTS!E:E,STOCK_MOVEMENTS!B:B,A80,STOCK_MOVEMENTS!D:D,"OUT")</f>
        <v/>
      </c>
      <c r="E80">
        <f>C80-D80</f>
        <v/>
      </c>
      <c r="F80">
        <f>IFERROR(VLOOKUP(A80,ITEMS_MASTER!A:E,5,FALSE),"")</f>
        <v/>
      </c>
      <c r="G80">
        <f>IF(E80=0,"RUPTURE",IF(E80&lt;=F80,"ALERTE","OK"))</f>
        <v/>
      </c>
    </row>
    <row r="81">
      <c r="B81">
        <f>IFERROR(VLOOKUP(A81,ITEMS_MASTER!A:B,2,FALSE),"")</f>
        <v/>
      </c>
      <c r="C81">
        <f>SUMIFS(STOCK_MOVEMENTS!E:E,STOCK_MOVEMENTS!B:B,A81,STOCK_MOVEMENTS!D:D,"IN")</f>
        <v/>
      </c>
      <c r="D81">
        <f>SUMIFS(STOCK_MOVEMENTS!E:E,STOCK_MOVEMENTS!B:B,A81,STOCK_MOVEMENTS!D:D,"OUT")</f>
        <v/>
      </c>
      <c r="E81">
        <f>C81-D81</f>
        <v/>
      </c>
      <c r="F81">
        <f>IFERROR(VLOOKUP(A81,ITEMS_MASTER!A:E,5,FALSE),"")</f>
        <v/>
      </c>
      <c r="G81">
        <f>IF(E81=0,"RUPTURE",IF(E81&lt;=F81,"ALERTE","OK"))</f>
        <v/>
      </c>
    </row>
    <row r="82">
      <c r="B82">
        <f>IFERROR(VLOOKUP(A82,ITEMS_MASTER!A:B,2,FALSE),"")</f>
        <v/>
      </c>
      <c r="C82">
        <f>SUMIFS(STOCK_MOVEMENTS!E:E,STOCK_MOVEMENTS!B:B,A82,STOCK_MOVEMENTS!D:D,"IN")</f>
        <v/>
      </c>
      <c r="D82">
        <f>SUMIFS(STOCK_MOVEMENTS!E:E,STOCK_MOVEMENTS!B:B,A82,STOCK_MOVEMENTS!D:D,"OUT")</f>
        <v/>
      </c>
      <c r="E82">
        <f>C82-D82</f>
        <v/>
      </c>
      <c r="F82">
        <f>IFERROR(VLOOKUP(A82,ITEMS_MASTER!A:E,5,FALSE),"")</f>
        <v/>
      </c>
      <c r="G82">
        <f>IF(E82=0,"RUPTURE",IF(E82&lt;=F82,"ALERTE","OK"))</f>
        <v/>
      </c>
    </row>
    <row r="83">
      <c r="B83">
        <f>IFERROR(VLOOKUP(A83,ITEMS_MASTER!A:B,2,FALSE),"")</f>
        <v/>
      </c>
      <c r="C83">
        <f>SUMIFS(STOCK_MOVEMENTS!E:E,STOCK_MOVEMENTS!B:B,A83,STOCK_MOVEMENTS!D:D,"IN")</f>
        <v/>
      </c>
      <c r="D83">
        <f>SUMIFS(STOCK_MOVEMENTS!E:E,STOCK_MOVEMENTS!B:B,A83,STOCK_MOVEMENTS!D:D,"OUT")</f>
        <v/>
      </c>
      <c r="E83">
        <f>C83-D83</f>
        <v/>
      </c>
      <c r="F83">
        <f>IFERROR(VLOOKUP(A83,ITEMS_MASTER!A:E,5,FALSE),"")</f>
        <v/>
      </c>
      <c r="G83">
        <f>IF(E83=0,"RUPTURE",IF(E83&lt;=F83,"ALERTE","OK"))</f>
        <v/>
      </c>
    </row>
    <row r="84">
      <c r="B84">
        <f>IFERROR(VLOOKUP(A84,ITEMS_MASTER!A:B,2,FALSE),"")</f>
        <v/>
      </c>
      <c r="C84">
        <f>SUMIFS(STOCK_MOVEMENTS!E:E,STOCK_MOVEMENTS!B:B,A84,STOCK_MOVEMENTS!D:D,"IN")</f>
        <v/>
      </c>
      <c r="D84">
        <f>SUMIFS(STOCK_MOVEMENTS!E:E,STOCK_MOVEMENTS!B:B,A84,STOCK_MOVEMENTS!D:D,"OUT")</f>
        <v/>
      </c>
      <c r="E84">
        <f>C84-D84</f>
        <v/>
      </c>
      <c r="F84">
        <f>IFERROR(VLOOKUP(A84,ITEMS_MASTER!A:E,5,FALSE),"")</f>
        <v/>
      </c>
      <c r="G84">
        <f>IF(E84=0,"RUPTURE",IF(E84&lt;=F84,"ALERTE","OK"))</f>
        <v/>
      </c>
    </row>
    <row r="85">
      <c r="B85">
        <f>IFERROR(VLOOKUP(A85,ITEMS_MASTER!A:B,2,FALSE),"")</f>
        <v/>
      </c>
      <c r="C85">
        <f>SUMIFS(STOCK_MOVEMENTS!E:E,STOCK_MOVEMENTS!B:B,A85,STOCK_MOVEMENTS!D:D,"IN")</f>
        <v/>
      </c>
      <c r="D85">
        <f>SUMIFS(STOCK_MOVEMENTS!E:E,STOCK_MOVEMENTS!B:B,A85,STOCK_MOVEMENTS!D:D,"OUT")</f>
        <v/>
      </c>
      <c r="E85">
        <f>C85-D85</f>
        <v/>
      </c>
      <c r="F85">
        <f>IFERROR(VLOOKUP(A85,ITEMS_MASTER!A:E,5,FALSE),"")</f>
        <v/>
      </c>
      <c r="G85">
        <f>IF(E85=0,"RUPTURE",IF(E85&lt;=F85,"ALERTE","OK"))</f>
        <v/>
      </c>
    </row>
    <row r="86">
      <c r="B86">
        <f>IFERROR(VLOOKUP(A86,ITEMS_MASTER!A:B,2,FALSE),"")</f>
        <v/>
      </c>
      <c r="C86">
        <f>SUMIFS(STOCK_MOVEMENTS!E:E,STOCK_MOVEMENTS!B:B,A86,STOCK_MOVEMENTS!D:D,"IN")</f>
        <v/>
      </c>
      <c r="D86">
        <f>SUMIFS(STOCK_MOVEMENTS!E:E,STOCK_MOVEMENTS!B:B,A86,STOCK_MOVEMENTS!D:D,"OUT")</f>
        <v/>
      </c>
      <c r="E86">
        <f>C86-D86</f>
        <v/>
      </c>
      <c r="F86">
        <f>IFERROR(VLOOKUP(A86,ITEMS_MASTER!A:E,5,FALSE),"")</f>
        <v/>
      </c>
      <c r="G86">
        <f>IF(E86=0,"RUPTURE",IF(E86&lt;=F86,"ALERTE","OK"))</f>
        <v/>
      </c>
    </row>
    <row r="87">
      <c r="B87">
        <f>IFERROR(VLOOKUP(A87,ITEMS_MASTER!A:B,2,FALSE),"")</f>
        <v/>
      </c>
      <c r="C87">
        <f>SUMIFS(STOCK_MOVEMENTS!E:E,STOCK_MOVEMENTS!B:B,A87,STOCK_MOVEMENTS!D:D,"IN")</f>
        <v/>
      </c>
      <c r="D87">
        <f>SUMIFS(STOCK_MOVEMENTS!E:E,STOCK_MOVEMENTS!B:B,A87,STOCK_MOVEMENTS!D:D,"OUT")</f>
        <v/>
      </c>
      <c r="E87">
        <f>C87-D87</f>
        <v/>
      </c>
      <c r="F87">
        <f>IFERROR(VLOOKUP(A87,ITEMS_MASTER!A:E,5,FALSE),"")</f>
        <v/>
      </c>
      <c r="G87">
        <f>IF(E87=0,"RUPTURE",IF(E87&lt;=F87,"ALERTE","OK"))</f>
        <v/>
      </c>
    </row>
    <row r="88">
      <c r="B88">
        <f>IFERROR(VLOOKUP(A88,ITEMS_MASTER!A:B,2,FALSE),"")</f>
        <v/>
      </c>
      <c r="C88">
        <f>SUMIFS(STOCK_MOVEMENTS!E:E,STOCK_MOVEMENTS!B:B,A88,STOCK_MOVEMENTS!D:D,"IN")</f>
        <v/>
      </c>
      <c r="D88">
        <f>SUMIFS(STOCK_MOVEMENTS!E:E,STOCK_MOVEMENTS!B:B,A88,STOCK_MOVEMENTS!D:D,"OUT")</f>
        <v/>
      </c>
      <c r="E88">
        <f>C88-D88</f>
        <v/>
      </c>
      <c r="F88">
        <f>IFERROR(VLOOKUP(A88,ITEMS_MASTER!A:E,5,FALSE),"")</f>
        <v/>
      </c>
      <c r="G88">
        <f>IF(E88=0,"RUPTURE",IF(E88&lt;=F88,"ALERTE","OK"))</f>
        <v/>
      </c>
    </row>
    <row r="89">
      <c r="B89">
        <f>IFERROR(VLOOKUP(A89,ITEMS_MASTER!A:B,2,FALSE),"")</f>
        <v/>
      </c>
      <c r="C89">
        <f>SUMIFS(STOCK_MOVEMENTS!E:E,STOCK_MOVEMENTS!B:B,A89,STOCK_MOVEMENTS!D:D,"IN")</f>
        <v/>
      </c>
      <c r="D89">
        <f>SUMIFS(STOCK_MOVEMENTS!E:E,STOCK_MOVEMENTS!B:B,A89,STOCK_MOVEMENTS!D:D,"OUT")</f>
        <v/>
      </c>
      <c r="E89">
        <f>C89-D89</f>
        <v/>
      </c>
      <c r="F89">
        <f>IFERROR(VLOOKUP(A89,ITEMS_MASTER!A:E,5,FALSE),"")</f>
        <v/>
      </c>
      <c r="G89">
        <f>IF(E89=0,"RUPTURE",IF(E89&lt;=F89,"ALERTE","OK"))</f>
        <v/>
      </c>
    </row>
    <row r="90">
      <c r="B90">
        <f>IFERROR(VLOOKUP(A90,ITEMS_MASTER!A:B,2,FALSE),"")</f>
        <v/>
      </c>
      <c r="C90">
        <f>SUMIFS(STOCK_MOVEMENTS!E:E,STOCK_MOVEMENTS!B:B,A90,STOCK_MOVEMENTS!D:D,"IN")</f>
        <v/>
      </c>
      <c r="D90">
        <f>SUMIFS(STOCK_MOVEMENTS!E:E,STOCK_MOVEMENTS!B:B,A90,STOCK_MOVEMENTS!D:D,"OUT")</f>
        <v/>
      </c>
      <c r="E90">
        <f>C90-D90</f>
        <v/>
      </c>
      <c r="F90">
        <f>IFERROR(VLOOKUP(A90,ITEMS_MASTER!A:E,5,FALSE),"")</f>
        <v/>
      </c>
      <c r="G90">
        <f>IF(E90=0,"RUPTURE",IF(E90&lt;=F90,"ALERTE","OK"))</f>
        <v/>
      </c>
    </row>
    <row r="91">
      <c r="B91">
        <f>IFERROR(VLOOKUP(A91,ITEMS_MASTER!A:B,2,FALSE),"")</f>
        <v/>
      </c>
      <c r="C91">
        <f>SUMIFS(STOCK_MOVEMENTS!E:E,STOCK_MOVEMENTS!B:B,A91,STOCK_MOVEMENTS!D:D,"IN")</f>
        <v/>
      </c>
      <c r="D91">
        <f>SUMIFS(STOCK_MOVEMENTS!E:E,STOCK_MOVEMENTS!B:B,A91,STOCK_MOVEMENTS!D:D,"OUT")</f>
        <v/>
      </c>
      <c r="E91">
        <f>C91-D91</f>
        <v/>
      </c>
      <c r="F91">
        <f>IFERROR(VLOOKUP(A91,ITEMS_MASTER!A:E,5,FALSE),"")</f>
        <v/>
      </c>
      <c r="G91">
        <f>IF(E91=0,"RUPTURE",IF(E91&lt;=F91,"ALERTE","OK"))</f>
        <v/>
      </c>
    </row>
    <row r="92">
      <c r="B92">
        <f>IFERROR(VLOOKUP(A92,ITEMS_MASTER!A:B,2,FALSE),"")</f>
        <v/>
      </c>
      <c r="C92">
        <f>SUMIFS(STOCK_MOVEMENTS!E:E,STOCK_MOVEMENTS!B:B,A92,STOCK_MOVEMENTS!D:D,"IN")</f>
        <v/>
      </c>
      <c r="D92">
        <f>SUMIFS(STOCK_MOVEMENTS!E:E,STOCK_MOVEMENTS!B:B,A92,STOCK_MOVEMENTS!D:D,"OUT")</f>
        <v/>
      </c>
      <c r="E92">
        <f>C92-D92</f>
        <v/>
      </c>
      <c r="F92">
        <f>IFERROR(VLOOKUP(A92,ITEMS_MASTER!A:E,5,FALSE),"")</f>
        <v/>
      </c>
      <c r="G92">
        <f>IF(E92=0,"RUPTURE",IF(E92&lt;=F92,"ALERTE","OK"))</f>
        <v/>
      </c>
    </row>
    <row r="93">
      <c r="B93">
        <f>IFERROR(VLOOKUP(A93,ITEMS_MASTER!A:B,2,FALSE),"")</f>
        <v/>
      </c>
      <c r="C93">
        <f>SUMIFS(STOCK_MOVEMENTS!E:E,STOCK_MOVEMENTS!B:B,A93,STOCK_MOVEMENTS!D:D,"IN")</f>
        <v/>
      </c>
      <c r="D93">
        <f>SUMIFS(STOCK_MOVEMENTS!E:E,STOCK_MOVEMENTS!B:B,A93,STOCK_MOVEMENTS!D:D,"OUT")</f>
        <v/>
      </c>
      <c r="E93">
        <f>C93-D93</f>
        <v/>
      </c>
      <c r="F93">
        <f>IFERROR(VLOOKUP(A93,ITEMS_MASTER!A:E,5,FALSE),"")</f>
        <v/>
      </c>
      <c r="G93">
        <f>IF(E93=0,"RUPTURE",IF(E93&lt;=F93,"ALERTE","OK"))</f>
        <v/>
      </c>
    </row>
    <row r="94">
      <c r="B94">
        <f>IFERROR(VLOOKUP(A94,ITEMS_MASTER!A:B,2,FALSE),"")</f>
        <v/>
      </c>
      <c r="C94">
        <f>SUMIFS(STOCK_MOVEMENTS!E:E,STOCK_MOVEMENTS!B:B,A94,STOCK_MOVEMENTS!D:D,"IN")</f>
        <v/>
      </c>
      <c r="D94">
        <f>SUMIFS(STOCK_MOVEMENTS!E:E,STOCK_MOVEMENTS!B:B,A94,STOCK_MOVEMENTS!D:D,"OUT")</f>
        <v/>
      </c>
      <c r="E94">
        <f>C94-D94</f>
        <v/>
      </c>
      <c r="F94">
        <f>IFERROR(VLOOKUP(A94,ITEMS_MASTER!A:E,5,FALSE),"")</f>
        <v/>
      </c>
      <c r="G94">
        <f>IF(E94=0,"RUPTURE",IF(E94&lt;=F94,"ALERTE","OK"))</f>
        <v/>
      </c>
    </row>
    <row r="95">
      <c r="B95">
        <f>IFERROR(VLOOKUP(A95,ITEMS_MASTER!A:B,2,FALSE),"")</f>
        <v/>
      </c>
      <c r="C95">
        <f>SUMIFS(STOCK_MOVEMENTS!E:E,STOCK_MOVEMENTS!B:B,A95,STOCK_MOVEMENTS!D:D,"IN")</f>
        <v/>
      </c>
      <c r="D95">
        <f>SUMIFS(STOCK_MOVEMENTS!E:E,STOCK_MOVEMENTS!B:B,A95,STOCK_MOVEMENTS!D:D,"OUT")</f>
        <v/>
      </c>
      <c r="E95">
        <f>C95-D95</f>
        <v/>
      </c>
      <c r="F95">
        <f>IFERROR(VLOOKUP(A95,ITEMS_MASTER!A:E,5,FALSE),"")</f>
        <v/>
      </c>
      <c r="G95">
        <f>IF(E95=0,"RUPTURE",IF(E95&lt;=F95,"ALERTE","OK"))</f>
        <v/>
      </c>
    </row>
    <row r="96">
      <c r="B96">
        <f>IFERROR(VLOOKUP(A96,ITEMS_MASTER!A:B,2,FALSE),"")</f>
        <v/>
      </c>
      <c r="C96">
        <f>SUMIFS(STOCK_MOVEMENTS!E:E,STOCK_MOVEMENTS!B:B,A96,STOCK_MOVEMENTS!D:D,"IN")</f>
        <v/>
      </c>
      <c r="D96">
        <f>SUMIFS(STOCK_MOVEMENTS!E:E,STOCK_MOVEMENTS!B:B,A96,STOCK_MOVEMENTS!D:D,"OUT")</f>
        <v/>
      </c>
      <c r="E96">
        <f>C96-D96</f>
        <v/>
      </c>
      <c r="F96">
        <f>IFERROR(VLOOKUP(A96,ITEMS_MASTER!A:E,5,FALSE),"")</f>
        <v/>
      </c>
      <c r="G96">
        <f>IF(E96=0,"RUPTURE",IF(E96&lt;=F96,"ALERTE","OK"))</f>
        <v/>
      </c>
    </row>
    <row r="97">
      <c r="B97">
        <f>IFERROR(VLOOKUP(A97,ITEMS_MASTER!A:B,2,FALSE),"")</f>
        <v/>
      </c>
      <c r="C97">
        <f>SUMIFS(STOCK_MOVEMENTS!E:E,STOCK_MOVEMENTS!B:B,A97,STOCK_MOVEMENTS!D:D,"IN")</f>
        <v/>
      </c>
      <c r="D97">
        <f>SUMIFS(STOCK_MOVEMENTS!E:E,STOCK_MOVEMENTS!B:B,A97,STOCK_MOVEMENTS!D:D,"OUT")</f>
        <v/>
      </c>
      <c r="E97">
        <f>C97-D97</f>
        <v/>
      </c>
      <c r="F97">
        <f>IFERROR(VLOOKUP(A97,ITEMS_MASTER!A:E,5,FALSE),"")</f>
        <v/>
      </c>
      <c r="G97">
        <f>IF(E97=0,"RUPTURE",IF(E97&lt;=F97,"ALERTE","OK"))</f>
        <v/>
      </c>
    </row>
    <row r="98">
      <c r="B98">
        <f>IFERROR(VLOOKUP(A98,ITEMS_MASTER!A:B,2,FALSE),"")</f>
        <v/>
      </c>
      <c r="C98">
        <f>SUMIFS(STOCK_MOVEMENTS!E:E,STOCK_MOVEMENTS!B:B,A98,STOCK_MOVEMENTS!D:D,"IN")</f>
        <v/>
      </c>
      <c r="D98">
        <f>SUMIFS(STOCK_MOVEMENTS!E:E,STOCK_MOVEMENTS!B:B,A98,STOCK_MOVEMENTS!D:D,"OUT")</f>
        <v/>
      </c>
      <c r="E98">
        <f>C98-D98</f>
        <v/>
      </c>
      <c r="F98">
        <f>IFERROR(VLOOKUP(A98,ITEMS_MASTER!A:E,5,FALSE),"")</f>
        <v/>
      </c>
      <c r="G98">
        <f>IF(E98=0,"RUPTURE",IF(E98&lt;=F98,"ALERTE","OK"))</f>
        <v/>
      </c>
    </row>
    <row r="99">
      <c r="B99">
        <f>IFERROR(VLOOKUP(A99,ITEMS_MASTER!A:B,2,FALSE),"")</f>
        <v/>
      </c>
      <c r="C99">
        <f>SUMIFS(STOCK_MOVEMENTS!E:E,STOCK_MOVEMENTS!B:B,A99,STOCK_MOVEMENTS!D:D,"IN")</f>
        <v/>
      </c>
      <c r="D99">
        <f>SUMIFS(STOCK_MOVEMENTS!E:E,STOCK_MOVEMENTS!B:B,A99,STOCK_MOVEMENTS!D:D,"OUT")</f>
        <v/>
      </c>
      <c r="E99">
        <f>C99-D99</f>
        <v/>
      </c>
      <c r="F99">
        <f>IFERROR(VLOOKUP(A99,ITEMS_MASTER!A:E,5,FALSE),"")</f>
        <v/>
      </c>
      <c r="G99">
        <f>IF(E99=0,"RUPTURE",IF(E99&lt;=F99,"ALERTE","OK"))</f>
        <v/>
      </c>
    </row>
    <row r="100">
      <c r="B100">
        <f>IFERROR(VLOOKUP(A100,ITEMS_MASTER!A:B,2,FALSE),"")</f>
        <v/>
      </c>
      <c r="C100">
        <f>SUMIFS(STOCK_MOVEMENTS!E:E,STOCK_MOVEMENTS!B:B,A100,STOCK_MOVEMENTS!D:D,"IN")</f>
        <v/>
      </c>
      <c r="D100">
        <f>SUMIFS(STOCK_MOVEMENTS!E:E,STOCK_MOVEMENTS!B:B,A100,STOCK_MOVEMENTS!D:D,"OUT")</f>
        <v/>
      </c>
      <c r="E100">
        <f>C100-D100</f>
        <v/>
      </c>
      <c r="F100">
        <f>IFERROR(VLOOKUP(A100,ITEMS_MASTER!A:E,5,FALSE),"")</f>
        <v/>
      </c>
      <c r="G100">
        <f>IF(E100=0,"RUPTURE",IF(E100&lt;=F100,"ALERTE","OK"))</f>
        <v/>
      </c>
    </row>
    <row r="101">
      <c r="B101">
        <f>IFERROR(VLOOKUP(A101,ITEMS_MASTER!A:B,2,FALSE),"")</f>
        <v/>
      </c>
      <c r="C101">
        <f>SUMIFS(STOCK_MOVEMENTS!E:E,STOCK_MOVEMENTS!B:B,A101,STOCK_MOVEMENTS!D:D,"IN")</f>
        <v/>
      </c>
      <c r="D101">
        <f>SUMIFS(STOCK_MOVEMENTS!E:E,STOCK_MOVEMENTS!B:B,A101,STOCK_MOVEMENTS!D:D,"OUT")</f>
        <v/>
      </c>
      <c r="E101">
        <f>C101-D101</f>
        <v/>
      </c>
      <c r="F101">
        <f>IFERROR(VLOOKUP(A101,ITEMS_MASTER!A:E,5,FALSE),"")</f>
        <v/>
      </c>
      <c r="G101">
        <f>IF(E101=0,"RUPTURE",IF(E101&lt;=F101,"ALERTE","OK"))</f>
        <v/>
      </c>
    </row>
    <row r="102">
      <c r="B102">
        <f>IFERROR(VLOOKUP(A102,ITEMS_MASTER!A:B,2,FALSE),"")</f>
        <v/>
      </c>
      <c r="C102">
        <f>SUMIFS(STOCK_MOVEMENTS!E:E,STOCK_MOVEMENTS!B:B,A102,STOCK_MOVEMENTS!D:D,"IN")</f>
        <v/>
      </c>
      <c r="D102">
        <f>SUMIFS(STOCK_MOVEMENTS!E:E,STOCK_MOVEMENTS!B:B,A102,STOCK_MOVEMENTS!D:D,"OUT")</f>
        <v/>
      </c>
      <c r="E102">
        <f>C102-D102</f>
        <v/>
      </c>
      <c r="F102">
        <f>IFERROR(VLOOKUP(A102,ITEMS_MASTER!A:E,5,FALSE),"")</f>
        <v/>
      </c>
      <c r="G102">
        <f>IF(E102=0,"RUPTURE",IF(E102&lt;=F102,"ALERTE","OK"))</f>
        <v/>
      </c>
    </row>
    <row r="103">
      <c r="B103">
        <f>IFERROR(VLOOKUP(A103,ITEMS_MASTER!A:B,2,FALSE),"")</f>
        <v/>
      </c>
      <c r="C103">
        <f>SUMIFS(STOCK_MOVEMENTS!E:E,STOCK_MOVEMENTS!B:B,A103,STOCK_MOVEMENTS!D:D,"IN")</f>
        <v/>
      </c>
      <c r="D103">
        <f>SUMIFS(STOCK_MOVEMENTS!E:E,STOCK_MOVEMENTS!B:B,A103,STOCK_MOVEMENTS!D:D,"OUT")</f>
        <v/>
      </c>
      <c r="E103">
        <f>C103-D103</f>
        <v/>
      </c>
      <c r="F103">
        <f>IFERROR(VLOOKUP(A103,ITEMS_MASTER!A:E,5,FALSE),"")</f>
        <v/>
      </c>
      <c r="G103">
        <f>IF(E103=0,"RUPTURE",IF(E103&lt;=F103,"ALERTE","OK"))</f>
        <v/>
      </c>
    </row>
    <row r="104">
      <c r="B104">
        <f>IFERROR(VLOOKUP(A104,ITEMS_MASTER!A:B,2,FALSE),"")</f>
        <v/>
      </c>
      <c r="C104">
        <f>SUMIFS(STOCK_MOVEMENTS!E:E,STOCK_MOVEMENTS!B:B,A104,STOCK_MOVEMENTS!D:D,"IN")</f>
        <v/>
      </c>
      <c r="D104">
        <f>SUMIFS(STOCK_MOVEMENTS!E:E,STOCK_MOVEMENTS!B:B,A104,STOCK_MOVEMENTS!D:D,"OUT")</f>
        <v/>
      </c>
      <c r="E104">
        <f>C104-D104</f>
        <v/>
      </c>
      <c r="F104">
        <f>IFERROR(VLOOKUP(A104,ITEMS_MASTER!A:E,5,FALSE),"")</f>
        <v/>
      </c>
      <c r="G104">
        <f>IF(E104=0,"RUPTURE",IF(E104&lt;=F104,"ALERTE","OK"))</f>
        <v/>
      </c>
    </row>
    <row r="105">
      <c r="B105">
        <f>IFERROR(VLOOKUP(A105,ITEMS_MASTER!A:B,2,FALSE),"")</f>
        <v/>
      </c>
      <c r="C105">
        <f>SUMIFS(STOCK_MOVEMENTS!E:E,STOCK_MOVEMENTS!B:B,A105,STOCK_MOVEMENTS!D:D,"IN")</f>
        <v/>
      </c>
      <c r="D105">
        <f>SUMIFS(STOCK_MOVEMENTS!E:E,STOCK_MOVEMENTS!B:B,A105,STOCK_MOVEMENTS!D:D,"OUT")</f>
        <v/>
      </c>
      <c r="E105">
        <f>C105-D105</f>
        <v/>
      </c>
      <c r="F105">
        <f>IFERROR(VLOOKUP(A105,ITEMS_MASTER!A:E,5,FALSE),"")</f>
        <v/>
      </c>
      <c r="G105">
        <f>IF(E105=0,"RUPTURE",IF(E105&lt;=F105,"ALERTE","OK"))</f>
        <v/>
      </c>
    </row>
    <row r="106">
      <c r="B106">
        <f>IFERROR(VLOOKUP(A106,ITEMS_MASTER!A:B,2,FALSE),"")</f>
        <v/>
      </c>
      <c r="C106">
        <f>SUMIFS(STOCK_MOVEMENTS!E:E,STOCK_MOVEMENTS!B:B,A106,STOCK_MOVEMENTS!D:D,"IN")</f>
        <v/>
      </c>
      <c r="D106">
        <f>SUMIFS(STOCK_MOVEMENTS!E:E,STOCK_MOVEMENTS!B:B,A106,STOCK_MOVEMENTS!D:D,"OUT")</f>
        <v/>
      </c>
      <c r="E106">
        <f>C106-D106</f>
        <v/>
      </c>
      <c r="F106">
        <f>IFERROR(VLOOKUP(A106,ITEMS_MASTER!A:E,5,FALSE),"")</f>
        <v/>
      </c>
      <c r="G106">
        <f>IF(E106=0,"RUPTURE",IF(E106&lt;=F106,"ALERTE","OK"))</f>
        <v/>
      </c>
    </row>
    <row r="107">
      <c r="B107">
        <f>IFERROR(VLOOKUP(A107,ITEMS_MASTER!A:B,2,FALSE),"")</f>
        <v/>
      </c>
      <c r="C107">
        <f>SUMIFS(STOCK_MOVEMENTS!E:E,STOCK_MOVEMENTS!B:B,A107,STOCK_MOVEMENTS!D:D,"IN")</f>
        <v/>
      </c>
      <c r="D107">
        <f>SUMIFS(STOCK_MOVEMENTS!E:E,STOCK_MOVEMENTS!B:B,A107,STOCK_MOVEMENTS!D:D,"OUT")</f>
        <v/>
      </c>
      <c r="E107">
        <f>C107-D107</f>
        <v/>
      </c>
      <c r="F107">
        <f>IFERROR(VLOOKUP(A107,ITEMS_MASTER!A:E,5,FALSE),"")</f>
        <v/>
      </c>
      <c r="G107">
        <f>IF(E107=0,"RUPTURE",IF(E107&lt;=F107,"ALERTE","OK"))</f>
        <v/>
      </c>
    </row>
    <row r="108">
      <c r="B108">
        <f>IFERROR(VLOOKUP(A108,ITEMS_MASTER!A:B,2,FALSE),"")</f>
        <v/>
      </c>
      <c r="C108">
        <f>SUMIFS(STOCK_MOVEMENTS!E:E,STOCK_MOVEMENTS!B:B,A108,STOCK_MOVEMENTS!D:D,"IN")</f>
        <v/>
      </c>
      <c r="D108">
        <f>SUMIFS(STOCK_MOVEMENTS!E:E,STOCK_MOVEMENTS!B:B,A108,STOCK_MOVEMENTS!D:D,"OUT")</f>
        <v/>
      </c>
      <c r="E108">
        <f>C108-D108</f>
        <v/>
      </c>
      <c r="F108">
        <f>IFERROR(VLOOKUP(A108,ITEMS_MASTER!A:E,5,FALSE),"")</f>
        <v/>
      </c>
      <c r="G108">
        <f>IF(E108=0,"RUPTURE",IF(E108&lt;=F108,"ALERTE","OK"))</f>
        <v/>
      </c>
    </row>
    <row r="109">
      <c r="B109">
        <f>IFERROR(VLOOKUP(A109,ITEMS_MASTER!A:B,2,FALSE),"")</f>
        <v/>
      </c>
      <c r="C109">
        <f>SUMIFS(STOCK_MOVEMENTS!E:E,STOCK_MOVEMENTS!B:B,A109,STOCK_MOVEMENTS!D:D,"IN")</f>
        <v/>
      </c>
      <c r="D109">
        <f>SUMIFS(STOCK_MOVEMENTS!E:E,STOCK_MOVEMENTS!B:B,A109,STOCK_MOVEMENTS!D:D,"OUT")</f>
        <v/>
      </c>
      <c r="E109">
        <f>C109-D109</f>
        <v/>
      </c>
      <c r="F109">
        <f>IFERROR(VLOOKUP(A109,ITEMS_MASTER!A:E,5,FALSE),"")</f>
        <v/>
      </c>
      <c r="G109">
        <f>IF(E109=0,"RUPTURE",IF(E109&lt;=F109,"ALERTE","OK"))</f>
        <v/>
      </c>
    </row>
    <row r="110">
      <c r="B110">
        <f>IFERROR(VLOOKUP(A110,ITEMS_MASTER!A:B,2,FALSE),"")</f>
        <v/>
      </c>
      <c r="C110">
        <f>SUMIFS(STOCK_MOVEMENTS!E:E,STOCK_MOVEMENTS!B:B,A110,STOCK_MOVEMENTS!D:D,"IN")</f>
        <v/>
      </c>
      <c r="D110">
        <f>SUMIFS(STOCK_MOVEMENTS!E:E,STOCK_MOVEMENTS!B:B,A110,STOCK_MOVEMENTS!D:D,"OUT")</f>
        <v/>
      </c>
      <c r="E110">
        <f>C110-D110</f>
        <v/>
      </c>
      <c r="F110">
        <f>IFERROR(VLOOKUP(A110,ITEMS_MASTER!A:E,5,FALSE),"")</f>
        <v/>
      </c>
      <c r="G110">
        <f>IF(E110=0,"RUPTURE",IF(E110&lt;=F110,"ALERTE","OK"))</f>
        <v/>
      </c>
    </row>
    <row r="111">
      <c r="B111">
        <f>IFERROR(VLOOKUP(A111,ITEMS_MASTER!A:B,2,FALSE),"")</f>
        <v/>
      </c>
      <c r="C111">
        <f>SUMIFS(STOCK_MOVEMENTS!E:E,STOCK_MOVEMENTS!B:B,A111,STOCK_MOVEMENTS!D:D,"IN")</f>
        <v/>
      </c>
      <c r="D111">
        <f>SUMIFS(STOCK_MOVEMENTS!E:E,STOCK_MOVEMENTS!B:B,A111,STOCK_MOVEMENTS!D:D,"OUT")</f>
        <v/>
      </c>
      <c r="E111">
        <f>C111-D111</f>
        <v/>
      </c>
      <c r="F111">
        <f>IFERROR(VLOOKUP(A111,ITEMS_MASTER!A:E,5,FALSE),"")</f>
        <v/>
      </c>
      <c r="G111">
        <f>IF(E111=0,"RUPTURE",IF(E111&lt;=F111,"ALERTE","OK"))</f>
        <v/>
      </c>
    </row>
    <row r="112">
      <c r="B112">
        <f>IFERROR(VLOOKUP(A112,ITEMS_MASTER!A:B,2,FALSE),"")</f>
        <v/>
      </c>
      <c r="C112">
        <f>SUMIFS(STOCK_MOVEMENTS!E:E,STOCK_MOVEMENTS!B:B,A112,STOCK_MOVEMENTS!D:D,"IN")</f>
        <v/>
      </c>
      <c r="D112">
        <f>SUMIFS(STOCK_MOVEMENTS!E:E,STOCK_MOVEMENTS!B:B,A112,STOCK_MOVEMENTS!D:D,"OUT")</f>
        <v/>
      </c>
      <c r="E112">
        <f>C112-D112</f>
        <v/>
      </c>
      <c r="F112">
        <f>IFERROR(VLOOKUP(A112,ITEMS_MASTER!A:E,5,FALSE),"")</f>
        <v/>
      </c>
      <c r="G112">
        <f>IF(E112=0,"RUPTURE",IF(E112&lt;=F112,"ALERTE","OK"))</f>
        <v/>
      </c>
    </row>
    <row r="113">
      <c r="B113">
        <f>IFERROR(VLOOKUP(A113,ITEMS_MASTER!A:B,2,FALSE),"")</f>
        <v/>
      </c>
      <c r="C113">
        <f>SUMIFS(STOCK_MOVEMENTS!E:E,STOCK_MOVEMENTS!B:B,A113,STOCK_MOVEMENTS!D:D,"IN")</f>
        <v/>
      </c>
      <c r="D113">
        <f>SUMIFS(STOCK_MOVEMENTS!E:E,STOCK_MOVEMENTS!B:B,A113,STOCK_MOVEMENTS!D:D,"OUT")</f>
        <v/>
      </c>
      <c r="E113">
        <f>C113-D113</f>
        <v/>
      </c>
      <c r="F113">
        <f>IFERROR(VLOOKUP(A113,ITEMS_MASTER!A:E,5,FALSE),"")</f>
        <v/>
      </c>
      <c r="G113">
        <f>IF(E113=0,"RUPTURE",IF(E113&lt;=F113,"ALERTE","OK"))</f>
        <v/>
      </c>
    </row>
    <row r="114">
      <c r="B114">
        <f>IFERROR(VLOOKUP(A114,ITEMS_MASTER!A:B,2,FALSE),"")</f>
        <v/>
      </c>
      <c r="C114">
        <f>SUMIFS(STOCK_MOVEMENTS!E:E,STOCK_MOVEMENTS!B:B,A114,STOCK_MOVEMENTS!D:D,"IN")</f>
        <v/>
      </c>
      <c r="D114">
        <f>SUMIFS(STOCK_MOVEMENTS!E:E,STOCK_MOVEMENTS!B:B,A114,STOCK_MOVEMENTS!D:D,"OUT")</f>
        <v/>
      </c>
      <c r="E114">
        <f>C114-D114</f>
        <v/>
      </c>
      <c r="F114">
        <f>IFERROR(VLOOKUP(A114,ITEMS_MASTER!A:E,5,FALSE),"")</f>
        <v/>
      </c>
      <c r="G114">
        <f>IF(E114=0,"RUPTURE",IF(E114&lt;=F114,"ALERTE","OK"))</f>
        <v/>
      </c>
    </row>
    <row r="115">
      <c r="B115">
        <f>IFERROR(VLOOKUP(A115,ITEMS_MASTER!A:B,2,FALSE),"")</f>
        <v/>
      </c>
      <c r="C115">
        <f>SUMIFS(STOCK_MOVEMENTS!E:E,STOCK_MOVEMENTS!B:B,A115,STOCK_MOVEMENTS!D:D,"IN")</f>
        <v/>
      </c>
      <c r="D115">
        <f>SUMIFS(STOCK_MOVEMENTS!E:E,STOCK_MOVEMENTS!B:B,A115,STOCK_MOVEMENTS!D:D,"OUT")</f>
        <v/>
      </c>
      <c r="E115">
        <f>C115-D115</f>
        <v/>
      </c>
      <c r="F115">
        <f>IFERROR(VLOOKUP(A115,ITEMS_MASTER!A:E,5,FALSE),"")</f>
        <v/>
      </c>
      <c r="G115">
        <f>IF(E115=0,"RUPTURE",IF(E115&lt;=F115,"ALERTE","OK"))</f>
        <v/>
      </c>
    </row>
    <row r="116">
      <c r="B116">
        <f>IFERROR(VLOOKUP(A116,ITEMS_MASTER!A:B,2,FALSE),"")</f>
        <v/>
      </c>
      <c r="C116">
        <f>SUMIFS(STOCK_MOVEMENTS!E:E,STOCK_MOVEMENTS!B:B,A116,STOCK_MOVEMENTS!D:D,"IN")</f>
        <v/>
      </c>
      <c r="D116">
        <f>SUMIFS(STOCK_MOVEMENTS!E:E,STOCK_MOVEMENTS!B:B,A116,STOCK_MOVEMENTS!D:D,"OUT")</f>
        <v/>
      </c>
      <c r="E116">
        <f>C116-D116</f>
        <v/>
      </c>
      <c r="F116">
        <f>IFERROR(VLOOKUP(A116,ITEMS_MASTER!A:E,5,FALSE),"")</f>
        <v/>
      </c>
      <c r="G116">
        <f>IF(E116=0,"RUPTURE",IF(E116&lt;=F116,"ALERTE","OK"))</f>
        <v/>
      </c>
    </row>
    <row r="117">
      <c r="B117">
        <f>IFERROR(VLOOKUP(A117,ITEMS_MASTER!A:B,2,FALSE),"")</f>
        <v/>
      </c>
      <c r="C117">
        <f>SUMIFS(STOCK_MOVEMENTS!E:E,STOCK_MOVEMENTS!B:B,A117,STOCK_MOVEMENTS!D:D,"IN")</f>
        <v/>
      </c>
      <c r="D117">
        <f>SUMIFS(STOCK_MOVEMENTS!E:E,STOCK_MOVEMENTS!B:B,A117,STOCK_MOVEMENTS!D:D,"OUT")</f>
        <v/>
      </c>
      <c r="E117">
        <f>C117-D117</f>
        <v/>
      </c>
      <c r="F117">
        <f>IFERROR(VLOOKUP(A117,ITEMS_MASTER!A:E,5,FALSE),"")</f>
        <v/>
      </c>
      <c r="G117">
        <f>IF(E117=0,"RUPTURE",IF(E117&lt;=F117,"ALERTE","OK"))</f>
        <v/>
      </c>
    </row>
    <row r="118">
      <c r="B118">
        <f>IFERROR(VLOOKUP(A118,ITEMS_MASTER!A:B,2,FALSE),"")</f>
        <v/>
      </c>
      <c r="C118">
        <f>SUMIFS(STOCK_MOVEMENTS!E:E,STOCK_MOVEMENTS!B:B,A118,STOCK_MOVEMENTS!D:D,"IN")</f>
        <v/>
      </c>
      <c r="D118">
        <f>SUMIFS(STOCK_MOVEMENTS!E:E,STOCK_MOVEMENTS!B:B,A118,STOCK_MOVEMENTS!D:D,"OUT")</f>
        <v/>
      </c>
      <c r="E118">
        <f>C118-D118</f>
        <v/>
      </c>
      <c r="F118">
        <f>IFERROR(VLOOKUP(A118,ITEMS_MASTER!A:E,5,FALSE),"")</f>
        <v/>
      </c>
      <c r="G118">
        <f>IF(E118=0,"RUPTURE",IF(E118&lt;=F118,"ALERTE","OK"))</f>
        <v/>
      </c>
    </row>
    <row r="119">
      <c r="B119">
        <f>IFERROR(VLOOKUP(A119,ITEMS_MASTER!A:B,2,FALSE),"")</f>
        <v/>
      </c>
      <c r="C119">
        <f>SUMIFS(STOCK_MOVEMENTS!E:E,STOCK_MOVEMENTS!B:B,A119,STOCK_MOVEMENTS!D:D,"IN")</f>
        <v/>
      </c>
      <c r="D119">
        <f>SUMIFS(STOCK_MOVEMENTS!E:E,STOCK_MOVEMENTS!B:B,A119,STOCK_MOVEMENTS!D:D,"OUT")</f>
        <v/>
      </c>
      <c r="E119">
        <f>C119-D119</f>
        <v/>
      </c>
      <c r="F119">
        <f>IFERROR(VLOOKUP(A119,ITEMS_MASTER!A:E,5,FALSE),"")</f>
        <v/>
      </c>
      <c r="G119">
        <f>IF(E119=0,"RUPTURE",IF(E119&lt;=F119,"ALERTE","OK"))</f>
        <v/>
      </c>
    </row>
    <row r="120">
      <c r="B120">
        <f>IFERROR(VLOOKUP(A120,ITEMS_MASTER!A:B,2,FALSE),"")</f>
        <v/>
      </c>
      <c r="C120">
        <f>SUMIFS(STOCK_MOVEMENTS!E:E,STOCK_MOVEMENTS!B:B,A120,STOCK_MOVEMENTS!D:D,"IN")</f>
        <v/>
      </c>
      <c r="D120">
        <f>SUMIFS(STOCK_MOVEMENTS!E:E,STOCK_MOVEMENTS!B:B,A120,STOCK_MOVEMENTS!D:D,"OUT")</f>
        <v/>
      </c>
      <c r="E120">
        <f>C120-D120</f>
        <v/>
      </c>
      <c r="F120">
        <f>IFERROR(VLOOKUP(A120,ITEMS_MASTER!A:E,5,FALSE),"")</f>
        <v/>
      </c>
      <c r="G120">
        <f>IF(E120=0,"RUPTURE",IF(E120&lt;=F120,"ALERTE","OK"))</f>
        <v/>
      </c>
    </row>
    <row r="121">
      <c r="B121">
        <f>IFERROR(VLOOKUP(A121,ITEMS_MASTER!A:B,2,FALSE),"")</f>
        <v/>
      </c>
      <c r="C121">
        <f>SUMIFS(STOCK_MOVEMENTS!E:E,STOCK_MOVEMENTS!B:B,A121,STOCK_MOVEMENTS!D:D,"IN")</f>
        <v/>
      </c>
      <c r="D121">
        <f>SUMIFS(STOCK_MOVEMENTS!E:E,STOCK_MOVEMENTS!B:B,A121,STOCK_MOVEMENTS!D:D,"OUT")</f>
        <v/>
      </c>
      <c r="E121">
        <f>C121-D121</f>
        <v/>
      </c>
      <c r="F121">
        <f>IFERROR(VLOOKUP(A121,ITEMS_MASTER!A:E,5,FALSE),"")</f>
        <v/>
      </c>
      <c r="G121">
        <f>IF(E121=0,"RUPTURE",IF(E121&lt;=F121,"ALERTE","OK"))</f>
        <v/>
      </c>
    </row>
    <row r="122">
      <c r="B122">
        <f>IFERROR(VLOOKUP(A122,ITEMS_MASTER!A:B,2,FALSE),"")</f>
        <v/>
      </c>
      <c r="C122">
        <f>SUMIFS(STOCK_MOVEMENTS!E:E,STOCK_MOVEMENTS!B:B,A122,STOCK_MOVEMENTS!D:D,"IN")</f>
        <v/>
      </c>
      <c r="D122">
        <f>SUMIFS(STOCK_MOVEMENTS!E:E,STOCK_MOVEMENTS!B:B,A122,STOCK_MOVEMENTS!D:D,"OUT")</f>
        <v/>
      </c>
      <c r="E122">
        <f>C122-D122</f>
        <v/>
      </c>
      <c r="F122">
        <f>IFERROR(VLOOKUP(A122,ITEMS_MASTER!A:E,5,FALSE),"")</f>
        <v/>
      </c>
      <c r="G122">
        <f>IF(E122=0,"RUPTURE",IF(E122&lt;=F122,"ALERTE","OK"))</f>
        <v/>
      </c>
    </row>
    <row r="123">
      <c r="B123">
        <f>IFERROR(VLOOKUP(A123,ITEMS_MASTER!A:B,2,FALSE),"")</f>
        <v/>
      </c>
      <c r="C123">
        <f>SUMIFS(STOCK_MOVEMENTS!E:E,STOCK_MOVEMENTS!B:B,A123,STOCK_MOVEMENTS!D:D,"IN")</f>
        <v/>
      </c>
      <c r="D123">
        <f>SUMIFS(STOCK_MOVEMENTS!E:E,STOCK_MOVEMENTS!B:B,A123,STOCK_MOVEMENTS!D:D,"OUT")</f>
        <v/>
      </c>
      <c r="E123">
        <f>C123-D123</f>
        <v/>
      </c>
      <c r="F123">
        <f>IFERROR(VLOOKUP(A123,ITEMS_MASTER!A:E,5,FALSE),"")</f>
        <v/>
      </c>
      <c r="G123">
        <f>IF(E123=0,"RUPTURE",IF(E123&lt;=F123,"ALERTE","OK"))</f>
        <v/>
      </c>
    </row>
    <row r="124">
      <c r="B124">
        <f>IFERROR(VLOOKUP(A124,ITEMS_MASTER!A:B,2,FALSE),"")</f>
        <v/>
      </c>
      <c r="C124">
        <f>SUMIFS(STOCK_MOVEMENTS!E:E,STOCK_MOVEMENTS!B:B,A124,STOCK_MOVEMENTS!D:D,"IN")</f>
        <v/>
      </c>
      <c r="D124">
        <f>SUMIFS(STOCK_MOVEMENTS!E:E,STOCK_MOVEMENTS!B:B,A124,STOCK_MOVEMENTS!D:D,"OUT")</f>
        <v/>
      </c>
      <c r="E124">
        <f>C124-D124</f>
        <v/>
      </c>
      <c r="F124">
        <f>IFERROR(VLOOKUP(A124,ITEMS_MASTER!A:E,5,FALSE),"")</f>
        <v/>
      </c>
      <c r="G124">
        <f>IF(E124=0,"RUPTURE",IF(E124&lt;=F124,"ALERTE","OK"))</f>
        <v/>
      </c>
    </row>
    <row r="125">
      <c r="B125">
        <f>IFERROR(VLOOKUP(A125,ITEMS_MASTER!A:B,2,FALSE),"")</f>
        <v/>
      </c>
      <c r="C125">
        <f>SUMIFS(STOCK_MOVEMENTS!E:E,STOCK_MOVEMENTS!B:B,A125,STOCK_MOVEMENTS!D:D,"IN")</f>
        <v/>
      </c>
      <c r="D125">
        <f>SUMIFS(STOCK_MOVEMENTS!E:E,STOCK_MOVEMENTS!B:B,A125,STOCK_MOVEMENTS!D:D,"OUT")</f>
        <v/>
      </c>
      <c r="E125">
        <f>C125-D125</f>
        <v/>
      </c>
      <c r="F125">
        <f>IFERROR(VLOOKUP(A125,ITEMS_MASTER!A:E,5,FALSE),"")</f>
        <v/>
      </c>
      <c r="G125">
        <f>IF(E125=0,"RUPTURE",IF(E125&lt;=F125,"ALERTE","OK"))</f>
        <v/>
      </c>
    </row>
    <row r="126">
      <c r="B126">
        <f>IFERROR(VLOOKUP(A126,ITEMS_MASTER!A:B,2,FALSE),"")</f>
        <v/>
      </c>
      <c r="C126">
        <f>SUMIFS(STOCK_MOVEMENTS!E:E,STOCK_MOVEMENTS!B:B,A126,STOCK_MOVEMENTS!D:D,"IN")</f>
        <v/>
      </c>
      <c r="D126">
        <f>SUMIFS(STOCK_MOVEMENTS!E:E,STOCK_MOVEMENTS!B:B,A126,STOCK_MOVEMENTS!D:D,"OUT")</f>
        <v/>
      </c>
      <c r="E126">
        <f>C126-D126</f>
        <v/>
      </c>
      <c r="F126">
        <f>IFERROR(VLOOKUP(A126,ITEMS_MASTER!A:E,5,FALSE),"")</f>
        <v/>
      </c>
      <c r="G126">
        <f>IF(E126=0,"RUPTURE",IF(E126&lt;=F126,"ALERTE","OK"))</f>
        <v/>
      </c>
    </row>
    <row r="127">
      <c r="B127">
        <f>IFERROR(VLOOKUP(A127,ITEMS_MASTER!A:B,2,FALSE),"")</f>
        <v/>
      </c>
      <c r="C127">
        <f>SUMIFS(STOCK_MOVEMENTS!E:E,STOCK_MOVEMENTS!B:B,A127,STOCK_MOVEMENTS!D:D,"IN")</f>
        <v/>
      </c>
      <c r="D127">
        <f>SUMIFS(STOCK_MOVEMENTS!E:E,STOCK_MOVEMENTS!B:B,A127,STOCK_MOVEMENTS!D:D,"OUT")</f>
        <v/>
      </c>
      <c r="E127">
        <f>C127-D127</f>
        <v/>
      </c>
      <c r="F127">
        <f>IFERROR(VLOOKUP(A127,ITEMS_MASTER!A:E,5,FALSE),"")</f>
        <v/>
      </c>
      <c r="G127">
        <f>IF(E127=0,"RUPTURE",IF(E127&lt;=F127,"ALERTE","OK"))</f>
        <v/>
      </c>
    </row>
    <row r="128">
      <c r="B128">
        <f>IFERROR(VLOOKUP(A128,ITEMS_MASTER!A:B,2,FALSE),"")</f>
        <v/>
      </c>
      <c r="C128">
        <f>SUMIFS(STOCK_MOVEMENTS!E:E,STOCK_MOVEMENTS!B:B,A128,STOCK_MOVEMENTS!D:D,"IN")</f>
        <v/>
      </c>
      <c r="D128">
        <f>SUMIFS(STOCK_MOVEMENTS!E:E,STOCK_MOVEMENTS!B:B,A128,STOCK_MOVEMENTS!D:D,"OUT")</f>
        <v/>
      </c>
      <c r="E128">
        <f>C128-D128</f>
        <v/>
      </c>
      <c r="F128">
        <f>IFERROR(VLOOKUP(A128,ITEMS_MASTER!A:E,5,FALSE),"")</f>
        <v/>
      </c>
      <c r="G128">
        <f>IF(E128=0,"RUPTURE",IF(E128&lt;=F128,"ALERTE","OK"))</f>
        <v/>
      </c>
    </row>
    <row r="129">
      <c r="B129">
        <f>IFERROR(VLOOKUP(A129,ITEMS_MASTER!A:B,2,FALSE),"")</f>
        <v/>
      </c>
      <c r="C129">
        <f>SUMIFS(STOCK_MOVEMENTS!E:E,STOCK_MOVEMENTS!B:B,A129,STOCK_MOVEMENTS!D:D,"IN")</f>
        <v/>
      </c>
      <c r="D129">
        <f>SUMIFS(STOCK_MOVEMENTS!E:E,STOCK_MOVEMENTS!B:B,A129,STOCK_MOVEMENTS!D:D,"OUT")</f>
        <v/>
      </c>
      <c r="E129">
        <f>C129-D129</f>
        <v/>
      </c>
      <c r="F129">
        <f>IFERROR(VLOOKUP(A129,ITEMS_MASTER!A:E,5,FALSE),"")</f>
        <v/>
      </c>
      <c r="G129">
        <f>IF(E129=0,"RUPTURE",IF(E129&lt;=F129,"ALERTE","OK"))</f>
        <v/>
      </c>
    </row>
    <row r="130">
      <c r="B130">
        <f>IFERROR(VLOOKUP(A130,ITEMS_MASTER!A:B,2,FALSE),"")</f>
        <v/>
      </c>
      <c r="C130">
        <f>SUMIFS(STOCK_MOVEMENTS!E:E,STOCK_MOVEMENTS!B:B,A130,STOCK_MOVEMENTS!D:D,"IN")</f>
        <v/>
      </c>
      <c r="D130">
        <f>SUMIFS(STOCK_MOVEMENTS!E:E,STOCK_MOVEMENTS!B:B,A130,STOCK_MOVEMENTS!D:D,"OUT")</f>
        <v/>
      </c>
      <c r="E130">
        <f>C130-D130</f>
        <v/>
      </c>
      <c r="F130">
        <f>IFERROR(VLOOKUP(A130,ITEMS_MASTER!A:E,5,FALSE),"")</f>
        <v/>
      </c>
      <c r="G130">
        <f>IF(E130=0,"RUPTURE",IF(E130&lt;=F130,"ALERTE","OK"))</f>
        <v/>
      </c>
    </row>
    <row r="131">
      <c r="B131">
        <f>IFERROR(VLOOKUP(A131,ITEMS_MASTER!A:B,2,FALSE),"")</f>
        <v/>
      </c>
      <c r="C131">
        <f>SUMIFS(STOCK_MOVEMENTS!E:E,STOCK_MOVEMENTS!B:B,A131,STOCK_MOVEMENTS!D:D,"IN")</f>
        <v/>
      </c>
      <c r="D131">
        <f>SUMIFS(STOCK_MOVEMENTS!E:E,STOCK_MOVEMENTS!B:B,A131,STOCK_MOVEMENTS!D:D,"OUT")</f>
        <v/>
      </c>
      <c r="E131">
        <f>C131-D131</f>
        <v/>
      </c>
      <c r="F131">
        <f>IFERROR(VLOOKUP(A131,ITEMS_MASTER!A:E,5,FALSE),"")</f>
        <v/>
      </c>
      <c r="G131">
        <f>IF(E131=0,"RUPTURE",IF(E131&lt;=F131,"ALERTE","OK"))</f>
        <v/>
      </c>
    </row>
    <row r="132">
      <c r="B132">
        <f>IFERROR(VLOOKUP(A132,ITEMS_MASTER!A:B,2,FALSE),"")</f>
        <v/>
      </c>
      <c r="C132">
        <f>SUMIFS(STOCK_MOVEMENTS!E:E,STOCK_MOVEMENTS!B:B,A132,STOCK_MOVEMENTS!D:D,"IN")</f>
        <v/>
      </c>
      <c r="D132">
        <f>SUMIFS(STOCK_MOVEMENTS!E:E,STOCK_MOVEMENTS!B:B,A132,STOCK_MOVEMENTS!D:D,"OUT")</f>
        <v/>
      </c>
      <c r="E132">
        <f>C132-D132</f>
        <v/>
      </c>
      <c r="F132">
        <f>IFERROR(VLOOKUP(A132,ITEMS_MASTER!A:E,5,FALSE),"")</f>
        <v/>
      </c>
      <c r="G132">
        <f>IF(E132=0,"RUPTURE",IF(E132&lt;=F132,"ALERTE","OK"))</f>
        <v/>
      </c>
    </row>
    <row r="133">
      <c r="B133">
        <f>IFERROR(VLOOKUP(A133,ITEMS_MASTER!A:B,2,FALSE),"")</f>
        <v/>
      </c>
      <c r="C133">
        <f>SUMIFS(STOCK_MOVEMENTS!E:E,STOCK_MOVEMENTS!B:B,A133,STOCK_MOVEMENTS!D:D,"IN")</f>
        <v/>
      </c>
      <c r="D133">
        <f>SUMIFS(STOCK_MOVEMENTS!E:E,STOCK_MOVEMENTS!B:B,A133,STOCK_MOVEMENTS!D:D,"OUT")</f>
        <v/>
      </c>
      <c r="E133">
        <f>C133-D133</f>
        <v/>
      </c>
      <c r="F133">
        <f>IFERROR(VLOOKUP(A133,ITEMS_MASTER!A:E,5,FALSE),"")</f>
        <v/>
      </c>
      <c r="G133">
        <f>IF(E133=0,"RUPTURE",IF(E133&lt;=F133,"ALERTE","OK"))</f>
        <v/>
      </c>
    </row>
    <row r="134">
      <c r="B134">
        <f>IFERROR(VLOOKUP(A134,ITEMS_MASTER!A:B,2,FALSE),"")</f>
        <v/>
      </c>
      <c r="C134">
        <f>SUMIFS(STOCK_MOVEMENTS!E:E,STOCK_MOVEMENTS!B:B,A134,STOCK_MOVEMENTS!D:D,"IN")</f>
        <v/>
      </c>
      <c r="D134">
        <f>SUMIFS(STOCK_MOVEMENTS!E:E,STOCK_MOVEMENTS!B:B,A134,STOCK_MOVEMENTS!D:D,"OUT")</f>
        <v/>
      </c>
      <c r="E134">
        <f>C134-D134</f>
        <v/>
      </c>
      <c r="F134">
        <f>IFERROR(VLOOKUP(A134,ITEMS_MASTER!A:E,5,FALSE),"")</f>
        <v/>
      </c>
      <c r="G134">
        <f>IF(E134=0,"RUPTURE",IF(E134&lt;=F134,"ALERTE","OK"))</f>
        <v/>
      </c>
    </row>
    <row r="135">
      <c r="B135">
        <f>IFERROR(VLOOKUP(A135,ITEMS_MASTER!A:B,2,FALSE),"")</f>
        <v/>
      </c>
      <c r="C135">
        <f>SUMIFS(STOCK_MOVEMENTS!E:E,STOCK_MOVEMENTS!B:B,A135,STOCK_MOVEMENTS!D:D,"IN")</f>
        <v/>
      </c>
      <c r="D135">
        <f>SUMIFS(STOCK_MOVEMENTS!E:E,STOCK_MOVEMENTS!B:B,A135,STOCK_MOVEMENTS!D:D,"OUT")</f>
        <v/>
      </c>
      <c r="E135">
        <f>C135-D135</f>
        <v/>
      </c>
      <c r="F135">
        <f>IFERROR(VLOOKUP(A135,ITEMS_MASTER!A:E,5,FALSE),"")</f>
        <v/>
      </c>
      <c r="G135">
        <f>IF(E135=0,"RUPTURE",IF(E135&lt;=F135,"ALERTE","OK"))</f>
        <v/>
      </c>
    </row>
    <row r="136">
      <c r="B136">
        <f>IFERROR(VLOOKUP(A136,ITEMS_MASTER!A:B,2,FALSE),"")</f>
        <v/>
      </c>
      <c r="C136">
        <f>SUMIFS(STOCK_MOVEMENTS!E:E,STOCK_MOVEMENTS!B:B,A136,STOCK_MOVEMENTS!D:D,"IN")</f>
        <v/>
      </c>
      <c r="D136">
        <f>SUMIFS(STOCK_MOVEMENTS!E:E,STOCK_MOVEMENTS!B:B,A136,STOCK_MOVEMENTS!D:D,"OUT")</f>
        <v/>
      </c>
      <c r="E136">
        <f>C136-D136</f>
        <v/>
      </c>
      <c r="F136">
        <f>IFERROR(VLOOKUP(A136,ITEMS_MASTER!A:E,5,FALSE),"")</f>
        <v/>
      </c>
      <c r="G136">
        <f>IF(E136=0,"RUPTURE",IF(E136&lt;=F136,"ALERTE","OK"))</f>
        <v/>
      </c>
    </row>
    <row r="137">
      <c r="B137">
        <f>IFERROR(VLOOKUP(A137,ITEMS_MASTER!A:B,2,FALSE),"")</f>
        <v/>
      </c>
      <c r="C137">
        <f>SUMIFS(STOCK_MOVEMENTS!E:E,STOCK_MOVEMENTS!B:B,A137,STOCK_MOVEMENTS!D:D,"IN")</f>
        <v/>
      </c>
      <c r="D137">
        <f>SUMIFS(STOCK_MOVEMENTS!E:E,STOCK_MOVEMENTS!B:B,A137,STOCK_MOVEMENTS!D:D,"OUT")</f>
        <v/>
      </c>
      <c r="E137">
        <f>C137-D137</f>
        <v/>
      </c>
      <c r="F137">
        <f>IFERROR(VLOOKUP(A137,ITEMS_MASTER!A:E,5,FALSE),"")</f>
        <v/>
      </c>
      <c r="G137">
        <f>IF(E137=0,"RUPTURE",IF(E137&lt;=F137,"ALERTE","OK"))</f>
        <v/>
      </c>
    </row>
    <row r="138">
      <c r="B138">
        <f>IFERROR(VLOOKUP(A138,ITEMS_MASTER!A:B,2,FALSE),"")</f>
        <v/>
      </c>
      <c r="C138">
        <f>SUMIFS(STOCK_MOVEMENTS!E:E,STOCK_MOVEMENTS!B:B,A138,STOCK_MOVEMENTS!D:D,"IN")</f>
        <v/>
      </c>
      <c r="D138">
        <f>SUMIFS(STOCK_MOVEMENTS!E:E,STOCK_MOVEMENTS!B:B,A138,STOCK_MOVEMENTS!D:D,"OUT")</f>
        <v/>
      </c>
      <c r="E138">
        <f>C138-D138</f>
        <v/>
      </c>
      <c r="F138">
        <f>IFERROR(VLOOKUP(A138,ITEMS_MASTER!A:E,5,FALSE),"")</f>
        <v/>
      </c>
      <c r="G138">
        <f>IF(E138=0,"RUPTURE",IF(E138&lt;=F138,"ALERTE","OK"))</f>
        <v/>
      </c>
    </row>
    <row r="139">
      <c r="B139">
        <f>IFERROR(VLOOKUP(A139,ITEMS_MASTER!A:B,2,FALSE),"")</f>
        <v/>
      </c>
      <c r="C139">
        <f>SUMIFS(STOCK_MOVEMENTS!E:E,STOCK_MOVEMENTS!B:B,A139,STOCK_MOVEMENTS!D:D,"IN")</f>
        <v/>
      </c>
      <c r="D139">
        <f>SUMIFS(STOCK_MOVEMENTS!E:E,STOCK_MOVEMENTS!B:B,A139,STOCK_MOVEMENTS!D:D,"OUT")</f>
        <v/>
      </c>
      <c r="E139">
        <f>C139-D139</f>
        <v/>
      </c>
      <c r="F139">
        <f>IFERROR(VLOOKUP(A139,ITEMS_MASTER!A:E,5,FALSE),"")</f>
        <v/>
      </c>
      <c r="G139">
        <f>IF(E139=0,"RUPTURE",IF(E139&lt;=F139,"ALERTE","OK"))</f>
        <v/>
      </c>
    </row>
    <row r="140">
      <c r="B140">
        <f>IFERROR(VLOOKUP(A140,ITEMS_MASTER!A:B,2,FALSE),"")</f>
        <v/>
      </c>
      <c r="C140">
        <f>SUMIFS(STOCK_MOVEMENTS!E:E,STOCK_MOVEMENTS!B:B,A140,STOCK_MOVEMENTS!D:D,"IN")</f>
        <v/>
      </c>
      <c r="D140">
        <f>SUMIFS(STOCK_MOVEMENTS!E:E,STOCK_MOVEMENTS!B:B,A140,STOCK_MOVEMENTS!D:D,"OUT")</f>
        <v/>
      </c>
      <c r="E140">
        <f>C140-D140</f>
        <v/>
      </c>
      <c r="F140">
        <f>IFERROR(VLOOKUP(A140,ITEMS_MASTER!A:E,5,FALSE),"")</f>
        <v/>
      </c>
      <c r="G140">
        <f>IF(E140=0,"RUPTURE",IF(E140&lt;=F140,"ALERTE","OK"))</f>
        <v/>
      </c>
    </row>
    <row r="141">
      <c r="B141">
        <f>IFERROR(VLOOKUP(A141,ITEMS_MASTER!A:B,2,FALSE),"")</f>
        <v/>
      </c>
      <c r="C141">
        <f>SUMIFS(STOCK_MOVEMENTS!E:E,STOCK_MOVEMENTS!B:B,A141,STOCK_MOVEMENTS!D:D,"IN")</f>
        <v/>
      </c>
      <c r="D141">
        <f>SUMIFS(STOCK_MOVEMENTS!E:E,STOCK_MOVEMENTS!B:B,A141,STOCK_MOVEMENTS!D:D,"OUT")</f>
        <v/>
      </c>
      <c r="E141">
        <f>C141-D141</f>
        <v/>
      </c>
      <c r="F141">
        <f>IFERROR(VLOOKUP(A141,ITEMS_MASTER!A:E,5,FALSE),"")</f>
        <v/>
      </c>
      <c r="G141">
        <f>IF(E141=0,"RUPTURE",IF(E141&lt;=F141,"ALERTE","OK"))</f>
        <v/>
      </c>
    </row>
    <row r="142">
      <c r="B142">
        <f>IFERROR(VLOOKUP(A142,ITEMS_MASTER!A:B,2,FALSE),"")</f>
        <v/>
      </c>
      <c r="C142">
        <f>SUMIFS(STOCK_MOVEMENTS!E:E,STOCK_MOVEMENTS!B:B,A142,STOCK_MOVEMENTS!D:D,"IN")</f>
        <v/>
      </c>
      <c r="D142">
        <f>SUMIFS(STOCK_MOVEMENTS!E:E,STOCK_MOVEMENTS!B:B,A142,STOCK_MOVEMENTS!D:D,"OUT")</f>
        <v/>
      </c>
      <c r="E142">
        <f>C142-D142</f>
        <v/>
      </c>
      <c r="F142">
        <f>IFERROR(VLOOKUP(A142,ITEMS_MASTER!A:E,5,FALSE),"")</f>
        <v/>
      </c>
      <c r="G142">
        <f>IF(E142=0,"RUPTURE",IF(E142&lt;=F142,"ALERTE","OK"))</f>
        <v/>
      </c>
    </row>
    <row r="143">
      <c r="B143">
        <f>IFERROR(VLOOKUP(A143,ITEMS_MASTER!A:B,2,FALSE),"")</f>
        <v/>
      </c>
      <c r="C143">
        <f>SUMIFS(STOCK_MOVEMENTS!E:E,STOCK_MOVEMENTS!B:B,A143,STOCK_MOVEMENTS!D:D,"IN")</f>
        <v/>
      </c>
      <c r="D143">
        <f>SUMIFS(STOCK_MOVEMENTS!E:E,STOCK_MOVEMENTS!B:B,A143,STOCK_MOVEMENTS!D:D,"OUT")</f>
        <v/>
      </c>
      <c r="E143">
        <f>C143-D143</f>
        <v/>
      </c>
      <c r="F143">
        <f>IFERROR(VLOOKUP(A143,ITEMS_MASTER!A:E,5,FALSE),"")</f>
        <v/>
      </c>
      <c r="G143">
        <f>IF(E143=0,"RUPTURE",IF(E143&lt;=F143,"ALERTE","OK"))</f>
        <v/>
      </c>
    </row>
    <row r="144">
      <c r="B144">
        <f>IFERROR(VLOOKUP(A144,ITEMS_MASTER!A:B,2,FALSE),"")</f>
        <v/>
      </c>
      <c r="C144">
        <f>SUMIFS(STOCK_MOVEMENTS!E:E,STOCK_MOVEMENTS!B:B,A144,STOCK_MOVEMENTS!D:D,"IN")</f>
        <v/>
      </c>
      <c r="D144">
        <f>SUMIFS(STOCK_MOVEMENTS!E:E,STOCK_MOVEMENTS!B:B,A144,STOCK_MOVEMENTS!D:D,"OUT")</f>
        <v/>
      </c>
      <c r="E144">
        <f>C144-D144</f>
        <v/>
      </c>
      <c r="F144">
        <f>IFERROR(VLOOKUP(A144,ITEMS_MASTER!A:E,5,FALSE),"")</f>
        <v/>
      </c>
      <c r="G144">
        <f>IF(E144=0,"RUPTURE",IF(E144&lt;=F144,"ALERTE","OK"))</f>
        <v/>
      </c>
    </row>
    <row r="145">
      <c r="B145">
        <f>IFERROR(VLOOKUP(A145,ITEMS_MASTER!A:B,2,FALSE),"")</f>
        <v/>
      </c>
      <c r="C145">
        <f>SUMIFS(STOCK_MOVEMENTS!E:E,STOCK_MOVEMENTS!B:B,A145,STOCK_MOVEMENTS!D:D,"IN")</f>
        <v/>
      </c>
      <c r="D145">
        <f>SUMIFS(STOCK_MOVEMENTS!E:E,STOCK_MOVEMENTS!B:B,A145,STOCK_MOVEMENTS!D:D,"OUT")</f>
        <v/>
      </c>
      <c r="E145">
        <f>C145-D145</f>
        <v/>
      </c>
      <c r="F145">
        <f>IFERROR(VLOOKUP(A145,ITEMS_MASTER!A:E,5,FALSE),"")</f>
        <v/>
      </c>
      <c r="G145">
        <f>IF(E145=0,"RUPTURE",IF(E145&lt;=F145,"ALERTE","OK"))</f>
        <v/>
      </c>
    </row>
    <row r="146">
      <c r="B146">
        <f>IFERROR(VLOOKUP(A146,ITEMS_MASTER!A:B,2,FALSE),"")</f>
        <v/>
      </c>
      <c r="C146">
        <f>SUMIFS(STOCK_MOVEMENTS!E:E,STOCK_MOVEMENTS!B:B,A146,STOCK_MOVEMENTS!D:D,"IN")</f>
        <v/>
      </c>
      <c r="D146">
        <f>SUMIFS(STOCK_MOVEMENTS!E:E,STOCK_MOVEMENTS!B:B,A146,STOCK_MOVEMENTS!D:D,"OUT")</f>
        <v/>
      </c>
      <c r="E146">
        <f>C146-D146</f>
        <v/>
      </c>
      <c r="F146">
        <f>IFERROR(VLOOKUP(A146,ITEMS_MASTER!A:E,5,FALSE),"")</f>
        <v/>
      </c>
      <c r="G146">
        <f>IF(E146=0,"RUPTURE",IF(E146&lt;=F146,"ALERTE","OK"))</f>
        <v/>
      </c>
    </row>
    <row r="147">
      <c r="B147">
        <f>IFERROR(VLOOKUP(A147,ITEMS_MASTER!A:B,2,FALSE),"")</f>
        <v/>
      </c>
      <c r="C147">
        <f>SUMIFS(STOCK_MOVEMENTS!E:E,STOCK_MOVEMENTS!B:B,A147,STOCK_MOVEMENTS!D:D,"IN")</f>
        <v/>
      </c>
      <c r="D147">
        <f>SUMIFS(STOCK_MOVEMENTS!E:E,STOCK_MOVEMENTS!B:B,A147,STOCK_MOVEMENTS!D:D,"OUT")</f>
        <v/>
      </c>
      <c r="E147">
        <f>C147-D147</f>
        <v/>
      </c>
      <c r="F147">
        <f>IFERROR(VLOOKUP(A147,ITEMS_MASTER!A:E,5,FALSE),"")</f>
        <v/>
      </c>
      <c r="G147">
        <f>IF(E147=0,"RUPTURE",IF(E147&lt;=F147,"ALERTE","OK"))</f>
        <v/>
      </c>
    </row>
    <row r="148">
      <c r="B148">
        <f>IFERROR(VLOOKUP(A148,ITEMS_MASTER!A:B,2,FALSE),"")</f>
        <v/>
      </c>
      <c r="C148">
        <f>SUMIFS(STOCK_MOVEMENTS!E:E,STOCK_MOVEMENTS!B:B,A148,STOCK_MOVEMENTS!D:D,"IN")</f>
        <v/>
      </c>
      <c r="D148">
        <f>SUMIFS(STOCK_MOVEMENTS!E:E,STOCK_MOVEMENTS!B:B,A148,STOCK_MOVEMENTS!D:D,"OUT")</f>
        <v/>
      </c>
      <c r="E148">
        <f>C148-D148</f>
        <v/>
      </c>
      <c r="F148">
        <f>IFERROR(VLOOKUP(A148,ITEMS_MASTER!A:E,5,FALSE),"")</f>
        <v/>
      </c>
      <c r="G148">
        <f>IF(E148=0,"RUPTURE",IF(E148&lt;=F148,"ALERTE","OK"))</f>
        <v/>
      </c>
    </row>
    <row r="149">
      <c r="B149">
        <f>IFERROR(VLOOKUP(A149,ITEMS_MASTER!A:B,2,FALSE),"")</f>
        <v/>
      </c>
      <c r="C149">
        <f>SUMIFS(STOCK_MOVEMENTS!E:E,STOCK_MOVEMENTS!B:B,A149,STOCK_MOVEMENTS!D:D,"IN")</f>
        <v/>
      </c>
      <c r="D149">
        <f>SUMIFS(STOCK_MOVEMENTS!E:E,STOCK_MOVEMENTS!B:B,A149,STOCK_MOVEMENTS!D:D,"OUT")</f>
        <v/>
      </c>
      <c r="E149">
        <f>C149-D149</f>
        <v/>
      </c>
      <c r="F149">
        <f>IFERROR(VLOOKUP(A149,ITEMS_MASTER!A:E,5,FALSE),"")</f>
        <v/>
      </c>
      <c r="G149">
        <f>IF(E149=0,"RUPTURE",IF(E149&lt;=F149,"ALERTE","OK"))</f>
        <v/>
      </c>
    </row>
    <row r="150">
      <c r="B150">
        <f>IFERROR(VLOOKUP(A150,ITEMS_MASTER!A:B,2,FALSE),"")</f>
        <v/>
      </c>
      <c r="C150">
        <f>SUMIFS(STOCK_MOVEMENTS!E:E,STOCK_MOVEMENTS!B:B,A150,STOCK_MOVEMENTS!D:D,"IN")</f>
        <v/>
      </c>
      <c r="D150">
        <f>SUMIFS(STOCK_MOVEMENTS!E:E,STOCK_MOVEMENTS!B:B,A150,STOCK_MOVEMENTS!D:D,"OUT")</f>
        <v/>
      </c>
      <c r="E150">
        <f>C150-D150</f>
        <v/>
      </c>
      <c r="F150">
        <f>IFERROR(VLOOKUP(A150,ITEMS_MASTER!A:E,5,FALSE),"")</f>
        <v/>
      </c>
      <c r="G150">
        <f>IF(E150=0,"RUPTURE",IF(E150&lt;=F150,"ALERTE","OK"))</f>
        <v/>
      </c>
    </row>
    <row r="151">
      <c r="B151">
        <f>IFERROR(VLOOKUP(A151,ITEMS_MASTER!A:B,2,FALSE),"")</f>
        <v/>
      </c>
      <c r="C151">
        <f>SUMIFS(STOCK_MOVEMENTS!E:E,STOCK_MOVEMENTS!B:B,A151,STOCK_MOVEMENTS!D:D,"IN")</f>
        <v/>
      </c>
      <c r="D151">
        <f>SUMIFS(STOCK_MOVEMENTS!E:E,STOCK_MOVEMENTS!B:B,A151,STOCK_MOVEMENTS!D:D,"OUT")</f>
        <v/>
      </c>
      <c r="E151">
        <f>C151-D151</f>
        <v/>
      </c>
      <c r="F151">
        <f>IFERROR(VLOOKUP(A151,ITEMS_MASTER!A:E,5,FALSE),"")</f>
        <v/>
      </c>
      <c r="G151">
        <f>IF(E151=0,"RUPTURE",IF(E151&lt;=F151,"ALERTE","OK"))</f>
        <v/>
      </c>
    </row>
    <row r="152">
      <c r="B152">
        <f>IFERROR(VLOOKUP(A152,ITEMS_MASTER!A:B,2,FALSE),"")</f>
        <v/>
      </c>
      <c r="C152">
        <f>SUMIFS(STOCK_MOVEMENTS!E:E,STOCK_MOVEMENTS!B:B,A152,STOCK_MOVEMENTS!D:D,"IN")</f>
        <v/>
      </c>
      <c r="D152">
        <f>SUMIFS(STOCK_MOVEMENTS!E:E,STOCK_MOVEMENTS!B:B,A152,STOCK_MOVEMENTS!D:D,"OUT")</f>
        <v/>
      </c>
      <c r="E152">
        <f>C152-D152</f>
        <v/>
      </c>
      <c r="F152">
        <f>IFERROR(VLOOKUP(A152,ITEMS_MASTER!A:E,5,FALSE),"")</f>
        <v/>
      </c>
      <c r="G152">
        <f>IF(E152=0,"RUPTURE",IF(E152&lt;=F152,"ALERTE","OK"))</f>
        <v/>
      </c>
    </row>
    <row r="153">
      <c r="B153">
        <f>IFERROR(VLOOKUP(A153,ITEMS_MASTER!A:B,2,FALSE),"")</f>
        <v/>
      </c>
      <c r="C153">
        <f>SUMIFS(STOCK_MOVEMENTS!E:E,STOCK_MOVEMENTS!B:B,A153,STOCK_MOVEMENTS!D:D,"IN")</f>
        <v/>
      </c>
      <c r="D153">
        <f>SUMIFS(STOCK_MOVEMENTS!E:E,STOCK_MOVEMENTS!B:B,A153,STOCK_MOVEMENTS!D:D,"OUT")</f>
        <v/>
      </c>
      <c r="E153">
        <f>C153-D153</f>
        <v/>
      </c>
      <c r="F153">
        <f>IFERROR(VLOOKUP(A153,ITEMS_MASTER!A:E,5,FALSE),"")</f>
        <v/>
      </c>
      <c r="G153">
        <f>IF(E153=0,"RUPTURE",IF(E153&lt;=F153,"ALERTE","OK"))</f>
        <v/>
      </c>
    </row>
    <row r="154">
      <c r="B154">
        <f>IFERROR(VLOOKUP(A154,ITEMS_MASTER!A:B,2,FALSE),"")</f>
        <v/>
      </c>
      <c r="C154">
        <f>SUMIFS(STOCK_MOVEMENTS!E:E,STOCK_MOVEMENTS!B:B,A154,STOCK_MOVEMENTS!D:D,"IN")</f>
        <v/>
      </c>
      <c r="D154">
        <f>SUMIFS(STOCK_MOVEMENTS!E:E,STOCK_MOVEMENTS!B:B,A154,STOCK_MOVEMENTS!D:D,"OUT")</f>
        <v/>
      </c>
      <c r="E154">
        <f>C154-D154</f>
        <v/>
      </c>
      <c r="F154">
        <f>IFERROR(VLOOKUP(A154,ITEMS_MASTER!A:E,5,FALSE),"")</f>
        <v/>
      </c>
      <c r="G154">
        <f>IF(E154=0,"RUPTURE",IF(E154&lt;=F154,"ALERTE","OK"))</f>
        <v/>
      </c>
    </row>
    <row r="155">
      <c r="B155">
        <f>IFERROR(VLOOKUP(A155,ITEMS_MASTER!A:B,2,FALSE),"")</f>
        <v/>
      </c>
      <c r="C155">
        <f>SUMIFS(STOCK_MOVEMENTS!E:E,STOCK_MOVEMENTS!B:B,A155,STOCK_MOVEMENTS!D:D,"IN")</f>
        <v/>
      </c>
      <c r="D155">
        <f>SUMIFS(STOCK_MOVEMENTS!E:E,STOCK_MOVEMENTS!B:B,A155,STOCK_MOVEMENTS!D:D,"OUT")</f>
        <v/>
      </c>
      <c r="E155">
        <f>C155-D155</f>
        <v/>
      </c>
      <c r="F155">
        <f>IFERROR(VLOOKUP(A155,ITEMS_MASTER!A:E,5,FALSE),"")</f>
        <v/>
      </c>
      <c r="G155">
        <f>IF(E155=0,"RUPTURE",IF(E155&lt;=F155,"ALERTE","OK"))</f>
        <v/>
      </c>
    </row>
    <row r="156">
      <c r="B156">
        <f>IFERROR(VLOOKUP(A156,ITEMS_MASTER!A:B,2,FALSE),"")</f>
        <v/>
      </c>
      <c r="C156">
        <f>SUMIFS(STOCK_MOVEMENTS!E:E,STOCK_MOVEMENTS!B:B,A156,STOCK_MOVEMENTS!D:D,"IN")</f>
        <v/>
      </c>
      <c r="D156">
        <f>SUMIFS(STOCK_MOVEMENTS!E:E,STOCK_MOVEMENTS!B:B,A156,STOCK_MOVEMENTS!D:D,"OUT")</f>
        <v/>
      </c>
      <c r="E156">
        <f>C156-D156</f>
        <v/>
      </c>
      <c r="F156">
        <f>IFERROR(VLOOKUP(A156,ITEMS_MASTER!A:E,5,FALSE),"")</f>
        <v/>
      </c>
      <c r="G156">
        <f>IF(E156=0,"RUPTURE",IF(E156&lt;=F156,"ALERTE","OK"))</f>
        <v/>
      </c>
    </row>
    <row r="157">
      <c r="B157">
        <f>IFERROR(VLOOKUP(A157,ITEMS_MASTER!A:B,2,FALSE),"")</f>
        <v/>
      </c>
      <c r="C157">
        <f>SUMIFS(STOCK_MOVEMENTS!E:E,STOCK_MOVEMENTS!B:B,A157,STOCK_MOVEMENTS!D:D,"IN")</f>
        <v/>
      </c>
      <c r="D157">
        <f>SUMIFS(STOCK_MOVEMENTS!E:E,STOCK_MOVEMENTS!B:B,A157,STOCK_MOVEMENTS!D:D,"OUT")</f>
        <v/>
      </c>
      <c r="E157">
        <f>C157-D157</f>
        <v/>
      </c>
      <c r="F157">
        <f>IFERROR(VLOOKUP(A157,ITEMS_MASTER!A:E,5,FALSE),"")</f>
        <v/>
      </c>
      <c r="G157">
        <f>IF(E157=0,"RUPTURE",IF(E157&lt;=F157,"ALERTE","OK"))</f>
        <v/>
      </c>
    </row>
    <row r="158">
      <c r="B158">
        <f>IFERROR(VLOOKUP(A158,ITEMS_MASTER!A:B,2,FALSE),"")</f>
        <v/>
      </c>
      <c r="C158">
        <f>SUMIFS(STOCK_MOVEMENTS!E:E,STOCK_MOVEMENTS!B:B,A158,STOCK_MOVEMENTS!D:D,"IN")</f>
        <v/>
      </c>
      <c r="D158">
        <f>SUMIFS(STOCK_MOVEMENTS!E:E,STOCK_MOVEMENTS!B:B,A158,STOCK_MOVEMENTS!D:D,"OUT")</f>
        <v/>
      </c>
      <c r="E158">
        <f>C158-D158</f>
        <v/>
      </c>
      <c r="F158">
        <f>IFERROR(VLOOKUP(A158,ITEMS_MASTER!A:E,5,FALSE),"")</f>
        <v/>
      </c>
      <c r="G158">
        <f>IF(E158=0,"RUPTURE",IF(E158&lt;=F158,"ALERTE","OK"))</f>
        <v/>
      </c>
    </row>
    <row r="159">
      <c r="B159">
        <f>IFERROR(VLOOKUP(A159,ITEMS_MASTER!A:B,2,FALSE),"")</f>
        <v/>
      </c>
      <c r="C159">
        <f>SUMIFS(STOCK_MOVEMENTS!E:E,STOCK_MOVEMENTS!B:B,A159,STOCK_MOVEMENTS!D:D,"IN")</f>
        <v/>
      </c>
      <c r="D159">
        <f>SUMIFS(STOCK_MOVEMENTS!E:E,STOCK_MOVEMENTS!B:B,A159,STOCK_MOVEMENTS!D:D,"OUT")</f>
        <v/>
      </c>
      <c r="E159">
        <f>C159-D159</f>
        <v/>
      </c>
      <c r="F159">
        <f>IFERROR(VLOOKUP(A159,ITEMS_MASTER!A:E,5,FALSE),"")</f>
        <v/>
      </c>
      <c r="G159">
        <f>IF(E159=0,"RUPTURE",IF(E159&lt;=F159,"ALERTE","OK"))</f>
        <v/>
      </c>
    </row>
    <row r="160">
      <c r="B160">
        <f>IFERROR(VLOOKUP(A160,ITEMS_MASTER!A:B,2,FALSE),"")</f>
        <v/>
      </c>
      <c r="C160">
        <f>SUMIFS(STOCK_MOVEMENTS!E:E,STOCK_MOVEMENTS!B:B,A160,STOCK_MOVEMENTS!D:D,"IN")</f>
        <v/>
      </c>
      <c r="D160">
        <f>SUMIFS(STOCK_MOVEMENTS!E:E,STOCK_MOVEMENTS!B:B,A160,STOCK_MOVEMENTS!D:D,"OUT")</f>
        <v/>
      </c>
      <c r="E160">
        <f>C160-D160</f>
        <v/>
      </c>
      <c r="F160">
        <f>IFERROR(VLOOKUP(A160,ITEMS_MASTER!A:E,5,FALSE),"")</f>
        <v/>
      </c>
      <c r="G160">
        <f>IF(E160=0,"RUPTURE",IF(E160&lt;=F160,"ALERTE","OK"))</f>
        <v/>
      </c>
    </row>
    <row r="161">
      <c r="B161">
        <f>IFERROR(VLOOKUP(A161,ITEMS_MASTER!A:B,2,FALSE),"")</f>
        <v/>
      </c>
      <c r="C161">
        <f>SUMIFS(STOCK_MOVEMENTS!E:E,STOCK_MOVEMENTS!B:B,A161,STOCK_MOVEMENTS!D:D,"IN")</f>
        <v/>
      </c>
      <c r="D161">
        <f>SUMIFS(STOCK_MOVEMENTS!E:E,STOCK_MOVEMENTS!B:B,A161,STOCK_MOVEMENTS!D:D,"OUT")</f>
        <v/>
      </c>
      <c r="E161">
        <f>C161-D161</f>
        <v/>
      </c>
      <c r="F161">
        <f>IFERROR(VLOOKUP(A161,ITEMS_MASTER!A:E,5,FALSE),"")</f>
        <v/>
      </c>
      <c r="G161">
        <f>IF(E161=0,"RUPTURE",IF(E161&lt;=F161,"ALERTE","OK"))</f>
        <v/>
      </c>
    </row>
    <row r="162">
      <c r="B162">
        <f>IFERROR(VLOOKUP(A162,ITEMS_MASTER!A:B,2,FALSE),"")</f>
        <v/>
      </c>
      <c r="C162">
        <f>SUMIFS(STOCK_MOVEMENTS!E:E,STOCK_MOVEMENTS!B:B,A162,STOCK_MOVEMENTS!D:D,"IN")</f>
        <v/>
      </c>
      <c r="D162">
        <f>SUMIFS(STOCK_MOVEMENTS!E:E,STOCK_MOVEMENTS!B:B,A162,STOCK_MOVEMENTS!D:D,"OUT")</f>
        <v/>
      </c>
      <c r="E162">
        <f>C162-D162</f>
        <v/>
      </c>
      <c r="F162">
        <f>IFERROR(VLOOKUP(A162,ITEMS_MASTER!A:E,5,FALSE),"")</f>
        <v/>
      </c>
      <c r="G162">
        <f>IF(E162=0,"RUPTURE",IF(E162&lt;=F162,"ALERTE","OK"))</f>
        <v/>
      </c>
    </row>
    <row r="163">
      <c r="B163">
        <f>IFERROR(VLOOKUP(A163,ITEMS_MASTER!A:B,2,FALSE),"")</f>
        <v/>
      </c>
      <c r="C163">
        <f>SUMIFS(STOCK_MOVEMENTS!E:E,STOCK_MOVEMENTS!B:B,A163,STOCK_MOVEMENTS!D:D,"IN")</f>
        <v/>
      </c>
      <c r="D163">
        <f>SUMIFS(STOCK_MOVEMENTS!E:E,STOCK_MOVEMENTS!B:B,A163,STOCK_MOVEMENTS!D:D,"OUT")</f>
        <v/>
      </c>
      <c r="E163">
        <f>C163-D163</f>
        <v/>
      </c>
      <c r="F163">
        <f>IFERROR(VLOOKUP(A163,ITEMS_MASTER!A:E,5,FALSE),"")</f>
        <v/>
      </c>
      <c r="G163">
        <f>IF(E163=0,"RUPTURE",IF(E163&lt;=F163,"ALERTE","OK"))</f>
        <v/>
      </c>
    </row>
    <row r="164">
      <c r="B164">
        <f>IFERROR(VLOOKUP(A164,ITEMS_MASTER!A:B,2,FALSE),"")</f>
        <v/>
      </c>
      <c r="C164">
        <f>SUMIFS(STOCK_MOVEMENTS!E:E,STOCK_MOVEMENTS!B:B,A164,STOCK_MOVEMENTS!D:D,"IN")</f>
        <v/>
      </c>
      <c r="D164">
        <f>SUMIFS(STOCK_MOVEMENTS!E:E,STOCK_MOVEMENTS!B:B,A164,STOCK_MOVEMENTS!D:D,"OUT")</f>
        <v/>
      </c>
      <c r="E164">
        <f>C164-D164</f>
        <v/>
      </c>
      <c r="F164">
        <f>IFERROR(VLOOKUP(A164,ITEMS_MASTER!A:E,5,FALSE),"")</f>
        <v/>
      </c>
      <c r="G164">
        <f>IF(E164=0,"RUPTURE",IF(E164&lt;=F164,"ALERTE","OK"))</f>
        <v/>
      </c>
    </row>
    <row r="165">
      <c r="B165">
        <f>IFERROR(VLOOKUP(A165,ITEMS_MASTER!A:B,2,FALSE),"")</f>
        <v/>
      </c>
      <c r="C165">
        <f>SUMIFS(STOCK_MOVEMENTS!E:E,STOCK_MOVEMENTS!B:B,A165,STOCK_MOVEMENTS!D:D,"IN")</f>
        <v/>
      </c>
      <c r="D165">
        <f>SUMIFS(STOCK_MOVEMENTS!E:E,STOCK_MOVEMENTS!B:B,A165,STOCK_MOVEMENTS!D:D,"OUT")</f>
        <v/>
      </c>
      <c r="E165">
        <f>C165-D165</f>
        <v/>
      </c>
      <c r="F165">
        <f>IFERROR(VLOOKUP(A165,ITEMS_MASTER!A:E,5,FALSE),"")</f>
        <v/>
      </c>
      <c r="G165">
        <f>IF(E165=0,"RUPTURE",IF(E165&lt;=F165,"ALERTE","OK"))</f>
        <v/>
      </c>
    </row>
    <row r="166">
      <c r="B166">
        <f>IFERROR(VLOOKUP(A166,ITEMS_MASTER!A:B,2,FALSE),"")</f>
        <v/>
      </c>
      <c r="C166">
        <f>SUMIFS(STOCK_MOVEMENTS!E:E,STOCK_MOVEMENTS!B:B,A166,STOCK_MOVEMENTS!D:D,"IN")</f>
        <v/>
      </c>
      <c r="D166">
        <f>SUMIFS(STOCK_MOVEMENTS!E:E,STOCK_MOVEMENTS!B:B,A166,STOCK_MOVEMENTS!D:D,"OUT")</f>
        <v/>
      </c>
      <c r="E166">
        <f>C166-D166</f>
        <v/>
      </c>
      <c r="F166">
        <f>IFERROR(VLOOKUP(A166,ITEMS_MASTER!A:E,5,FALSE),"")</f>
        <v/>
      </c>
      <c r="G166">
        <f>IF(E166=0,"RUPTURE",IF(E166&lt;=F166,"ALERTE","OK"))</f>
        <v/>
      </c>
    </row>
    <row r="167">
      <c r="B167">
        <f>IFERROR(VLOOKUP(A167,ITEMS_MASTER!A:B,2,FALSE),"")</f>
        <v/>
      </c>
      <c r="C167">
        <f>SUMIFS(STOCK_MOVEMENTS!E:E,STOCK_MOVEMENTS!B:B,A167,STOCK_MOVEMENTS!D:D,"IN")</f>
        <v/>
      </c>
      <c r="D167">
        <f>SUMIFS(STOCK_MOVEMENTS!E:E,STOCK_MOVEMENTS!B:B,A167,STOCK_MOVEMENTS!D:D,"OUT")</f>
        <v/>
      </c>
      <c r="E167">
        <f>C167-D167</f>
        <v/>
      </c>
      <c r="F167">
        <f>IFERROR(VLOOKUP(A167,ITEMS_MASTER!A:E,5,FALSE),"")</f>
        <v/>
      </c>
      <c r="G167">
        <f>IF(E167=0,"RUPTURE",IF(E167&lt;=F167,"ALERTE","OK"))</f>
        <v/>
      </c>
    </row>
    <row r="168">
      <c r="B168">
        <f>IFERROR(VLOOKUP(A168,ITEMS_MASTER!A:B,2,FALSE),"")</f>
        <v/>
      </c>
      <c r="C168">
        <f>SUMIFS(STOCK_MOVEMENTS!E:E,STOCK_MOVEMENTS!B:B,A168,STOCK_MOVEMENTS!D:D,"IN")</f>
        <v/>
      </c>
      <c r="D168">
        <f>SUMIFS(STOCK_MOVEMENTS!E:E,STOCK_MOVEMENTS!B:B,A168,STOCK_MOVEMENTS!D:D,"OUT")</f>
        <v/>
      </c>
      <c r="E168">
        <f>C168-D168</f>
        <v/>
      </c>
      <c r="F168">
        <f>IFERROR(VLOOKUP(A168,ITEMS_MASTER!A:E,5,FALSE),"")</f>
        <v/>
      </c>
      <c r="G168">
        <f>IF(E168=0,"RUPTURE",IF(E168&lt;=F168,"ALERTE","OK"))</f>
        <v/>
      </c>
    </row>
    <row r="169">
      <c r="B169">
        <f>IFERROR(VLOOKUP(A169,ITEMS_MASTER!A:B,2,FALSE),"")</f>
        <v/>
      </c>
      <c r="C169">
        <f>SUMIFS(STOCK_MOVEMENTS!E:E,STOCK_MOVEMENTS!B:B,A169,STOCK_MOVEMENTS!D:D,"IN")</f>
        <v/>
      </c>
      <c r="D169">
        <f>SUMIFS(STOCK_MOVEMENTS!E:E,STOCK_MOVEMENTS!B:B,A169,STOCK_MOVEMENTS!D:D,"OUT")</f>
        <v/>
      </c>
      <c r="E169">
        <f>C169-D169</f>
        <v/>
      </c>
      <c r="F169">
        <f>IFERROR(VLOOKUP(A169,ITEMS_MASTER!A:E,5,FALSE),"")</f>
        <v/>
      </c>
      <c r="G169">
        <f>IF(E169=0,"RUPTURE",IF(E169&lt;=F169,"ALERTE","OK"))</f>
        <v/>
      </c>
    </row>
    <row r="170">
      <c r="B170">
        <f>IFERROR(VLOOKUP(A170,ITEMS_MASTER!A:B,2,FALSE),"")</f>
        <v/>
      </c>
      <c r="C170">
        <f>SUMIFS(STOCK_MOVEMENTS!E:E,STOCK_MOVEMENTS!B:B,A170,STOCK_MOVEMENTS!D:D,"IN")</f>
        <v/>
      </c>
      <c r="D170">
        <f>SUMIFS(STOCK_MOVEMENTS!E:E,STOCK_MOVEMENTS!B:B,A170,STOCK_MOVEMENTS!D:D,"OUT")</f>
        <v/>
      </c>
      <c r="E170">
        <f>C170-D170</f>
        <v/>
      </c>
      <c r="F170">
        <f>IFERROR(VLOOKUP(A170,ITEMS_MASTER!A:E,5,FALSE),"")</f>
        <v/>
      </c>
      <c r="G170">
        <f>IF(E170=0,"RUPTURE",IF(E170&lt;=F170,"ALERTE","OK"))</f>
        <v/>
      </c>
    </row>
    <row r="171">
      <c r="B171">
        <f>IFERROR(VLOOKUP(A171,ITEMS_MASTER!A:B,2,FALSE),"")</f>
        <v/>
      </c>
      <c r="C171">
        <f>SUMIFS(STOCK_MOVEMENTS!E:E,STOCK_MOVEMENTS!B:B,A171,STOCK_MOVEMENTS!D:D,"IN")</f>
        <v/>
      </c>
      <c r="D171">
        <f>SUMIFS(STOCK_MOVEMENTS!E:E,STOCK_MOVEMENTS!B:B,A171,STOCK_MOVEMENTS!D:D,"OUT")</f>
        <v/>
      </c>
      <c r="E171">
        <f>C171-D171</f>
        <v/>
      </c>
      <c r="F171">
        <f>IFERROR(VLOOKUP(A171,ITEMS_MASTER!A:E,5,FALSE),"")</f>
        <v/>
      </c>
      <c r="G171">
        <f>IF(E171=0,"RUPTURE",IF(E171&lt;=F171,"ALERTE","OK"))</f>
        <v/>
      </c>
    </row>
    <row r="172">
      <c r="B172">
        <f>IFERROR(VLOOKUP(A172,ITEMS_MASTER!A:B,2,FALSE),"")</f>
        <v/>
      </c>
      <c r="C172">
        <f>SUMIFS(STOCK_MOVEMENTS!E:E,STOCK_MOVEMENTS!B:B,A172,STOCK_MOVEMENTS!D:D,"IN")</f>
        <v/>
      </c>
      <c r="D172">
        <f>SUMIFS(STOCK_MOVEMENTS!E:E,STOCK_MOVEMENTS!B:B,A172,STOCK_MOVEMENTS!D:D,"OUT")</f>
        <v/>
      </c>
      <c r="E172">
        <f>C172-D172</f>
        <v/>
      </c>
      <c r="F172">
        <f>IFERROR(VLOOKUP(A172,ITEMS_MASTER!A:E,5,FALSE),"")</f>
        <v/>
      </c>
      <c r="G172">
        <f>IF(E172=0,"RUPTURE",IF(E172&lt;=F172,"ALERTE","OK"))</f>
        <v/>
      </c>
    </row>
    <row r="173">
      <c r="B173">
        <f>IFERROR(VLOOKUP(A173,ITEMS_MASTER!A:B,2,FALSE),"")</f>
        <v/>
      </c>
      <c r="C173">
        <f>SUMIFS(STOCK_MOVEMENTS!E:E,STOCK_MOVEMENTS!B:B,A173,STOCK_MOVEMENTS!D:D,"IN")</f>
        <v/>
      </c>
      <c r="D173">
        <f>SUMIFS(STOCK_MOVEMENTS!E:E,STOCK_MOVEMENTS!B:B,A173,STOCK_MOVEMENTS!D:D,"OUT")</f>
        <v/>
      </c>
      <c r="E173">
        <f>C173-D173</f>
        <v/>
      </c>
      <c r="F173">
        <f>IFERROR(VLOOKUP(A173,ITEMS_MASTER!A:E,5,FALSE),"")</f>
        <v/>
      </c>
      <c r="G173">
        <f>IF(E173=0,"RUPTURE",IF(E173&lt;=F173,"ALERTE","OK"))</f>
        <v/>
      </c>
    </row>
    <row r="174">
      <c r="B174">
        <f>IFERROR(VLOOKUP(A174,ITEMS_MASTER!A:B,2,FALSE),"")</f>
        <v/>
      </c>
      <c r="C174">
        <f>SUMIFS(STOCK_MOVEMENTS!E:E,STOCK_MOVEMENTS!B:B,A174,STOCK_MOVEMENTS!D:D,"IN")</f>
        <v/>
      </c>
      <c r="D174">
        <f>SUMIFS(STOCK_MOVEMENTS!E:E,STOCK_MOVEMENTS!B:B,A174,STOCK_MOVEMENTS!D:D,"OUT")</f>
        <v/>
      </c>
      <c r="E174">
        <f>C174-D174</f>
        <v/>
      </c>
      <c r="F174">
        <f>IFERROR(VLOOKUP(A174,ITEMS_MASTER!A:E,5,FALSE),"")</f>
        <v/>
      </c>
      <c r="G174">
        <f>IF(E174=0,"RUPTURE",IF(E174&lt;=F174,"ALERTE","OK"))</f>
        <v/>
      </c>
    </row>
    <row r="175">
      <c r="B175">
        <f>IFERROR(VLOOKUP(A175,ITEMS_MASTER!A:B,2,FALSE),"")</f>
        <v/>
      </c>
      <c r="C175">
        <f>SUMIFS(STOCK_MOVEMENTS!E:E,STOCK_MOVEMENTS!B:B,A175,STOCK_MOVEMENTS!D:D,"IN")</f>
        <v/>
      </c>
      <c r="D175">
        <f>SUMIFS(STOCK_MOVEMENTS!E:E,STOCK_MOVEMENTS!B:B,A175,STOCK_MOVEMENTS!D:D,"OUT")</f>
        <v/>
      </c>
      <c r="E175">
        <f>C175-D175</f>
        <v/>
      </c>
      <c r="F175">
        <f>IFERROR(VLOOKUP(A175,ITEMS_MASTER!A:E,5,FALSE),"")</f>
        <v/>
      </c>
      <c r="G175">
        <f>IF(E175=0,"RUPTURE",IF(E175&lt;=F175,"ALERTE","OK"))</f>
        <v/>
      </c>
    </row>
    <row r="176">
      <c r="B176">
        <f>IFERROR(VLOOKUP(A176,ITEMS_MASTER!A:B,2,FALSE),"")</f>
        <v/>
      </c>
      <c r="C176">
        <f>SUMIFS(STOCK_MOVEMENTS!E:E,STOCK_MOVEMENTS!B:B,A176,STOCK_MOVEMENTS!D:D,"IN")</f>
        <v/>
      </c>
      <c r="D176">
        <f>SUMIFS(STOCK_MOVEMENTS!E:E,STOCK_MOVEMENTS!B:B,A176,STOCK_MOVEMENTS!D:D,"OUT")</f>
        <v/>
      </c>
      <c r="E176">
        <f>C176-D176</f>
        <v/>
      </c>
      <c r="F176">
        <f>IFERROR(VLOOKUP(A176,ITEMS_MASTER!A:E,5,FALSE),"")</f>
        <v/>
      </c>
      <c r="G176">
        <f>IF(E176=0,"RUPTURE",IF(E176&lt;=F176,"ALERTE","OK"))</f>
        <v/>
      </c>
    </row>
    <row r="177">
      <c r="B177">
        <f>IFERROR(VLOOKUP(A177,ITEMS_MASTER!A:B,2,FALSE),"")</f>
        <v/>
      </c>
      <c r="C177">
        <f>SUMIFS(STOCK_MOVEMENTS!E:E,STOCK_MOVEMENTS!B:B,A177,STOCK_MOVEMENTS!D:D,"IN")</f>
        <v/>
      </c>
      <c r="D177">
        <f>SUMIFS(STOCK_MOVEMENTS!E:E,STOCK_MOVEMENTS!B:B,A177,STOCK_MOVEMENTS!D:D,"OUT")</f>
        <v/>
      </c>
      <c r="E177">
        <f>C177-D177</f>
        <v/>
      </c>
      <c r="F177">
        <f>IFERROR(VLOOKUP(A177,ITEMS_MASTER!A:E,5,FALSE),"")</f>
        <v/>
      </c>
      <c r="G177">
        <f>IF(E177=0,"RUPTURE",IF(E177&lt;=F177,"ALERTE","OK"))</f>
        <v/>
      </c>
    </row>
    <row r="178">
      <c r="B178">
        <f>IFERROR(VLOOKUP(A178,ITEMS_MASTER!A:B,2,FALSE),"")</f>
        <v/>
      </c>
      <c r="C178">
        <f>SUMIFS(STOCK_MOVEMENTS!E:E,STOCK_MOVEMENTS!B:B,A178,STOCK_MOVEMENTS!D:D,"IN")</f>
        <v/>
      </c>
      <c r="D178">
        <f>SUMIFS(STOCK_MOVEMENTS!E:E,STOCK_MOVEMENTS!B:B,A178,STOCK_MOVEMENTS!D:D,"OUT")</f>
        <v/>
      </c>
      <c r="E178">
        <f>C178-D178</f>
        <v/>
      </c>
      <c r="F178">
        <f>IFERROR(VLOOKUP(A178,ITEMS_MASTER!A:E,5,FALSE),"")</f>
        <v/>
      </c>
      <c r="G178">
        <f>IF(E178=0,"RUPTURE",IF(E178&lt;=F178,"ALERTE","OK"))</f>
        <v/>
      </c>
    </row>
    <row r="179">
      <c r="B179">
        <f>IFERROR(VLOOKUP(A179,ITEMS_MASTER!A:B,2,FALSE),"")</f>
        <v/>
      </c>
      <c r="C179">
        <f>SUMIFS(STOCK_MOVEMENTS!E:E,STOCK_MOVEMENTS!B:B,A179,STOCK_MOVEMENTS!D:D,"IN")</f>
        <v/>
      </c>
      <c r="D179">
        <f>SUMIFS(STOCK_MOVEMENTS!E:E,STOCK_MOVEMENTS!B:B,A179,STOCK_MOVEMENTS!D:D,"OUT")</f>
        <v/>
      </c>
      <c r="E179">
        <f>C179-D179</f>
        <v/>
      </c>
      <c r="F179">
        <f>IFERROR(VLOOKUP(A179,ITEMS_MASTER!A:E,5,FALSE),"")</f>
        <v/>
      </c>
      <c r="G179">
        <f>IF(E179=0,"RUPTURE",IF(E179&lt;=F179,"ALERTE","OK"))</f>
        <v/>
      </c>
    </row>
    <row r="180">
      <c r="B180">
        <f>IFERROR(VLOOKUP(A180,ITEMS_MASTER!A:B,2,FALSE),"")</f>
        <v/>
      </c>
      <c r="C180">
        <f>SUMIFS(STOCK_MOVEMENTS!E:E,STOCK_MOVEMENTS!B:B,A180,STOCK_MOVEMENTS!D:D,"IN")</f>
        <v/>
      </c>
      <c r="D180">
        <f>SUMIFS(STOCK_MOVEMENTS!E:E,STOCK_MOVEMENTS!B:B,A180,STOCK_MOVEMENTS!D:D,"OUT")</f>
        <v/>
      </c>
      <c r="E180">
        <f>C180-D180</f>
        <v/>
      </c>
      <c r="F180">
        <f>IFERROR(VLOOKUP(A180,ITEMS_MASTER!A:E,5,FALSE),"")</f>
        <v/>
      </c>
      <c r="G180">
        <f>IF(E180=0,"RUPTURE",IF(E180&lt;=F180,"ALERTE","OK"))</f>
        <v/>
      </c>
    </row>
    <row r="181">
      <c r="B181">
        <f>IFERROR(VLOOKUP(A181,ITEMS_MASTER!A:B,2,FALSE),"")</f>
        <v/>
      </c>
      <c r="C181">
        <f>SUMIFS(STOCK_MOVEMENTS!E:E,STOCK_MOVEMENTS!B:B,A181,STOCK_MOVEMENTS!D:D,"IN")</f>
        <v/>
      </c>
      <c r="D181">
        <f>SUMIFS(STOCK_MOVEMENTS!E:E,STOCK_MOVEMENTS!B:B,A181,STOCK_MOVEMENTS!D:D,"OUT")</f>
        <v/>
      </c>
      <c r="E181">
        <f>C181-D181</f>
        <v/>
      </c>
      <c r="F181">
        <f>IFERROR(VLOOKUP(A181,ITEMS_MASTER!A:E,5,FALSE),"")</f>
        <v/>
      </c>
      <c r="G181">
        <f>IF(E181=0,"RUPTURE",IF(E181&lt;=F181,"ALERTE","OK"))</f>
        <v/>
      </c>
    </row>
    <row r="182">
      <c r="B182">
        <f>IFERROR(VLOOKUP(A182,ITEMS_MASTER!A:B,2,FALSE),"")</f>
        <v/>
      </c>
      <c r="C182">
        <f>SUMIFS(STOCK_MOVEMENTS!E:E,STOCK_MOVEMENTS!B:B,A182,STOCK_MOVEMENTS!D:D,"IN")</f>
        <v/>
      </c>
      <c r="D182">
        <f>SUMIFS(STOCK_MOVEMENTS!E:E,STOCK_MOVEMENTS!B:B,A182,STOCK_MOVEMENTS!D:D,"OUT")</f>
        <v/>
      </c>
      <c r="E182">
        <f>C182-D182</f>
        <v/>
      </c>
      <c r="F182">
        <f>IFERROR(VLOOKUP(A182,ITEMS_MASTER!A:E,5,FALSE),"")</f>
        <v/>
      </c>
      <c r="G182">
        <f>IF(E182=0,"RUPTURE",IF(E182&lt;=F182,"ALERTE","OK"))</f>
        <v/>
      </c>
    </row>
    <row r="183">
      <c r="B183">
        <f>IFERROR(VLOOKUP(A183,ITEMS_MASTER!A:B,2,FALSE),"")</f>
        <v/>
      </c>
      <c r="C183">
        <f>SUMIFS(STOCK_MOVEMENTS!E:E,STOCK_MOVEMENTS!B:B,A183,STOCK_MOVEMENTS!D:D,"IN")</f>
        <v/>
      </c>
      <c r="D183">
        <f>SUMIFS(STOCK_MOVEMENTS!E:E,STOCK_MOVEMENTS!B:B,A183,STOCK_MOVEMENTS!D:D,"OUT")</f>
        <v/>
      </c>
      <c r="E183">
        <f>C183-D183</f>
        <v/>
      </c>
      <c r="F183">
        <f>IFERROR(VLOOKUP(A183,ITEMS_MASTER!A:E,5,FALSE),"")</f>
        <v/>
      </c>
      <c r="G183">
        <f>IF(E183=0,"RUPTURE",IF(E183&lt;=F183,"ALERTE","OK"))</f>
        <v/>
      </c>
    </row>
    <row r="184">
      <c r="B184">
        <f>IFERROR(VLOOKUP(A184,ITEMS_MASTER!A:B,2,FALSE),"")</f>
        <v/>
      </c>
      <c r="C184">
        <f>SUMIFS(STOCK_MOVEMENTS!E:E,STOCK_MOVEMENTS!B:B,A184,STOCK_MOVEMENTS!D:D,"IN")</f>
        <v/>
      </c>
      <c r="D184">
        <f>SUMIFS(STOCK_MOVEMENTS!E:E,STOCK_MOVEMENTS!B:B,A184,STOCK_MOVEMENTS!D:D,"OUT")</f>
        <v/>
      </c>
      <c r="E184">
        <f>C184-D184</f>
        <v/>
      </c>
      <c r="F184">
        <f>IFERROR(VLOOKUP(A184,ITEMS_MASTER!A:E,5,FALSE),"")</f>
        <v/>
      </c>
      <c r="G184">
        <f>IF(E184=0,"RUPTURE",IF(E184&lt;=F184,"ALERTE","OK"))</f>
        <v/>
      </c>
    </row>
    <row r="185">
      <c r="B185">
        <f>IFERROR(VLOOKUP(A185,ITEMS_MASTER!A:B,2,FALSE),"")</f>
        <v/>
      </c>
      <c r="C185">
        <f>SUMIFS(STOCK_MOVEMENTS!E:E,STOCK_MOVEMENTS!B:B,A185,STOCK_MOVEMENTS!D:D,"IN")</f>
        <v/>
      </c>
      <c r="D185">
        <f>SUMIFS(STOCK_MOVEMENTS!E:E,STOCK_MOVEMENTS!B:B,A185,STOCK_MOVEMENTS!D:D,"OUT")</f>
        <v/>
      </c>
      <c r="E185">
        <f>C185-D185</f>
        <v/>
      </c>
      <c r="F185">
        <f>IFERROR(VLOOKUP(A185,ITEMS_MASTER!A:E,5,FALSE),"")</f>
        <v/>
      </c>
      <c r="G185">
        <f>IF(E185=0,"RUPTURE",IF(E185&lt;=F185,"ALERTE","OK"))</f>
        <v/>
      </c>
    </row>
    <row r="186">
      <c r="B186">
        <f>IFERROR(VLOOKUP(A186,ITEMS_MASTER!A:B,2,FALSE),"")</f>
        <v/>
      </c>
      <c r="C186">
        <f>SUMIFS(STOCK_MOVEMENTS!E:E,STOCK_MOVEMENTS!B:B,A186,STOCK_MOVEMENTS!D:D,"IN")</f>
        <v/>
      </c>
      <c r="D186">
        <f>SUMIFS(STOCK_MOVEMENTS!E:E,STOCK_MOVEMENTS!B:B,A186,STOCK_MOVEMENTS!D:D,"OUT")</f>
        <v/>
      </c>
      <c r="E186">
        <f>C186-D186</f>
        <v/>
      </c>
      <c r="F186">
        <f>IFERROR(VLOOKUP(A186,ITEMS_MASTER!A:E,5,FALSE),"")</f>
        <v/>
      </c>
      <c r="G186">
        <f>IF(E186=0,"RUPTURE",IF(E186&lt;=F186,"ALERTE","OK"))</f>
        <v/>
      </c>
    </row>
    <row r="187">
      <c r="B187">
        <f>IFERROR(VLOOKUP(A187,ITEMS_MASTER!A:B,2,FALSE),"")</f>
        <v/>
      </c>
      <c r="C187">
        <f>SUMIFS(STOCK_MOVEMENTS!E:E,STOCK_MOVEMENTS!B:B,A187,STOCK_MOVEMENTS!D:D,"IN")</f>
        <v/>
      </c>
      <c r="D187">
        <f>SUMIFS(STOCK_MOVEMENTS!E:E,STOCK_MOVEMENTS!B:B,A187,STOCK_MOVEMENTS!D:D,"OUT")</f>
        <v/>
      </c>
      <c r="E187">
        <f>C187-D187</f>
        <v/>
      </c>
      <c r="F187">
        <f>IFERROR(VLOOKUP(A187,ITEMS_MASTER!A:E,5,FALSE),"")</f>
        <v/>
      </c>
      <c r="G187">
        <f>IF(E187=0,"RUPTURE",IF(E187&lt;=F187,"ALERTE","OK"))</f>
        <v/>
      </c>
    </row>
    <row r="188">
      <c r="B188">
        <f>IFERROR(VLOOKUP(A188,ITEMS_MASTER!A:B,2,FALSE),"")</f>
        <v/>
      </c>
      <c r="C188">
        <f>SUMIFS(STOCK_MOVEMENTS!E:E,STOCK_MOVEMENTS!B:B,A188,STOCK_MOVEMENTS!D:D,"IN")</f>
        <v/>
      </c>
      <c r="D188">
        <f>SUMIFS(STOCK_MOVEMENTS!E:E,STOCK_MOVEMENTS!B:B,A188,STOCK_MOVEMENTS!D:D,"OUT")</f>
        <v/>
      </c>
      <c r="E188">
        <f>C188-D188</f>
        <v/>
      </c>
      <c r="F188">
        <f>IFERROR(VLOOKUP(A188,ITEMS_MASTER!A:E,5,FALSE),"")</f>
        <v/>
      </c>
      <c r="G188">
        <f>IF(E188=0,"RUPTURE",IF(E188&lt;=F188,"ALERTE","OK"))</f>
        <v/>
      </c>
    </row>
    <row r="189">
      <c r="B189">
        <f>IFERROR(VLOOKUP(A189,ITEMS_MASTER!A:B,2,FALSE),"")</f>
        <v/>
      </c>
      <c r="C189">
        <f>SUMIFS(STOCK_MOVEMENTS!E:E,STOCK_MOVEMENTS!B:B,A189,STOCK_MOVEMENTS!D:D,"IN")</f>
        <v/>
      </c>
      <c r="D189">
        <f>SUMIFS(STOCK_MOVEMENTS!E:E,STOCK_MOVEMENTS!B:B,A189,STOCK_MOVEMENTS!D:D,"OUT")</f>
        <v/>
      </c>
      <c r="E189">
        <f>C189-D189</f>
        <v/>
      </c>
      <c r="F189">
        <f>IFERROR(VLOOKUP(A189,ITEMS_MASTER!A:E,5,FALSE),"")</f>
        <v/>
      </c>
      <c r="G189">
        <f>IF(E189=0,"RUPTURE",IF(E189&lt;=F189,"ALERTE","OK"))</f>
        <v/>
      </c>
    </row>
    <row r="190">
      <c r="B190">
        <f>IFERROR(VLOOKUP(A190,ITEMS_MASTER!A:B,2,FALSE),"")</f>
        <v/>
      </c>
      <c r="C190">
        <f>SUMIFS(STOCK_MOVEMENTS!E:E,STOCK_MOVEMENTS!B:B,A190,STOCK_MOVEMENTS!D:D,"IN")</f>
        <v/>
      </c>
      <c r="D190">
        <f>SUMIFS(STOCK_MOVEMENTS!E:E,STOCK_MOVEMENTS!B:B,A190,STOCK_MOVEMENTS!D:D,"OUT")</f>
        <v/>
      </c>
      <c r="E190">
        <f>C190-D190</f>
        <v/>
      </c>
      <c r="F190">
        <f>IFERROR(VLOOKUP(A190,ITEMS_MASTER!A:E,5,FALSE),"")</f>
        <v/>
      </c>
      <c r="G190">
        <f>IF(E190=0,"RUPTURE",IF(E190&lt;=F190,"ALERTE","OK"))</f>
        <v/>
      </c>
    </row>
    <row r="191">
      <c r="B191">
        <f>IFERROR(VLOOKUP(A191,ITEMS_MASTER!A:B,2,FALSE),"")</f>
        <v/>
      </c>
      <c r="C191">
        <f>SUMIFS(STOCK_MOVEMENTS!E:E,STOCK_MOVEMENTS!B:B,A191,STOCK_MOVEMENTS!D:D,"IN")</f>
        <v/>
      </c>
      <c r="D191">
        <f>SUMIFS(STOCK_MOVEMENTS!E:E,STOCK_MOVEMENTS!B:B,A191,STOCK_MOVEMENTS!D:D,"OUT")</f>
        <v/>
      </c>
      <c r="E191">
        <f>C191-D191</f>
        <v/>
      </c>
      <c r="F191">
        <f>IFERROR(VLOOKUP(A191,ITEMS_MASTER!A:E,5,FALSE),"")</f>
        <v/>
      </c>
      <c r="G191">
        <f>IF(E191=0,"RUPTURE",IF(E191&lt;=F191,"ALERTE","OK"))</f>
        <v/>
      </c>
    </row>
    <row r="192">
      <c r="B192">
        <f>IFERROR(VLOOKUP(A192,ITEMS_MASTER!A:B,2,FALSE),"")</f>
        <v/>
      </c>
      <c r="C192">
        <f>SUMIFS(STOCK_MOVEMENTS!E:E,STOCK_MOVEMENTS!B:B,A192,STOCK_MOVEMENTS!D:D,"IN")</f>
        <v/>
      </c>
      <c r="D192">
        <f>SUMIFS(STOCK_MOVEMENTS!E:E,STOCK_MOVEMENTS!B:B,A192,STOCK_MOVEMENTS!D:D,"OUT")</f>
        <v/>
      </c>
      <c r="E192">
        <f>C192-D192</f>
        <v/>
      </c>
      <c r="F192">
        <f>IFERROR(VLOOKUP(A192,ITEMS_MASTER!A:E,5,FALSE),"")</f>
        <v/>
      </c>
      <c r="G192">
        <f>IF(E192=0,"RUPTURE",IF(E192&lt;=F192,"ALERTE","OK"))</f>
        <v/>
      </c>
    </row>
    <row r="193">
      <c r="B193">
        <f>IFERROR(VLOOKUP(A193,ITEMS_MASTER!A:B,2,FALSE),"")</f>
        <v/>
      </c>
      <c r="C193">
        <f>SUMIFS(STOCK_MOVEMENTS!E:E,STOCK_MOVEMENTS!B:B,A193,STOCK_MOVEMENTS!D:D,"IN")</f>
        <v/>
      </c>
      <c r="D193">
        <f>SUMIFS(STOCK_MOVEMENTS!E:E,STOCK_MOVEMENTS!B:B,A193,STOCK_MOVEMENTS!D:D,"OUT")</f>
        <v/>
      </c>
      <c r="E193">
        <f>C193-D193</f>
        <v/>
      </c>
      <c r="F193">
        <f>IFERROR(VLOOKUP(A193,ITEMS_MASTER!A:E,5,FALSE),"")</f>
        <v/>
      </c>
      <c r="G193">
        <f>IF(E193=0,"RUPTURE",IF(E193&lt;=F193,"ALERTE","OK"))</f>
        <v/>
      </c>
    </row>
    <row r="194">
      <c r="B194">
        <f>IFERROR(VLOOKUP(A194,ITEMS_MASTER!A:B,2,FALSE),"")</f>
        <v/>
      </c>
      <c r="C194">
        <f>SUMIFS(STOCK_MOVEMENTS!E:E,STOCK_MOVEMENTS!B:B,A194,STOCK_MOVEMENTS!D:D,"IN")</f>
        <v/>
      </c>
      <c r="D194">
        <f>SUMIFS(STOCK_MOVEMENTS!E:E,STOCK_MOVEMENTS!B:B,A194,STOCK_MOVEMENTS!D:D,"OUT")</f>
        <v/>
      </c>
      <c r="E194">
        <f>C194-D194</f>
        <v/>
      </c>
      <c r="F194">
        <f>IFERROR(VLOOKUP(A194,ITEMS_MASTER!A:E,5,FALSE),"")</f>
        <v/>
      </c>
      <c r="G194">
        <f>IF(E194=0,"RUPTURE",IF(E194&lt;=F194,"ALERTE","OK"))</f>
        <v/>
      </c>
    </row>
    <row r="195">
      <c r="B195">
        <f>IFERROR(VLOOKUP(A195,ITEMS_MASTER!A:B,2,FALSE),"")</f>
        <v/>
      </c>
      <c r="C195">
        <f>SUMIFS(STOCK_MOVEMENTS!E:E,STOCK_MOVEMENTS!B:B,A195,STOCK_MOVEMENTS!D:D,"IN")</f>
        <v/>
      </c>
      <c r="D195">
        <f>SUMIFS(STOCK_MOVEMENTS!E:E,STOCK_MOVEMENTS!B:B,A195,STOCK_MOVEMENTS!D:D,"OUT")</f>
        <v/>
      </c>
      <c r="E195">
        <f>C195-D195</f>
        <v/>
      </c>
      <c r="F195">
        <f>IFERROR(VLOOKUP(A195,ITEMS_MASTER!A:E,5,FALSE),"")</f>
        <v/>
      </c>
      <c r="G195">
        <f>IF(E195=0,"RUPTURE",IF(E195&lt;=F195,"ALERTE","OK"))</f>
        <v/>
      </c>
    </row>
    <row r="196">
      <c r="B196">
        <f>IFERROR(VLOOKUP(A196,ITEMS_MASTER!A:B,2,FALSE),"")</f>
        <v/>
      </c>
      <c r="C196">
        <f>SUMIFS(STOCK_MOVEMENTS!E:E,STOCK_MOVEMENTS!B:B,A196,STOCK_MOVEMENTS!D:D,"IN")</f>
        <v/>
      </c>
      <c r="D196">
        <f>SUMIFS(STOCK_MOVEMENTS!E:E,STOCK_MOVEMENTS!B:B,A196,STOCK_MOVEMENTS!D:D,"OUT")</f>
        <v/>
      </c>
      <c r="E196">
        <f>C196-D196</f>
        <v/>
      </c>
      <c r="F196">
        <f>IFERROR(VLOOKUP(A196,ITEMS_MASTER!A:E,5,FALSE),"")</f>
        <v/>
      </c>
      <c r="G196">
        <f>IF(E196=0,"RUPTURE",IF(E196&lt;=F196,"ALERTE","OK"))</f>
        <v/>
      </c>
    </row>
    <row r="197">
      <c r="B197">
        <f>IFERROR(VLOOKUP(A197,ITEMS_MASTER!A:B,2,FALSE),"")</f>
        <v/>
      </c>
      <c r="C197">
        <f>SUMIFS(STOCK_MOVEMENTS!E:E,STOCK_MOVEMENTS!B:B,A197,STOCK_MOVEMENTS!D:D,"IN")</f>
        <v/>
      </c>
      <c r="D197">
        <f>SUMIFS(STOCK_MOVEMENTS!E:E,STOCK_MOVEMENTS!B:B,A197,STOCK_MOVEMENTS!D:D,"OUT")</f>
        <v/>
      </c>
      <c r="E197">
        <f>C197-D197</f>
        <v/>
      </c>
      <c r="F197">
        <f>IFERROR(VLOOKUP(A197,ITEMS_MASTER!A:E,5,FALSE),"")</f>
        <v/>
      </c>
      <c r="G197">
        <f>IF(E197=0,"RUPTURE",IF(E197&lt;=F197,"ALERTE","OK"))</f>
        <v/>
      </c>
    </row>
    <row r="198">
      <c r="B198">
        <f>IFERROR(VLOOKUP(A198,ITEMS_MASTER!A:B,2,FALSE),"")</f>
        <v/>
      </c>
      <c r="C198">
        <f>SUMIFS(STOCK_MOVEMENTS!E:E,STOCK_MOVEMENTS!B:B,A198,STOCK_MOVEMENTS!D:D,"IN")</f>
        <v/>
      </c>
      <c r="D198">
        <f>SUMIFS(STOCK_MOVEMENTS!E:E,STOCK_MOVEMENTS!B:B,A198,STOCK_MOVEMENTS!D:D,"OUT")</f>
        <v/>
      </c>
      <c r="E198">
        <f>C198-D198</f>
        <v/>
      </c>
      <c r="F198">
        <f>IFERROR(VLOOKUP(A198,ITEMS_MASTER!A:E,5,FALSE),"")</f>
        <v/>
      </c>
      <c r="G198">
        <f>IF(E198=0,"RUPTURE",IF(E198&lt;=F198,"ALERTE","OK"))</f>
        <v/>
      </c>
    </row>
    <row r="199">
      <c r="B199">
        <f>IFERROR(VLOOKUP(A199,ITEMS_MASTER!A:B,2,FALSE),"")</f>
        <v/>
      </c>
      <c r="C199">
        <f>SUMIFS(STOCK_MOVEMENTS!E:E,STOCK_MOVEMENTS!B:B,A199,STOCK_MOVEMENTS!D:D,"IN")</f>
        <v/>
      </c>
      <c r="D199">
        <f>SUMIFS(STOCK_MOVEMENTS!E:E,STOCK_MOVEMENTS!B:B,A199,STOCK_MOVEMENTS!D:D,"OUT")</f>
        <v/>
      </c>
      <c r="E199">
        <f>C199-D199</f>
        <v/>
      </c>
      <c r="F199">
        <f>IFERROR(VLOOKUP(A199,ITEMS_MASTER!A:E,5,FALSE),"")</f>
        <v/>
      </c>
      <c r="G199">
        <f>IF(E199=0,"RUPTURE",IF(E199&lt;=F199,"ALERTE","OK"))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2026-03-20T21:28:23Z</dcterms:created>
  <dcterms:modified xmlns:dcterms="http://purl.org/dc/terms/" xmlns:xsi="http://www.w3.org/2001/XMLSchema-instance" xsi:type="dcterms:W3CDTF">2026-03-20T21:28:23Z</dcterms:modified>
</cp:coreProperties>
</file>