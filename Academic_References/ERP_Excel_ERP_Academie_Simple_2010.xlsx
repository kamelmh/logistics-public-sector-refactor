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MOUVEMENTS" sheetId="2" state="visible" r:id="rId2"/>
    <sheet xmlns:r="http://schemas.openxmlformats.org/officeDocument/2006/relationships" name="TABLEAU DE BORD" sheetId="3" state="visible" r:id="rId3"/>
  </sheets>
  <definedNames/>
  <calcPr calcId="124519" fullCalcOnLoad="1"/>
</workbook>
</file>

<file path=xl/styles.xml><?xml version="1.0" encoding="utf-8"?>
<styleSheet xmlns="http://schemas.openxmlformats.org/spreadsheetml/2006/main">
  <numFmts count="4">
    <numFmt numFmtId="164" formatCode="#,##0 &quot;DA&quot;"/>
    <numFmt numFmtId="165" formatCode="yyyy-mm-dd"/>
    <numFmt numFmtId="166" formatCode="DD/MM/YYYY"/>
    <numFmt numFmtId="167" formatCode="#,##0.00 &quot;DA&quot;"/>
  </numFmts>
  <fonts count="22">
    <font>
      <name val="Calibri"/>
      <family val="2"/>
      <color theme="1"/>
      <sz val="11"/>
      <scheme val="minor"/>
    </font>
    <font>
      <name val="Arial"/>
      <b val="1"/>
      <color rgb="00FFFFFF"/>
      <sz val="13"/>
    </font>
    <font>
      <name val="Arial"/>
      <b val="1"/>
      <color rgb="00FFFFFF"/>
      <sz val="10"/>
    </font>
    <font>
      <name val="Arial"/>
      <color rgb="00000000"/>
      <sz val="10"/>
    </font>
    <font>
      <name val="Arial"/>
      <i val="1"/>
      <sz val="9"/>
    </font>
    <font>
      <name val="Arial"/>
      <sz val="10"/>
    </font>
    <font>
      <name val="Arial"/>
      <color rgb="000070C0"/>
      <sz val="10"/>
    </font>
    <font>
      <name val="Arial"/>
      <b val="1"/>
      <color rgb="00375623"/>
      <sz val="10"/>
    </font>
    <font>
      <name val="Arial"/>
      <b val="1"/>
      <color rgb="001F4E79"/>
      <sz val="10"/>
    </font>
    <font>
      <name val="Arial"/>
      <b val="1"/>
      <color rgb="00C00000"/>
      <sz val="10"/>
    </font>
    <font>
      <name val="Arial"/>
      <i val="1"/>
      <color rgb="00595959"/>
      <sz val="9"/>
    </font>
    <font>
      <name val="Arial"/>
      <b val="1"/>
      <color rgb="00000000"/>
      <sz val="10"/>
    </font>
    <font>
      <name val="Arial"/>
      <b val="1"/>
      <sz val="10"/>
    </font>
    <font>
      <name val="Arial"/>
      <color rgb="00375623"/>
      <sz val="10"/>
    </font>
    <font>
      <name val="Arial"/>
      <color rgb="00C00000"/>
      <sz val="10"/>
    </font>
    <font>
      <name val="Arial"/>
      <b val="1"/>
      <color rgb="001F4E79"/>
      <sz val="11"/>
    </font>
    <font>
      <name val="Arial"/>
      <color rgb="00412402"/>
      <sz val="10"/>
    </font>
    <font>
      <name val="Arial"/>
      <b val="1"/>
      <color rgb="00412402"/>
      <sz val="10"/>
    </font>
    <font>
      <name val="Arial"/>
      <color rgb="007F3F00"/>
      <sz val="10"/>
    </font>
    <font>
      <name val="Arial"/>
      <color rgb="001F4E79"/>
      <sz val="10"/>
    </font>
    <font>
      <name val="Arial"/>
      <b val="1"/>
      <color rgb="001F4E79"/>
      <sz val="12"/>
    </font>
    <font>
      <name val="Arial"/>
      <i val="1"/>
      <color rgb="00808080"/>
      <sz val="9"/>
    </font>
  </fonts>
  <fills count="14">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FFFFFF"/>
        <bgColor rgb="00FFFFFF"/>
      </patternFill>
    </fill>
    <fill>
      <patternFill patternType="solid">
        <fgColor rgb="00F2F2F2"/>
        <bgColor rgb="00F2F2F2"/>
      </patternFill>
    </fill>
    <fill>
      <patternFill patternType="solid">
        <fgColor rgb="00FFE699"/>
        <bgColor rgb="00FFE699"/>
      </patternFill>
    </fill>
    <fill>
      <patternFill patternType="solid">
        <fgColor rgb="00D9F0D3"/>
        <bgColor rgb="00D9F0D3"/>
      </patternFill>
    </fill>
    <fill>
      <patternFill patternType="solid">
        <fgColor rgb="00375623"/>
        <bgColor rgb="00375623"/>
      </patternFill>
    </fill>
    <fill>
      <patternFill patternType="solid">
        <fgColor rgb="00EBF3FB"/>
        <bgColor rgb="00EBF3FB"/>
      </patternFill>
    </fill>
    <fill>
      <patternFill patternType="solid">
        <fgColor rgb="00FFE7E7"/>
        <bgColor rgb="00FFE7E7"/>
      </patternFill>
    </fill>
    <fill>
      <patternFill patternType="solid">
        <fgColor rgb="00DEEAF1"/>
        <bgColor rgb="00DEEAF1"/>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3" fillId="5" borderId="1" applyAlignment="1" pivotButton="0" quotePrefix="0" xfId="0">
      <alignment horizontal="center" vertical="center"/>
    </xf>
    <xf numFmtId="3" fontId="3" fillId="4" borderId="1" applyAlignment="1" pivotButton="0" quotePrefix="0" xfId="0">
      <alignment horizontal="center" vertical="center"/>
    </xf>
    <xf numFmtId="164" fontId="3" fillId="4"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6" borderId="0" pivotButton="0" quotePrefix="0" xfId="0"/>
    <xf numFmtId="0" fontId="4" fillId="7" borderId="0" pivotButton="0" quotePrefix="0" xfId="0"/>
    <xf numFmtId="0" fontId="4" fillId="5" borderId="0" pivotButton="0" quotePrefix="0" xfId="0"/>
    <xf numFmtId="0" fontId="2" fillId="8" borderId="1" applyAlignment="1" pivotButton="0" quotePrefix="0" xfId="0">
      <alignment horizontal="center" vertical="center" wrapText="1"/>
    </xf>
    <xf numFmtId="166" fontId="5" fillId="4" borderId="1" applyAlignment="1" pivotButton="0" quotePrefix="0" xfId="0">
      <alignment horizontal="center"/>
    </xf>
    <xf numFmtId="0" fontId="3" fillId="9" borderId="1" applyAlignment="1" pivotButton="0" quotePrefix="0" xfId="0">
      <alignment horizontal="center" vertical="center"/>
    </xf>
    <xf numFmtId="0" fontId="6" fillId="9" borderId="1" pivotButton="0" quotePrefix="0" xfId="0"/>
    <xf numFmtId="0" fontId="7" fillId="7" borderId="1" applyAlignment="1" pivotButton="0" quotePrefix="0" xfId="0">
      <alignment horizontal="center" vertical="center"/>
    </xf>
    <xf numFmtId="164" fontId="3" fillId="4" borderId="1" applyAlignment="1" pivotButton="0" quotePrefix="0" xfId="0">
      <alignment horizontal="right" vertical="center"/>
    </xf>
    <xf numFmtId="164" fontId="8" fillId="9" borderId="1" applyAlignment="1" pivotButton="0" quotePrefix="0" xfId="0">
      <alignment horizontal="right"/>
    </xf>
    <xf numFmtId="0" fontId="9" fillId="10" borderId="1" applyAlignment="1" pivotButton="0" quotePrefix="0" xfId="0">
      <alignment horizontal="center" vertical="center"/>
    </xf>
    <xf numFmtId="0" fontId="0" fillId="0" borderId="1" pivotButton="0" quotePrefix="0" xfId="0"/>
    <xf numFmtId="164" fontId="8" fillId="9" borderId="1" pivotButton="0" quotePrefix="0" xfId="0"/>
    <xf numFmtId="0" fontId="10" fillId="5" borderId="0" pivotButton="0" quotePrefix="0" xfId="0"/>
    <xf numFmtId="0" fontId="2" fillId="3" borderId="0" pivotButton="0" quotePrefix="0" xfId="0"/>
    <xf numFmtId="0" fontId="11" fillId="5" borderId="1" applyAlignment="1" pivotButton="0" quotePrefix="0" xfId="0">
      <alignment horizontal="center" vertical="center"/>
    </xf>
    <xf numFmtId="0" fontId="5" fillId="5" borderId="1" pivotButton="0" quotePrefix="0" xfId="0"/>
    <xf numFmtId="0" fontId="12" fillId="5" borderId="1" applyAlignment="1" pivotButton="0" quotePrefix="0" xfId="0">
      <alignment horizontal="center"/>
    </xf>
    <xf numFmtId="3" fontId="13" fillId="5" borderId="1" applyAlignment="1" pivotButton="0" quotePrefix="0" xfId="0">
      <alignment horizontal="center"/>
    </xf>
    <xf numFmtId="3" fontId="14" fillId="5" borderId="1" applyAlignment="1" pivotButton="0" quotePrefix="0" xfId="0">
      <alignment horizontal="center"/>
    </xf>
    <xf numFmtId="3" fontId="15" fillId="11" borderId="1" applyAlignment="1" pivotButton="0" quotePrefix="0" xfId="0">
      <alignment horizontal="center"/>
    </xf>
    <xf numFmtId="3" fontId="5" fillId="5" borderId="1" applyAlignment="1" pivotButton="0" quotePrefix="0" xfId="0">
      <alignment horizontal="center"/>
    </xf>
    <xf numFmtId="167" fontId="16" fillId="12" borderId="1" applyAlignment="1" pivotButton="0" quotePrefix="0" xfId="0">
      <alignment horizontal="right"/>
    </xf>
    <xf numFmtId="164" fontId="17" fillId="12" borderId="1" applyAlignment="1" pivotButton="0" quotePrefix="0" xfId="0">
      <alignment horizontal="right"/>
    </xf>
    <xf numFmtId="3" fontId="18" fillId="13" borderId="1" applyAlignment="1" pivotButton="0" quotePrefix="0" xfId="0">
      <alignment horizontal="center"/>
    </xf>
    <xf numFmtId="0" fontId="2" fillId="8" borderId="0" pivotButton="0" quotePrefix="0" xfId="0"/>
    <xf numFmtId="0" fontId="19" fillId="0" borderId="0" pivotButton="0" quotePrefix="0" xfId="0"/>
    <xf numFmtId="3" fontId="20" fillId="11" borderId="1" applyAlignment="1" pivotButton="0" quotePrefix="0" xfId="0">
      <alignment horizontal="center"/>
    </xf>
    <xf numFmtId="9" fontId="20" fillId="11" borderId="1" applyAlignment="1" pivotButton="0" quotePrefix="0" xfId="0">
      <alignment horizontal="center"/>
    </xf>
    <xf numFmtId="0" fontId="5" fillId="0" borderId="0" pivotButton="0" quotePrefix="0" xfId="0"/>
    <xf numFmtId="3" fontId="20" fillId="12" borderId="1" applyAlignment="1" pivotButton="0" quotePrefix="0" xfId="0">
      <alignment horizontal="center"/>
    </xf>
    <xf numFmtId="0" fontId="21" fillId="0" borderId="0" pivotButton="0" quotePrefix="0" xfId="0"/>
    <xf numFmtId="164" fontId="20" fillId="12" borderId="1" applyAlignment="1" pivotButton="0" quotePrefix="0" xfId="0">
      <alignment horizontal="center"/>
    </xf>
  </cellXfs>
  <cellStyles count="1">
    <cellStyle name="Normal" xfId="0" builtinId="0" hidden="0"/>
  </cellStyles>
  <dxfs count="4">
    <dxf>
      <font>
        <name val="Arial"/>
        <b val="1"/>
        <color rgb="00C00000"/>
      </font>
      <fill>
        <patternFill patternType="solid">
          <fgColor rgb="00FFB3B3"/>
          <bgColor rgb="00FFB3B3"/>
        </patternFill>
      </fill>
    </dxf>
    <dxf>
      <font>
        <name val="Arial"/>
        <b val="1"/>
        <color rgb="007F3F00"/>
      </font>
      <fill>
        <patternFill patternType="solid">
          <fgColor rgb="00FCE4D6"/>
          <bgColor rgb="00FCE4D6"/>
        </patternFill>
      </fill>
    </dxf>
    <dxf>
      <font>
        <name val="Arial"/>
        <b val="1"/>
        <color rgb="00806000"/>
      </font>
      <fill>
        <patternFill patternType="solid">
          <fgColor rgb="00FFF2CC"/>
          <bgColor rgb="00FFF2CC"/>
        </patternFill>
      </fill>
    </dxf>
    <dxf>
      <font>
        <name val="Arial"/>
        <b val="1"/>
        <color rgb="00375623"/>
      </font>
      <fill>
        <patternFill patternType="solid">
          <fgColor rgb="00D9F0D3"/>
          <bgColor rgb="00D9F0D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I14"/>
  <sheetViews>
    <sheetView showGridLines="0" workbookViewId="0">
      <pane ySplit="2" topLeftCell="A3" activePane="bottomLeft" state="frozen"/>
      <selection pane="bottomLeft" activeCell="A1" sqref="A1"/>
    </sheetView>
  </sheetViews>
  <sheetFormatPr baseColWidth="8" defaultRowHeight="15"/>
  <cols>
    <col width="12" customWidth="1" min="1" max="1"/>
    <col width="28" customWidth="1" min="2" max="2"/>
    <col width="9" customWidth="1" min="3" max="3"/>
    <col width="10" customWidth="1" min="4" max="4"/>
    <col width="11" customWidth="1" min="5" max="5"/>
    <col width="11" customWidth="1" min="6" max="6"/>
    <col width="15" customWidth="1" min="7" max="7"/>
    <col width="24" customWidth="1" min="8" max="8"/>
    <col width="13" customWidth="1" min="9" max="9"/>
  </cols>
  <sheetData>
    <row r="1" ht="34" customHeight="1">
      <c r="A1" s="1" t="inlineStr">
        <is>
          <t>CATALOGUE DES ARTICLES  —  MAGASIN ACADEMIE EL BAYADH</t>
        </is>
      </c>
    </row>
    <row r="2" ht="24" customHeight="1">
      <c r="A2" s="2" t="inlineStr">
        <is>
          <t>Code Article</t>
        </is>
      </c>
      <c r="B2" s="2" t="inlineStr">
        <is>
          <t>Designation</t>
        </is>
      </c>
      <c r="C2" s="2" t="inlineStr">
        <is>
          <t>Unite</t>
        </is>
      </c>
      <c r="D2" s="2" t="inlineStr">
        <is>
          <t>Classe ABC</t>
        </is>
      </c>
      <c r="E2" s="2" t="inlineStr">
        <is>
          <t>Stock Min</t>
        </is>
      </c>
      <c r="F2" s="2" t="inlineStr">
        <is>
          <t>Stock Max</t>
        </is>
      </c>
      <c r="G2" s="2" t="inlineStr">
        <is>
          <t>Prix Unitaire (DA)</t>
        </is>
      </c>
      <c r="H2" s="2" t="inlineStr">
        <is>
          <t>Fournisseur</t>
        </is>
      </c>
      <c r="I2" s="2" t="inlineStr">
        <is>
          <t>Emplacement</t>
        </is>
      </c>
    </row>
    <row r="3">
      <c r="A3" s="3" t="inlineStr">
        <is>
          <t>ART-001</t>
        </is>
      </c>
      <c r="B3" s="4" t="inlineStr">
        <is>
          <t>Rame papier A4 80g</t>
        </is>
      </c>
      <c r="C3" s="3" t="inlineStr">
        <is>
          <t>Rame</t>
        </is>
      </c>
      <c r="D3" s="5" t="inlineStr">
        <is>
          <t>C</t>
        </is>
      </c>
      <c r="E3" s="6" t="n">
        <v>400</v>
      </c>
      <c r="F3" s="6" t="n">
        <v>1500</v>
      </c>
      <c r="G3" s="7" t="n">
        <v>180</v>
      </c>
      <c r="H3" s="4" t="inlineStr">
        <is>
          <t>Papeterie ENAP Alger</t>
        </is>
      </c>
      <c r="I3" s="3" t="inlineStr">
        <is>
          <t>Rayon A-E1</t>
        </is>
      </c>
    </row>
    <row r="4">
      <c r="A4" s="3" t="inlineStr">
        <is>
          <t>ART-002</t>
        </is>
      </c>
      <c r="B4" s="4" t="inlineStr">
        <is>
          <t>Toner laser noir HP</t>
        </is>
      </c>
      <c r="C4" s="3" t="inlineStr">
        <is>
          <t>Unite</t>
        </is>
      </c>
      <c r="D4" s="8" t="inlineStr">
        <is>
          <t>A</t>
        </is>
      </c>
      <c r="E4" s="6" t="n">
        <v>5</v>
      </c>
      <c r="F4" s="6" t="n">
        <v>30</v>
      </c>
      <c r="G4" s="7" t="n">
        <v>3500</v>
      </c>
      <c r="H4" s="4" t="inlineStr">
        <is>
          <t>Bureautique Center Oran</t>
        </is>
      </c>
      <c r="I4" s="3" t="inlineStr">
        <is>
          <t>Rayon B-E2</t>
        </is>
      </c>
    </row>
    <row r="5">
      <c r="A5" s="3" t="inlineStr">
        <is>
          <t>ART-003</t>
        </is>
      </c>
      <c r="B5" s="4" t="inlineStr">
        <is>
          <t>Cartouche encre couleur Canon</t>
        </is>
      </c>
      <c r="C5" s="3" t="inlineStr">
        <is>
          <t>Unite</t>
        </is>
      </c>
      <c r="D5" s="8" t="inlineStr">
        <is>
          <t>A</t>
        </is>
      </c>
      <c r="E5" s="6" t="n">
        <v>4</v>
      </c>
      <c r="F5" s="6" t="n">
        <v>20</v>
      </c>
      <c r="G5" s="7" t="n">
        <v>2200</v>
      </c>
      <c r="H5" s="4" t="inlineStr">
        <is>
          <t>Bureautique Center Oran</t>
        </is>
      </c>
      <c r="I5" s="3" t="inlineStr">
        <is>
          <t>Rayon B-E2</t>
        </is>
      </c>
    </row>
    <row r="6">
      <c r="A6" s="3" t="inlineStr">
        <is>
          <t>ART-004</t>
        </is>
      </c>
      <c r="B6" s="4" t="inlineStr">
        <is>
          <t>Stylo bille bleu boite 50</t>
        </is>
      </c>
      <c r="C6" s="3" t="inlineStr">
        <is>
          <t>Boite</t>
        </is>
      </c>
      <c r="D6" s="5" t="inlineStr">
        <is>
          <t>C</t>
        </is>
      </c>
      <c r="E6" s="6" t="n">
        <v>2</v>
      </c>
      <c r="F6" s="6" t="n">
        <v>15</v>
      </c>
      <c r="G6" s="7" t="n">
        <v>450</v>
      </c>
      <c r="H6" s="4" t="inlineStr">
        <is>
          <t>Papeterie ENAP Alger</t>
        </is>
      </c>
      <c r="I6" s="3" t="inlineStr">
        <is>
          <t>Rayon A-E1</t>
        </is>
      </c>
    </row>
    <row r="7">
      <c r="A7" s="3" t="inlineStr">
        <is>
          <t>ART-005</t>
        </is>
      </c>
      <c r="B7" s="4" t="inlineStr">
        <is>
          <t>Cahier grand format 192p</t>
        </is>
      </c>
      <c r="C7" s="3" t="inlineStr">
        <is>
          <t>Unite</t>
        </is>
      </c>
      <c r="D7" s="9" t="inlineStr">
        <is>
          <t>B</t>
        </is>
      </c>
      <c r="E7" s="6" t="n">
        <v>50</v>
      </c>
      <c r="F7" s="6" t="n">
        <v>300</v>
      </c>
      <c r="G7" s="7" t="n">
        <v>85</v>
      </c>
      <c r="H7" s="4" t="inlineStr">
        <is>
          <t>Papeterie ENAP Alger</t>
        </is>
      </c>
      <c r="I7" s="3" t="inlineStr">
        <is>
          <t>Rayon A-E2</t>
        </is>
      </c>
    </row>
    <row r="8">
      <c r="A8" s="3" t="inlineStr">
        <is>
          <t>ART-006</t>
        </is>
      </c>
      <c r="B8" s="4" t="inlineStr">
        <is>
          <t>Agrafeuse de bureau</t>
        </is>
      </c>
      <c r="C8" s="3" t="inlineStr">
        <is>
          <t>Unite</t>
        </is>
      </c>
      <c r="D8" s="5" t="inlineStr">
        <is>
          <t>C</t>
        </is>
      </c>
      <c r="E8" s="6" t="n">
        <v>2</v>
      </c>
      <c r="F8" s="6" t="n">
        <v>10</v>
      </c>
      <c r="G8" s="7" t="n">
        <v>650</v>
      </c>
      <c r="H8" s="4" t="inlineStr">
        <is>
          <t>Bureau Plus Alger</t>
        </is>
      </c>
      <c r="I8" s="3" t="inlineStr">
        <is>
          <t>Rayon C-E1</t>
        </is>
      </c>
    </row>
    <row r="9">
      <c r="A9" s="3" t="inlineStr">
        <is>
          <t>ART-007</t>
        </is>
      </c>
      <c r="B9" s="4" t="inlineStr">
        <is>
          <t>Rame papier A3 80g</t>
        </is>
      </c>
      <c r="C9" s="3" t="inlineStr">
        <is>
          <t>Rame</t>
        </is>
      </c>
      <c r="D9" s="9" t="inlineStr">
        <is>
          <t>B</t>
        </is>
      </c>
      <c r="E9" s="6" t="n">
        <v>50</v>
      </c>
      <c r="F9" s="6" t="n">
        <v>300</v>
      </c>
      <c r="G9" s="7" t="n">
        <v>320</v>
      </c>
      <c r="H9" s="4" t="inlineStr">
        <is>
          <t>Papeterie ENAP Alger</t>
        </is>
      </c>
      <c r="I9" s="3" t="inlineStr">
        <is>
          <t>Rayon A-E3</t>
        </is>
      </c>
    </row>
    <row r="10">
      <c r="A10" s="3" t="inlineStr">
        <is>
          <t>ART-008</t>
        </is>
      </c>
      <c r="B10" s="4" t="inlineStr">
        <is>
          <t>Marqueur permanent noir</t>
        </is>
      </c>
      <c r="C10" s="3" t="inlineStr">
        <is>
          <t>Unite</t>
        </is>
      </c>
      <c r="D10" s="5" t="inlineStr">
        <is>
          <t>C</t>
        </is>
      </c>
      <c r="E10" s="6" t="n">
        <v>10</v>
      </c>
      <c r="F10" s="6" t="n">
        <v>60</v>
      </c>
      <c r="G10" s="7" t="n">
        <v>85</v>
      </c>
      <c r="H10" s="4" t="inlineStr">
        <is>
          <t>Papeterie ENAP Alger</t>
        </is>
      </c>
      <c r="I10" s="3" t="inlineStr">
        <is>
          <t>Rayon A-E1</t>
        </is>
      </c>
    </row>
    <row r="12">
      <c r="A12" s="10" t="inlineStr">
        <is>
          <t>Classe A = articles strategiques (forte valeur)  — controle mensuel</t>
        </is>
      </c>
    </row>
    <row r="13">
      <c r="A13" s="11" t="inlineStr">
        <is>
          <t>Classe B = articles intermediaires  — controle trimestriel</t>
        </is>
      </c>
    </row>
    <row r="14">
      <c r="A14" s="12" t="inlineStr">
        <is>
          <t>Classe C = articles courants (faible valeur)  — controle semestriel</t>
        </is>
      </c>
    </row>
  </sheetData>
  <mergeCells count="4">
    <mergeCell ref="A1:I1"/>
    <mergeCell ref="A12:I12"/>
    <mergeCell ref="A13:I13"/>
    <mergeCell ref="A14:I14"/>
  </mergeCells>
  <pageMargins left="0.75" right="0.75" top="1" bottom="1" header="0.5" footer="0.5"/>
</worksheet>
</file>

<file path=xl/worksheets/sheet2.xml><?xml version="1.0" encoding="utf-8"?>
<worksheet xmlns="http://schemas.openxmlformats.org/spreadsheetml/2006/main">
  <sheetPr>
    <tabColor rgb="00375623"/>
    <outlinePr summaryBelow="1" summaryRight="1"/>
    <pageSetUpPr/>
  </sheetPr>
  <dimension ref="A1:H64"/>
  <sheetViews>
    <sheetView showGridLines="0" workbookViewId="0">
      <pane ySplit="2" topLeftCell="A3" activePane="bottomLeft" state="frozen"/>
      <selection pane="bottomLeft" activeCell="A1" sqref="A1"/>
    </sheetView>
  </sheetViews>
  <sheetFormatPr baseColWidth="8" defaultRowHeight="15"/>
  <cols>
    <col width="12" customWidth="1" min="1" max="1"/>
    <col width="13" customWidth="1" min="2" max="2"/>
    <col width="28" customWidth="1" min="3" max="3"/>
    <col width="12" customWidth="1" min="4" max="4"/>
    <col width="11" customWidth="1" min="5" max="5"/>
    <col width="15" customWidth="1" min="6" max="6"/>
    <col width="13" customWidth="1" min="7" max="7"/>
    <col width="14" customWidth="1" min="8" max="8"/>
  </cols>
  <sheetData>
    <row r="1" ht="34" customHeight="1">
      <c r="A1" s="1" t="inlineStr">
        <is>
          <t>REGISTRE DES MOUVEMENTS  —  ENTREES / SORTIES</t>
        </is>
      </c>
    </row>
    <row r="2" ht="24" customHeight="1">
      <c r="A2" s="2" t="inlineStr">
        <is>
          <t>Date</t>
        </is>
      </c>
      <c r="B2" s="2" t="inlineStr">
        <is>
          <t>Code Article</t>
        </is>
      </c>
      <c r="C2" s="2" t="inlineStr">
        <is>
          <t>Designation (auto)</t>
        </is>
      </c>
      <c r="D2" s="13" t="inlineStr">
        <is>
          <t>Type IN/OUT</t>
        </is>
      </c>
      <c r="E2" s="2" t="inlineStr">
        <is>
          <t>Quantite</t>
        </is>
      </c>
      <c r="F2" s="2" t="inlineStr">
        <is>
          <t>Prix Unitaire (DA)</t>
        </is>
      </c>
      <c r="G2" s="2" t="inlineStr">
        <is>
          <t>Valeur (DA)</t>
        </is>
      </c>
      <c r="H2" s="2" t="inlineStr">
        <is>
          <t>Reference Doc</t>
        </is>
      </c>
    </row>
    <row r="3">
      <c r="A3" s="14" t="n">
        <v>46054</v>
      </c>
      <c r="B3" s="15" t="inlineStr">
        <is>
          <t>ART-001</t>
        </is>
      </c>
      <c r="C3" s="16">
        <f>IFERROR(VLOOKUP(B3,ARTICLES!A:B,2,FALSE),"")</f>
        <v/>
      </c>
      <c r="D3" s="17" t="inlineStr">
        <is>
          <t>IN</t>
        </is>
      </c>
      <c r="E3" s="6" t="n">
        <v>1000</v>
      </c>
      <c r="F3" s="18" t="n">
        <v>180</v>
      </c>
      <c r="G3" s="19">
        <f>IF(OR(E3="",F3=""),"",E3*F3)</f>
        <v/>
      </c>
      <c r="H3" s="3" t="inlineStr">
        <is>
          <t>BR-001</t>
        </is>
      </c>
    </row>
    <row r="4">
      <c r="A4" s="14" t="n">
        <v>46054</v>
      </c>
      <c r="B4" s="15" t="inlineStr">
        <is>
          <t>ART-002</t>
        </is>
      </c>
      <c r="C4" s="16">
        <f>IFERROR(VLOOKUP(B4,ARTICLES!A:B,2,FALSE),"")</f>
        <v/>
      </c>
      <c r="D4" s="17" t="inlineStr">
        <is>
          <t>IN</t>
        </is>
      </c>
      <c r="E4" s="6" t="n">
        <v>10</v>
      </c>
      <c r="F4" s="18" t="n">
        <v>3500</v>
      </c>
      <c r="G4" s="19">
        <f>IF(OR(E4="",F4=""),"",E4*F4)</f>
        <v/>
      </c>
      <c r="H4" s="3" t="inlineStr">
        <is>
          <t>BR-001</t>
        </is>
      </c>
    </row>
    <row r="5">
      <c r="A5" s="14" t="n">
        <v>46054</v>
      </c>
      <c r="B5" s="15" t="inlineStr">
        <is>
          <t>ART-003</t>
        </is>
      </c>
      <c r="C5" s="16">
        <f>IFERROR(VLOOKUP(B5,ARTICLES!A:B,2,FALSE),"")</f>
        <v/>
      </c>
      <c r="D5" s="17" t="inlineStr">
        <is>
          <t>IN</t>
        </is>
      </c>
      <c r="E5" s="6" t="n">
        <v>8</v>
      </c>
      <c r="F5" s="18" t="n">
        <v>2200</v>
      </c>
      <c r="G5" s="19">
        <f>IF(OR(E5="",F5=""),"",E5*F5)</f>
        <v/>
      </c>
      <c r="H5" s="3" t="inlineStr">
        <is>
          <t>BR-001</t>
        </is>
      </c>
    </row>
    <row r="6">
      <c r="A6" s="14" t="n">
        <v>46058</v>
      </c>
      <c r="B6" s="15" t="inlineStr">
        <is>
          <t>ART-001</t>
        </is>
      </c>
      <c r="C6" s="16">
        <f>IFERROR(VLOOKUP(B6,ARTICLES!A:B,2,FALSE),"")</f>
        <v/>
      </c>
      <c r="D6" s="20" t="inlineStr">
        <is>
          <t>OUT</t>
        </is>
      </c>
      <c r="E6" s="6" t="n">
        <v>50</v>
      </c>
      <c r="F6" s="18" t="n">
        <v>180</v>
      </c>
      <c r="G6" s="19">
        <f>IF(OR(E6="",F6=""),"",E6*F6)</f>
        <v/>
      </c>
      <c r="H6" s="3" t="inlineStr">
        <is>
          <t>BS-001</t>
        </is>
      </c>
    </row>
    <row r="7">
      <c r="A7" s="14" t="n">
        <v>46061</v>
      </c>
      <c r="B7" s="15" t="inlineStr">
        <is>
          <t>ART-005</t>
        </is>
      </c>
      <c r="C7" s="16">
        <f>IFERROR(VLOOKUP(B7,ARTICLES!A:B,2,FALSE),"")</f>
        <v/>
      </c>
      <c r="D7" s="17" t="inlineStr">
        <is>
          <t>IN</t>
        </is>
      </c>
      <c r="E7" s="6" t="n">
        <v>200</v>
      </c>
      <c r="F7" s="18" t="n">
        <v>85</v>
      </c>
      <c r="G7" s="19">
        <f>IF(OR(E7="",F7=""),"",E7*F7)</f>
        <v/>
      </c>
      <c r="H7" s="3" t="inlineStr">
        <is>
          <t>BR-002</t>
        </is>
      </c>
    </row>
    <row r="8">
      <c r="A8" s="14" t="n">
        <v>46063</v>
      </c>
      <c r="B8" s="15" t="inlineStr">
        <is>
          <t>ART-001</t>
        </is>
      </c>
      <c r="C8" s="16">
        <f>IFERROR(VLOOKUP(B8,ARTICLES!A:B,2,FALSE),"")</f>
        <v/>
      </c>
      <c r="D8" s="20" t="inlineStr">
        <is>
          <t>OUT</t>
        </is>
      </c>
      <c r="E8" s="6" t="n">
        <v>100</v>
      </c>
      <c r="F8" s="18" t="n">
        <v>180</v>
      </c>
      <c r="G8" s="19">
        <f>IF(OR(E8="",F8=""),"",E8*F8)</f>
        <v/>
      </c>
      <c r="H8" s="3" t="inlineStr">
        <is>
          <t>BS-002</t>
        </is>
      </c>
    </row>
    <row r="9">
      <c r="A9" s="14" t="n">
        <v>46068</v>
      </c>
      <c r="B9" s="15" t="inlineStr">
        <is>
          <t>ART-002</t>
        </is>
      </c>
      <c r="C9" s="16">
        <f>IFERROR(VLOOKUP(B9,ARTICLES!A:B,2,FALSE),"")</f>
        <v/>
      </c>
      <c r="D9" s="20" t="inlineStr">
        <is>
          <t>OUT</t>
        </is>
      </c>
      <c r="E9" s="6" t="n">
        <v>2</v>
      </c>
      <c r="F9" s="18" t="n">
        <v>3500</v>
      </c>
      <c r="G9" s="19">
        <f>IF(OR(E9="",F9=""),"",E9*F9)</f>
        <v/>
      </c>
      <c r="H9" s="3" t="inlineStr">
        <is>
          <t>BS-003</t>
        </is>
      </c>
    </row>
    <row r="10">
      <c r="A10" s="14" t="n">
        <v>46082</v>
      </c>
      <c r="B10" s="15" t="inlineStr">
        <is>
          <t>ART-001</t>
        </is>
      </c>
      <c r="C10" s="16">
        <f>IFERROR(VLOOKUP(B10,ARTICLES!A:B,2,FALSE),"")</f>
        <v/>
      </c>
      <c r="D10" s="17" t="inlineStr">
        <is>
          <t>IN</t>
        </is>
      </c>
      <c r="E10" s="6" t="n">
        <v>500</v>
      </c>
      <c r="F10" s="18" t="n">
        <v>180</v>
      </c>
      <c r="G10" s="19">
        <f>IF(OR(E10="",F10=""),"",E10*F10)</f>
        <v/>
      </c>
      <c r="H10" s="3" t="inlineStr">
        <is>
          <t>BR-004</t>
        </is>
      </c>
    </row>
    <row r="11">
      <c r="A11" s="14" t="n">
        <v>46086</v>
      </c>
      <c r="B11" s="15" t="inlineStr">
        <is>
          <t>ART-001</t>
        </is>
      </c>
      <c r="C11" s="16">
        <f>IFERROR(VLOOKUP(B11,ARTICLES!A:B,2,FALSE),"")</f>
        <v/>
      </c>
      <c r="D11" s="20" t="inlineStr">
        <is>
          <t>OUT</t>
        </is>
      </c>
      <c r="E11" s="6" t="n">
        <v>80</v>
      </c>
      <c r="F11" s="18" t="n">
        <v>180</v>
      </c>
      <c r="G11" s="19">
        <f>IF(OR(E11="",F11=""),"",E11*F11)</f>
        <v/>
      </c>
      <c r="H11" s="3" t="inlineStr">
        <is>
          <t>BS-005</t>
        </is>
      </c>
    </row>
    <row r="12">
      <c r="A12" s="14" t="n">
        <v>46091</v>
      </c>
      <c r="B12" s="15" t="inlineStr">
        <is>
          <t>ART-003</t>
        </is>
      </c>
      <c r="C12" s="16">
        <f>IFERROR(VLOOKUP(B12,ARTICLES!A:B,2,FALSE),"")</f>
        <v/>
      </c>
      <c r="D12" s="20" t="inlineStr">
        <is>
          <t>OUT</t>
        </is>
      </c>
      <c r="E12" s="6" t="n">
        <v>3</v>
      </c>
      <c r="F12" s="18" t="n">
        <v>2200</v>
      </c>
      <c r="G12" s="19">
        <f>IF(OR(E12="",F12=""),"",E12*F12)</f>
        <v/>
      </c>
      <c r="H12" s="3" t="inlineStr">
        <is>
          <t>BS-006</t>
        </is>
      </c>
    </row>
    <row r="13">
      <c r="A13" s="21" t="n"/>
      <c r="B13" s="21" t="n"/>
      <c r="C13" s="16">
        <f>IFERROR(VLOOKUP(B13,ARTICLES!A:B,2,FALSE),"")</f>
        <v/>
      </c>
      <c r="D13" s="21" t="n"/>
      <c r="E13" s="21" t="n"/>
      <c r="F13" s="21" t="n"/>
      <c r="G13" s="22">
        <f>IF(OR(E13="",F13=""),"",E13*F13)</f>
        <v/>
      </c>
      <c r="H13" s="21" t="n"/>
    </row>
    <row r="14">
      <c r="A14" s="21" t="n"/>
      <c r="B14" s="21" t="n"/>
      <c r="C14" s="16">
        <f>IFERROR(VLOOKUP(B14,ARTICLES!A:B,2,FALSE),"")</f>
        <v/>
      </c>
      <c r="D14" s="21" t="n"/>
      <c r="E14" s="21" t="n"/>
      <c r="F14" s="21" t="n"/>
      <c r="G14" s="22">
        <f>IF(OR(E14="",F14=""),"",E14*F14)</f>
        <v/>
      </c>
      <c r="H14" s="21" t="n"/>
    </row>
    <row r="15">
      <c r="A15" s="21" t="n"/>
      <c r="B15" s="21" t="n"/>
      <c r="C15" s="16">
        <f>IFERROR(VLOOKUP(B15,ARTICLES!A:B,2,FALSE),"")</f>
        <v/>
      </c>
      <c r="D15" s="21" t="n"/>
      <c r="E15" s="21" t="n"/>
      <c r="F15" s="21" t="n"/>
      <c r="G15" s="22">
        <f>IF(OR(E15="",F15=""),"",E15*F15)</f>
        <v/>
      </c>
      <c r="H15" s="21" t="n"/>
    </row>
    <row r="16">
      <c r="A16" s="21" t="n"/>
      <c r="B16" s="21" t="n"/>
      <c r="C16" s="16">
        <f>IFERROR(VLOOKUP(B16,ARTICLES!A:B,2,FALSE),"")</f>
        <v/>
      </c>
      <c r="D16" s="21" t="n"/>
      <c r="E16" s="21" t="n"/>
      <c r="F16" s="21" t="n"/>
      <c r="G16" s="22">
        <f>IF(OR(E16="",F16=""),"",E16*F16)</f>
        <v/>
      </c>
      <c r="H16" s="21" t="n"/>
    </row>
    <row r="17">
      <c r="A17" s="21" t="n"/>
      <c r="B17" s="21" t="n"/>
      <c r="C17" s="16">
        <f>IFERROR(VLOOKUP(B17,ARTICLES!A:B,2,FALSE),"")</f>
        <v/>
      </c>
      <c r="D17" s="21" t="n"/>
      <c r="E17" s="21" t="n"/>
      <c r="F17" s="21" t="n"/>
      <c r="G17" s="22">
        <f>IF(OR(E17="",F17=""),"",E17*F17)</f>
        <v/>
      </c>
      <c r="H17" s="21" t="n"/>
    </row>
    <row r="18">
      <c r="A18" s="21" t="n"/>
      <c r="B18" s="21" t="n"/>
      <c r="C18" s="16">
        <f>IFERROR(VLOOKUP(B18,ARTICLES!A:B,2,FALSE),"")</f>
        <v/>
      </c>
      <c r="D18" s="21" t="n"/>
      <c r="E18" s="21" t="n"/>
      <c r="F18" s="21" t="n"/>
      <c r="G18" s="22">
        <f>IF(OR(E18="",F18=""),"",E18*F18)</f>
        <v/>
      </c>
      <c r="H18" s="21" t="n"/>
    </row>
    <row r="19">
      <c r="A19" s="21" t="n"/>
      <c r="B19" s="21" t="n"/>
      <c r="C19" s="16">
        <f>IFERROR(VLOOKUP(B19,ARTICLES!A:B,2,FALSE),"")</f>
        <v/>
      </c>
      <c r="D19" s="21" t="n"/>
      <c r="E19" s="21" t="n"/>
      <c r="F19" s="21" t="n"/>
      <c r="G19" s="22">
        <f>IF(OR(E19="",F19=""),"",E19*F19)</f>
        <v/>
      </c>
      <c r="H19" s="21" t="n"/>
    </row>
    <row r="20">
      <c r="A20" s="21" t="n"/>
      <c r="B20" s="21" t="n"/>
      <c r="C20" s="16">
        <f>IFERROR(VLOOKUP(B20,ARTICLES!A:B,2,FALSE),"")</f>
        <v/>
      </c>
      <c r="D20" s="21" t="n"/>
      <c r="E20" s="21" t="n"/>
      <c r="F20" s="21" t="n"/>
      <c r="G20" s="22">
        <f>IF(OR(E20="",F20=""),"",E20*F20)</f>
        <v/>
      </c>
      <c r="H20" s="21" t="n"/>
    </row>
    <row r="21">
      <c r="A21" s="21" t="n"/>
      <c r="B21" s="21" t="n"/>
      <c r="C21" s="16">
        <f>IFERROR(VLOOKUP(B21,ARTICLES!A:B,2,FALSE),"")</f>
        <v/>
      </c>
      <c r="D21" s="21" t="n"/>
      <c r="E21" s="21" t="n"/>
      <c r="F21" s="21" t="n"/>
      <c r="G21" s="22">
        <f>IF(OR(E21="",F21=""),"",E21*F21)</f>
        <v/>
      </c>
      <c r="H21" s="21" t="n"/>
    </row>
    <row r="22">
      <c r="A22" s="21" t="n"/>
      <c r="B22" s="21" t="n"/>
      <c r="C22" s="16">
        <f>IFERROR(VLOOKUP(B22,ARTICLES!A:B,2,FALSE),"")</f>
        <v/>
      </c>
      <c r="D22" s="21" t="n"/>
      <c r="E22" s="21" t="n"/>
      <c r="F22" s="21" t="n"/>
      <c r="G22" s="22">
        <f>IF(OR(E22="",F22=""),"",E22*F22)</f>
        <v/>
      </c>
      <c r="H22" s="21" t="n"/>
    </row>
    <row r="23">
      <c r="A23" s="21" t="n"/>
      <c r="B23" s="21" t="n"/>
      <c r="C23" s="16">
        <f>IFERROR(VLOOKUP(B23,ARTICLES!A:B,2,FALSE),"")</f>
        <v/>
      </c>
      <c r="D23" s="21" t="n"/>
      <c r="E23" s="21" t="n"/>
      <c r="F23" s="21" t="n"/>
      <c r="G23" s="22">
        <f>IF(OR(E23="",F23=""),"",E23*F23)</f>
        <v/>
      </c>
      <c r="H23" s="21" t="n"/>
    </row>
    <row r="24">
      <c r="A24" s="21" t="n"/>
      <c r="B24" s="21" t="n"/>
      <c r="C24" s="16">
        <f>IFERROR(VLOOKUP(B24,ARTICLES!A:B,2,FALSE),"")</f>
        <v/>
      </c>
      <c r="D24" s="21" t="n"/>
      <c r="E24" s="21" t="n"/>
      <c r="F24" s="21" t="n"/>
      <c r="G24" s="22">
        <f>IF(OR(E24="",F24=""),"",E24*F24)</f>
        <v/>
      </c>
      <c r="H24" s="21" t="n"/>
    </row>
    <row r="25">
      <c r="A25" s="21" t="n"/>
      <c r="B25" s="21" t="n"/>
      <c r="C25" s="16">
        <f>IFERROR(VLOOKUP(B25,ARTICLES!A:B,2,FALSE),"")</f>
        <v/>
      </c>
      <c r="D25" s="21" t="n"/>
      <c r="E25" s="21" t="n"/>
      <c r="F25" s="21" t="n"/>
      <c r="G25" s="22">
        <f>IF(OR(E25="",F25=""),"",E25*F25)</f>
        <v/>
      </c>
      <c r="H25" s="21" t="n"/>
    </row>
    <row r="26">
      <c r="A26" s="21" t="n"/>
      <c r="B26" s="21" t="n"/>
      <c r="C26" s="16">
        <f>IFERROR(VLOOKUP(B26,ARTICLES!A:B,2,FALSE),"")</f>
        <v/>
      </c>
      <c r="D26" s="21" t="n"/>
      <c r="E26" s="21" t="n"/>
      <c r="F26" s="21" t="n"/>
      <c r="G26" s="22">
        <f>IF(OR(E26="",F26=""),"",E26*F26)</f>
        <v/>
      </c>
      <c r="H26" s="21" t="n"/>
    </row>
    <row r="27">
      <c r="A27" s="21" t="n"/>
      <c r="B27" s="21" t="n"/>
      <c r="C27" s="16">
        <f>IFERROR(VLOOKUP(B27,ARTICLES!A:B,2,FALSE),"")</f>
        <v/>
      </c>
      <c r="D27" s="21" t="n"/>
      <c r="E27" s="21" t="n"/>
      <c r="F27" s="21" t="n"/>
      <c r="G27" s="22">
        <f>IF(OR(E27="",F27=""),"",E27*F27)</f>
        <v/>
      </c>
      <c r="H27" s="21" t="n"/>
    </row>
    <row r="28">
      <c r="A28" s="21" t="n"/>
      <c r="B28" s="21" t="n"/>
      <c r="C28" s="16">
        <f>IFERROR(VLOOKUP(B28,ARTICLES!A:B,2,FALSE),"")</f>
        <v/>
      </c>
      <c r="D28" s="21" t="n"/>
      <c r="E28" s="21" t="n"/>
      <c r="F28" s="21" t="n"/>
      <c r="G28" s="22">
        <f>IF(OR(E28="",F28=""),"",E28*F28)</f>
        <v/>
      </c>
      <c r="H28" s="21" t="n"/>
    </row>
    <row r="29">
      <c r="A29" s="21" t="n"/>
      <c r="B29" s="21" t="n"/>
      <c r="C29" s="16">
        <f>IFERROR(VLOOKUP(B29,ARTICLES!A:B,2,FALSE),"")</f>
        <v/>
      </c>
      <c r="D29" s="21" t="n"/>
      <c r="E29" s="21" t="n"/>
      <c r="F29" s="21" t="n"/>
      <c r="G29" s="22">
        <f>IF(OR(E29="",F29=""),"",E29*F29)</f>
        <v/>
      </c>
      <c r="H29" s="21" t="n"/>
    </row>
    <row r="30">
      <c r="A30" s="21" t="n"/>
      <c r="B30" s="21" t="n"/>
      <c r="C30" s="16">
        <f>IFERROR(VLOOKUP(B30,ARTICLES!A:B,2,FALSE),"")</f>
        <v/>
      </c>
      <c r="D30" s="21" t="n"/>
      <c r="E30" s="21" t="n"/>
      <c r="F30" s="21" t="n"/>
      <c r="G30" s="22">
        <f>IF(OR(E30="",F30=""),"",E30*F30)</f>
        <v/>
      </c>
      <c r="H30" s="21" t="n"/>
    </row>
    <row r="31">
      <c r="A31" s="21" t="n"/>
      <c r="B31" s="21" t="n"/>
      <c r="C31" s="16">
        <f>IFERROR(VLOOKUP(B31,ARTICLES!A:B,2,FALSE),"")</f>
        <v/>
      </c>
      <c r="D31" s="21" t="n"/>
      <c r="E31" s="21" t="n"/>
      <c r="F31" s="21" t="n"/>
      <c r="G31" s="22">
        <f>IF(OR(E31="",F31=""),"",E31*F31)</f>
        <v/>
      </c>
      <c r="H31" s="21" t="n"/>
    </row>
    <row r="32">
      <c r="A32" s="21" t="n"/>
      <c r="B32" s="21" t="n"/>
      <c r="C32" s="16">
        <f>IFERROR(VLOOKUP(B32,ARTICLES!A:B,2,FALSE),"")</f>
        <v/>
      </c>
      <c r="D32" s="21" t="n"/>
      <c r="E32" s="21" t="n"/>
      <c r="F32" s="21" t="n"/>
      <c r="G32" s="22">
        <f>IF(OR(E32="",F32=""),"",E32*F32)</f>
        <v/>
      </c>
      <c r="H32" s="21" t="n"/>
    </row>
    <row r="33">
      <c r="A33" s="21" t="n"/>
      <c r="B33" s="21" t="n"/>
      <c r="C33" s="16">
        <f>IFERROR(VLOOKUP(B33,ARTICLES!A:B,2,FALSE),"")</f>
        <v/>
      </c>
      <c r="D33" s="21" t="n"/>
      <c r="E33" s="21" t="n"/>
      <c r="F33" s="21" t="n"/>
      <c r="G33" s="22">
        <f>IF(OR(E33="",F33=""),"",E33*F33)</f>
        <v/>
      </c>
      <c r="H33" s="21" t="n"/>
    </row>
    <row r="34">
      <c r="A34" s="21" t="n"/>
      <c r="B34" s="21" t="n"/>
      <c r="C34" s="16">
        <f>IFERROR(VLOOKUP(B34,ARTICLES!A:B,2,FALSE),"")</f>
        <v/>
      </c>
      <c r="D34" s="21" t="n"/>
      <c r="E34" s="21" t="n"/>
      <c r="F34" s="21" t="n"/>
      <c r="G34" s="22">
        <f>IF(OR(E34="",F34=""),"",E34*F34)</f>
        <v/>
      </c>
      <c r="H34" s="21" t="n"/>
    </row>
    <row r="35">
      <c r="A35" s="21" t="n"/>
      <c r="B35" s="21" t="n"/>
      <c r="C35" s="16">
        <f>IFERROR(VLOOKUP(B35,ARTICLES!A:B,2,FALSE),"")</f>
        <v/>
      </c>
      <c r="D35" s="21" t="n"/>
      <c r="E35" s="21" t="n"/>
      <c r="F35" s="21" t="n"/>
      <c r="G35" s="22">
        <f>IF(OR(E35="",F35=""),"",E35*F35)</f>
        <v/>
      </c>
      <c r="H35" s="21" t="n"/>
    </row>
    <row r="36">
      <c r="A36" s="21" t="n"/>
      <c r="B36" s="21" t="n"/>
      <c r="C36" s="16">
        <f>IFERROR(VLOOKUP(B36,ARTICLES!A:B,2,FALSE),"")</f>
        <v/>
      </c>
      <c r="D36" s="21" t="n"/>
      <c r="E36" s="21" t="n"/>
      <c r="F36" s="21" t="n"/>
      <c r="G36" s="22">
        <f>IF(OR(E36="",F36=""),"",E36*F36)</f>
        <v/>
      </c>
      <c r="H36" s="21" t="n"/>
    </row>
    <row r="37">
      <c r="A37" s="21" t="n"/>
      <c r="B37" s="21" t="n"/>
      <c r="C37" s="16">
        <f>IFERROR(VLOOKUP(B37,ARTICLES!A:B,2,FALSE),"")</f>
        <v/>
      </c>
      <c r="D37" s="21" t="n"/>
      <c r="E37" s="21" t="n"/>
      <c r="F37" s="21" t="n"/>
      <c r="G37" s="22">
        <f>IF(OR(E37="",F37=""),"",E37*F37)</f>
        <v/>
      </c>
      <c r="H37" s="21" t="n"/>
    </row>
    <row r="38">
      <c r="A38" s="21" t="n"/>
      <c r="B38" s="21" t="n"/>
      <c r="C38" s="16">
        <f>IFERROR(VLOOKUP(B38,ARTICLES!A:B,2,FALSE),"")</f>
        <v/>
      </c>
      <c r="D38" s="21" t="n"/>
      <c r="E38" s="21" t="n"/>
      <c r="F38" s="21" t="n"/>
      <c r="G38" s="22">
        <f>IF(OR(E38="",F38=""),"",E38*F38)</f>
        <v/>
      </c>
      <c r="H38" s="21" t="n"/>
    </row>
    <row r="39">
      <c r="A39" s="21" t="n"/>
      <c r="B39" s="21" t="n"/>
      <c r="C39" s="16">
        <f>IFERROR(VLOOKUP(B39,ARTICLES!A:B,2,FALSE),"")</f>
        <v/>
      </c>
      <c r="D39" s="21" t="n"/>
      <c r="E39" s="21" t="n"/>
      <c r="F39" s="21" t="n"/>
      <c r="G39" s="22">
        <f>IF(OR(E39="",F39=""),"",E39*F39)</f>
        <v/>
      </c>
      <c r="H39" s="21" t="n"/>
    </row>
    <row r="40">
      <c r="A40" s="21" t="n"/>
      <c r="B40" s="21" t="n"/>
      <c r="C40" s="16">
        <f>IFERROR(VLOOKUP(B40,ARTICLES!A:B,2,FALSE),"")</f>
        <v/>
      </c>
      <c r="D40" s="21" t="n"/>
      <c r="E40" s="21" t="n"/>
      <c r="F40" s="21" t="n"/>
      <c r="G40" s="22">
        <f>IF(OR(E40="",F40=""),"",E40*F40)</f>
        <v/>
      </c>
      <c r="H40" s="21" t="n"/>
    </row>
    <row r="41">
      <c r="A41" s="21" t="n"/>
      <c r="B41" s="21" t="n"/>
      <c r="C41" s="16">
        <f>IFERROR(VLOOKUP(B41,ARTICLES!A:B,2,FALSE),"")</f>
        <v/>
      </c>
      <c r="D41" s="21" t="n"/>
      <c r="E41" s="21" t="n"/>
      <c r="F41" s="21" t="n"/>
      <c r="G41" s="22">
        <f>IF(OR(E41="",F41=""),"",E41*F41)</f>
        <v/>
      </c>
      <c r="H41" s="21" t="n"/>
    </row>
    <row r="42">
      <c r="A42" s="21" t="n"/>
      <c r="B42" s="21" t="n"/>
      <c r="C42" s="16">
        <f>IFERROR(VLOOKUP(B42,ARTICLES!A:B,2,FALSE),"")</f>
        <v/>
      </c>
      <c r="D42" s="21" t="n"/>
      <c r="E42" s="21" t="n"/>
      <c r="F42" s="21" t="n"/>
      <c r="G42" s="22">
        <f>IF(OR(E42="",F42=""),"",E42*F42)</f>
        <v/>
      </c>
      <c r="H42" s="21" t="n"/>
    </row>
    <row r="43">
      <c r="A43" s="21" t="n"/>
      <c r="B43" s="21" t="n"/>
      <c r="C43" s="16">
        <f>IFERROR(VLOOKUP(B43,ARTICLES!A:B,2,FALSE),"")</f>
        <v/>
      </c>
      <c r="D43" s="21" t="n"/>
      <c r="E43" s="21" t="n"/>
      <c r="F43" s="21" t="n"/>
      <c r="G43" s="22">
        <f>IF(OR(E43="",F43=""),"",E43*F43)</f>
        <v/>
      </c>
      <c r="H43" s="21" t="n"/>
    </row>
    <row r="44">
      <c r="A44" s="21" t="n"/>
      <c r="B44" s="21" t="n"/>
      <c r="C44" s="16">
        <f>IFERROR(VLOOKUP(B44,ARTICLES!A:B,2,FALSE),"")</f>
        <v/>
      </c>
      <c r="D44" s="21" t="n"/>
      <c r="E44" s="21" t="n"/>
      <c r="F44" s="21" t="n"/>
      <c r="G44" s="22">
        <f>IF(OR(E44="",F44=""),"",E44*F44)</f>
        <v/>
      </c>
      <c r="H44" s="21" t="n"/>
    </row>
    <row r="45">
      <c r="A45" s="21" t="n"/>
      <c r="B45" s="21" t="n"/>
      <c r="C45" s="16">
        <f>IFERROR(VLOOKUP(B45,ARTICLES!A:B,2,FALSE),"")</f>
        <v/>
      </c>
      <c r="D45" s="21" t="n"/>
      <c r="E45" s="21" t="n"/>
      <c r="F45" s="21" t="n"/>
      <c r="G45" s="22">
        <f>IF(OR(E45="",F45=""),"",E45*F45)</f>
        <v/>
      </c>
      <c r="H45" s="21" t="n"/>
    </row>
    <row r="46">
      <c r="A46" s="21" t="n"/>
      <c r="B46" s="21" t="n"/>
      <c r="C46" s="16">
        <f>IFERROR(VLOOKUP(B46,ARTICLES!A:B,2,FALSE),"")</f>
        <v/>
      </c>
      <c r="D46" s="21" t="n"/>
      <c r="E46" s="21" t="n"/>
      <c r="F46" s="21" t="n"/>
      <c r="G46" s="22">
        <f>IF(OR(E46="",F46=""),"",E46*F46)</f>
        <v/>
      </c>
      <c r="H46" s="21" t="n"/>
    </row>
    <row r="47">
      <c r="A47" s="21" t="n"/>
      <c r="B47" s="21" t="n"/>
      <c r="C47" s="16">
        <f>IFERROR(VLOOKUP(B47,ARTICLES!A:B,2,FALSE),"")</f>
        <v/>
      </c>
      <c r="D47" s="21" t="n"/>
      <c r="E47" s="21" t="n"/>
      <c r="F47" s="21" t="n"/>
      <c r="G47" s="22">
        <f>IF(OR(E47="",F47=""),"",E47*F47)</f>
        <v/>
      </c>
      <c r="H47" s="21" t="n"/>
    </row>
    <row r="48">
      <c r="A48" s="21" t="n"/>
      <c r="B48" s="21" t="n"/>
      <c r="C48" s="16">
        <f>IFERROR(VLOOKUP(B48,ARTICLES!A:B,2,FALSE),"")</f>
        <v/>
      </c>
      <c r="D48" s="21" t="n"/>
      <c r="E48" s="21" t="n"/>
      <c r="F48" s="21" t="n"/>
      <c r="G48" s="22">
        <f>IF(OR(E48="",F48=""),"",E48*F48)</f>
        <v/>
      </c>
      <c r="H48" s="21" t="n"/>
    </row>
    <row r="49">
      <c r="A49" s="21" t="n"/>
      <c r="B49" s="21" t="n"/>
      <c r="C49" s="16">
        <f>IFERROR(VLOOKUP(B49,ARTICLES!A:B,2,FALSE),"")</f>
        <v/>
      </c>
      <c r="D49" s="21" t="n"/>
      <c r="E49" s="21" t="n"/>
      <c r="F49" s="21" t="n"/>
      <c r="G49" s="22">
        <f>IF(OR(E49="",F49=""),"",E49*F49)</f>
        <v/>
      </c>
      <c r="H49" s="21" t="n"/>
    </row>
    <row r="50">
      <c r="A50" s="21" t="n"/>
      <c r="B50" s="21" t="n"/>
      <c r="C50" s="16">
        <f>IFERROR(VLOOKUP(B50,ARTICLES!A:B,2,FALSE),"")</f>
        <v/>
      </c>
      <c r="D50" s="21" t="n"/>
      <c r="E50" s="21" t="n"/>
      <c r="F50" s="21" t="n"/>
      <c r="G50" s="22">
        <f>IF(OR(E50="",F50=""),"",E50*F50)</f>
        <v/>
      </c>
      <c r="H50" s="21" t="n"/>
    </row>
    <row r="51">
      <c r="A51" s="21" t="n"/>
      <c r="B51" s="21" t="n"/>
      <c r="C51" s="16">
        <f>IFERROR(VLOOKUP(B51,ARTICLES!A:B,2,FALSE),"")</f>
        <v/>
      </c>
      <c r="D51" s="21" t="n"/>
      <c r="E51" s="21" t="n"/>
      <c r="F51" s="21" t="n"/>
      <c r="G51" s="22">
        <f>IF(OR(E51="",F51=""),"",E51*F51)</f>
        <v/>
      </c>
      <c r="H51" s="21" t="n"/>
    </row>
    <row r="52">
      <c r="A52" s="21" t="n"/>
      <c r="B52" s="21" t="n"/>
      <c r="C52" s="16">
        <f>IFERROR(VLOOKUP(B52,ARTICLES!A:B,2,FALSE),"")</f>
        <v/>
      </c>
      <c r="D52" s="21" t="n"/>
      <c r="E52" s="21" t="n"/>
      <c r="F52" s="21" t="n"/>
      <c r="G52" s="22">
        <f>IF(OR(E52="",F52=""),"",E52*F52)</f>
        <v/>
      </c>
      <c r="H52" s="21" t="n"/>
    </row>
    <row r="53">
      <c r="A53" s="21" t="n"/>
      <c r="B53" s="21" t="n"/>
      <c r="C53" s="16">
        <f>IFERROR(VLOOKUP(B53,ARTICLES!A:B,2,FALSE),"")</f>
        <v/>
      </c>
      <c r="D53" s="21" t="n"/>
      <c r="E53" s="21" t="n"/>
      <c r="F53" s="21" t="n"/>
      <c r="G53" s="22">
        <f>IF(OR(E53="",F53=""),"",E53*F53)</f>
        <v/>
      </c>
      <c r="H53" s="21" t="n"/>
    </row>
    <row r="54">
      <c r="A54" s="21" t="n"/>
      <c r="B54" s="21" t="n"/>
      <c r="C54" s="16">
        <f>IFERROR(VLOOKUP(B54,ARTICLES!A:B,2,FALSE),"")</f>
        <v/>
      </c>
      <c r="D54" s="21" t="n"/>
      <c r="E54" s="21" t="n"/>
      <c r="F54" s="21" t="n"/>
      <c r="G54" s="22">
        <f>IF(OR(E54="",F54=""),"",E54*F54)</f>
        <v/>
      </c>
      <c r="H54" s="21" t="n"/>
    </row>
    <row r="55">
      <c r="A55" s="21" t="n"/>
      <c r="B55" s="21" t="n"/>
      <c r="C55" s="16">
        <f>IFERROR(VLOOKUP(B55,ARTICLES!A:B,2,FALSE),"")</f>
        <v/>
      </c>
      <c r="D55" s="21" t="n"/>
      <c r="E55" s="21" t="n"/>
      <c r="F55" s="21" t="n"/>
      <c r="G55" s="22">
        <f>IF(OR(E55="",F55=""),"",E55*F55)</f>
        <v/>
      </c>
      <c r="H55" s="21" t="n"/>
    </row>
    <row r="56">
      <c r="A56" s="21" t="n"/>
      <c r="B56" s="21" t="n"/>
      <c r="C56" s="16">
        <f>IFERROR(VLOOKUP(B56,ARTICLES!A:B,2,FALSE),"")</f>
        <v/>
      </c>
      <c r="D56" s="21" t="n"/>
      <c r="E56" s="21" t="n"/>
      <c r="F56" s="21" t="n"/>
      <c r="G56" s="22">
        <f>IF(OR(E56="",F56=""),"",E56*F56)</f>
        <v/>
      </c>
      <c r="H56" s="21" t="n"/>
    </row>
    <row r="57">
      <c r="A57" s="21" t="n"/>
      <c r="B57" s="21" t="n"/>
      <c r="C57" s="16">
        <f>IFERROR(VLOOKUP(B57,ARTICLES!A:B,2,FALSE),"")</f>
        <v/>
      </c>
      <c r="D57" s="21" t="n"/>
      <c r="E57" s="21" t="n"/>
      <c r="F57" s="21" t="n"/>
      <c r="G57" s="22">
        <f>IF(OR(E57="",F57=""),"",E57*F57)</f>
        <v/>
      </c>
      <c r="H57" s="21" t="n"/>
    </row>
    <row r="58">
      <c r="A58" s="21" t="n"/>
      <c r="B58" s="21" t="n"/>
      <c r="C58" s="16">
        <f>IFERROR(VLOOKUP(B58,ARTICLES!A:B,2,FALSE),"")</f>
        <v/>
      </c>
      <c r="D58" s="21" t="n"/>
      <c r="E58" s="21" t="n"/>
      <c r="F58" s="21" t="n"/>
      <c r="G58" s="22">
        <f>IF(OR(E58="",F58=""),"",E58*F58)</f>
        <v/>
      </c>
      <c r="H58" s="21" t="n"/>
    </row>
    <row r="59">
      <c r="A59" s="21" t="n"/>
      <c r="B59" s="21" t="n"/>
      <c r="C59" s="16">
        <f>IFERROR(VLOOKUP(B59,ARTICLES!A:B,2,FALSE),"")</f>
        <v/>
      </c>
      <c r="D59" s="21" t="n"/>
      <c r="E59" s="21" t="n"/>
      <c r="F59" s="21" t="n"/>
      <c r="G59" s="22">
        <f>IF(OR(E59="",F59=""),"",E59*F59)</f>
        <v/>
      </c>
      <c r="H59" s="21" t="n"/>
    </row>
    <row r="60">
      <c r="A60" s="21" t="n"/>
      <c r="B60" s="21" t="n"/>
      <c r="C60" s="16">
        <f>IFERROR(VLOOKUP(B60,ARTICLES!A:B,2,FALSE),"")</f>
        <v/>
      </c>
      <c r="D60" s="21" t="n"/>
      <c r="E60" s="21" t="n"/>
      <c r="F60" s="21" t="n"/>
      <c r="G60" s="22">
        <f>IF(OR(E60="",F60=""),"",E60*F60)</f>
        <v/>
      </c>
      <c r="H60" s="21" t="n"/>
    </row>
    <row r="61">
      <c r="A61" s="21" t="n"/>
      <c r="B61" s="21" t="n"/>
      <c r="C61" s="16">
        <f>IFERROR(VLOOKUP(B61,ARTICLES!A:B,2,FALSE),"")</f>
        <v/>
      </c>
      <c r="D61" s="21" t="n"/>
      <c r="E61" s="21" t="n"/>
      <c r="F61" s="21" t="n"/>
      <c r="G61" s="22">
        <f>IF(OR(E61="",F61=""),"",E61*F61)</f>
        <v/>
      </c>
      <c r="H61" s="21" t="n"/>
    </row>
    <row r="62">
      <c r="A62" s="21" t="n"/>
      <c r="B62" s="21" t="n"/>
      <c r="C62" s="16">
        <f>IFERROR(VLOOKUP(B62,ARTICLES!A:B,2,FALSE),"")</f>
        <v/>
      </c>
      <c r="D62" s="21" t="n"/>
      <c r="E62" s="21" t="n"/>
      <c r="F62" s="21" t="n"/>
      <c r="G62" s="22">
        <f>IF(OR(E62="",F62=""),"",E62*F62)</f>
        <v/>
      </c>
      <c r="H62" s="21" t="n"/>
    </row>
    <row r="64" ht="22" customHeight="1">
      <c r="A64" s="23" t="inlineStr">
        <is>
          <t>COMMENT SAISIR :  Remplissez colonnes A (Date) + B (Code, menu deroulant) + D (IN ou OUT) + E (Quantite) + F (Prix unitaire) + H (N° bon).  Colonnes C et G sont automatiques.</t>
        </is>
      </c>
    </row>
  </sheetData>
  <mergeCells count="2">
    <mergeCell ref="A64:H64"/>
    <mergeCell ref="A1:H1"/>
  </mergeCells>
  <dataValidations count="2">
    <dataValidation sqref="D3 D4 D5 D6 D7 D8 D9 D10 D11 D12 D13 D14 D15 D16 D17 D18 D19 D20 D21 D22 D23 D24 D25 D26 D27 D28 D29 D30 D31 D32 D33 D34 D35 D36 D37 D38 D39 D40 D41 D42 D43 D44 D45 D46 D47 D48 D49 D50 D51 D52 D53 D54 D55 D56 D57 D58 D59 D60 D61 D62" showDropDown="0" showInputMessage="0" showErrorMessage="1" allowBlank="0" errorTitle="Type invalide" error="Saisir IN ou OUT uniquement" type="list">
      <formula1>"IN,OUT"</formula1>
    </dataValidation>
    <dataValidation sqref="B3 B4 B5 B6 B7 B8 B9 B10 B11 B12 B13 B14 B15 B16 B17 B18 B19 B20 B21 B22 B23 B24 B25 B26 B27 B28 B29 B30 B31 B32 B33 B34 B35 B36 B37 B38 B39 B40 B41 B42 B43 B44 B45 B46 B47 B48 B49 B50 B51 B52 B53 B54 B55 B56 B57 B58 B59 B60 B61 B62" showDropDown="0" showInputMessage="0" showErrorMessage="0" allowBlank="0" type="list">
      <formula1>ARTICLES!$A$3:$A$12</formula1>
    </dataValidation>
  </dataValidations>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K30"/>
  <sheetViews>
    <sheetView showGridLines="0" workbookViewId="0">
      <pane ySplit="3" topLeftCell="A4" activePane="bottomLeft" state="frozen"/>
      <selection pane="bottomLeft" activeCell="A1" sqref="A1"/>
    </sheetView>
  </sheetViews>
  <sheetFormatPr baseColWidth="8" defaultRowHeight="15"/>
  <cols>
    <col width="10" customWidth="1" min="1" max="1"/>
    <col width="26" customWidth="1" min="2" max="2"/>
    <col width="7" customWidth="1" min="3" max="3"/>
    <col width="11" customWidth="1" min="4" max="4"/>
    <col width="11" customWidth="1" min="5" max="5"/>
    <col width="13" customWidth="1" min="6" max="6"/>
    <col width="11" customWidth="1" min="7" max="7"/>
    <col width="12" customWidth="1" min="8" max="8"/>
    <col width="15" customWidth="1" min="9" max="9"/>
    <col width="10" customWidth="1" min="10" max="10"/>
    <col width="14" customWidth="1" min="11" max="11"/>
  </cols>
  <sheetData>
    <row r="1" ht="34" customHeight="1">
      <c r="A1" s="1" t="inlineStr">
        <is>
          <t>TABLEAU DE BORD  —  ETAT DU STOCK  +  CALCUL WILSON (EOQ)</t>
        </is>
      </c>
    </row>
    <row r="2" ht="18" customHeight="1">
      <c r="A2" s="24" t="inlineStr">
        <is>
          <t>SECTION 1  —  STOCK EN TEMPS REEL PAR ARTICLE</t>
        </is>
      </c>
    </row>
    <row r="3" ht="24" customHeight="1">
      <c r="A3" s="2" t="inlineStr">
        <is>
          <t>Code</t>
        </is>
      </c>
      <c r="B3" s="2" t="inlineStr">
        <is>
          <t>Designation</t>
        </is>
      </c>
      <c r="C3" s="2" t="inlineStr">
        <is>
          <t>ABC</t>
        </is>
      </c>
      <c r="D3" s="2" t="inlineStr">
        <is>
          <t>Total IN</t>
        </is>
      </c>
      <c r="E3" s="2" t="inlineStr">
        <is>
          <t>Total OUT</t>
        </is>
      </c>
      <c r="F3" s="2" t="inlineStr">
        <is>
          <t>STOCK ACTUEL</t>
        </is>
      </c>
      <c r="G3" s="2" t="inlineStr">
        <is>
          <t>Stock Min</t>
        </is>
      </c>
      <c r="H3" s="2" t="inlineStr">
        <is>
          <t>CMUP (DA)</t>
        </is>
      </c>
      <c r="I3" s="2" t="inlineStr">
        <is>
          <t>Valeur (DA)</t>
        </is>
      </c>
      <c r="J3" s="2" t="inlineStr">
        <is>
          <t>ROP</t>
        </is>
      </c>
      <c r="K3" s="2" t="inlineStr">
        <is>
          <t>STATUT</t>
        </is>
      </c>
    </row>
    <row r="4">
      <c r="A4" s="25" t="inlineStr">
        <is>
          <t>ART-001</t>
        </is>
      </c>
      <c r="B4" s="26">
        <f>IFERROR(VLOOKUP(A4,ARTICLES!A:B,2,FALSE),"")</f>
        <v/>
      </c>
      <c r="C4" s="27">
        <f>IFERROR(VLOOKUP(A4,ARTICLES!A:D,4,FALSE),"")</f>
        <v/>
      </c>
      <c r="D4" s="28">
        <f>SUMIFS(MOUVEMENTS!E:E,MOUVEMENTS!B:B,A4,MOUVEMENTS!D:D,"IN")</f>
        <v/>
      </c>
      <c r="E4" s="29">
        <f>SUMIFS(MOUVEMENTS!E:E,MOUVEMENTS!B:B,A4,MOUVEMENTS!D:D,"OUT")</f>
        <v/>
      </c>
      <c r="F4" s="30">
        <f>D4-E4</f>
        <v/>
      </c>
      <c r="G4" s="31">
        <f>IFERROR(VLOOKUP(A4,ARTICLES!A:E,5,FALSE),"")</f>
        <v/>
      </c>
      <c r="H4" s="32">
        <f>IFERROR(SUMPRODUCT((MOUVEMENTS!B$3:B$200=A4)*(MOUVEMENTS!D$3:D$200="IN")*MOUVEMENTS!E$3:E$200*MOUVEMENTS!F$3:F$200)/D4,IFERROR(VLOOKUP(A4,ARTICLES!A:G,7,FALSE),0))</f>
        <v/>
      </c>
      <c r="I4" s="33">
        <f>F4*H4</f>
        <v/>
      </c>
      <c r="J4" s="34">
        <f>IFERROR(G4+ROUND((E4/MAX(1,TODAY()-DATE(2026,2,1)))*2,0),G4)</f>
        <v/>
      </c>
      <c r="K4" s="27">
        <f>IF(F4&lt;=0,"!! RUPTURE",IF(F4&lt;=J4,"&gt;&gt; COMMANDER",IF(F4&lt;=G4,"~ ALERTE","OK")))</f>
        <v/>
      </c>
    </row>
    <row r="5">
      <c r="A5" s="25" t="inlineStr">
        <is>
          <t>ART-002</t>
        </is>
      </c>
      <c r="B5" s="26">
        <f>IFERROR(VLOOKUP(A5,ARTICLES!A:B,2,FALSE),"")</f>
        <v/>
      </c>
      <c r="C5" s="27">
        <f>IFERROR(VLOOKUP(A5,ARTICLES!A:D,4,FALSE),"")</f>
        <v/>
      </c>
      <c r="D5" s="28">
        <f>SUMIFS(MOUVEMENTS!E:E,MOUVEMENTS!B:B,A5,MOUVEMENTS!D:D,"IN")</f>
        <v/>
      </c>
      <c r="E5" s="29">
        <f>SUMIFS(MOUVEMENTS!E:E,MOUVEMENTS!B:B,A5,MOUVEMENTS!D:D,"OUT")</f>
        <v/>
      </c>
      <c r="F5" s="30">
        <f>D5-E5</f>
        <v/>
      </c>
      <c r="G5" s="31">
        <f>IFERROR(VLOOKUP(A5,ARTICLES!A:E,5,FALSE),"")</f>
        <v/>
      </c>
      <c r="H5" s="32">
        <f>IFERROR(SUMPRODUCT((MOUVEMENTS!B$3:B$200=A5)*(MOUVEMENTS!D$3:D$200="IN")*MOUVEMENTS!E$3:E$200*MOUVEMENTS!F$3:F$200)/D5,IFERROR(VLOOKUP(A5,ARTICLES!A:G,7,FALSE),0))</f>
        <v/>
      </c>
      <c r="I5" s="33">
        <f>F5*H5</f>
        <v/>
      </c>
      <c r="J5" s="34">
        <f>IFERROR(G5+ROUND((E5/MAX(1,TODAY()-DATE(2026,2,1)))*2,0),G5)</f>
        <v/>
      </c>
      <c r="K5" s="27">
        <f>IF(F5&lt;=0,"!! RUPTURE",IF(F5&lt;=J5,"&gt;&gt; COMMANDER",IF(F5&lt;=G5,"~ ALERTE","OK")))</f>
        <v/>
      </c>
    </row>
    <row r="6">
      <c r="A6" s="25" t="inlineStr">
        <is>
          <t>ART-003</t>
        </is>
      </c>
      <c r="B6" s="26">
        <f>IFERROR(VLOOKUP(A6,ARTICLES!A:B,2,FALSE),"")</f>
        <v/>
      </c>
      <c r="C6" s="27">
        <f>IFERROR(VLOOKUP(A6,ARTICLES!A:D,4,FALSE),"")</f>
        <v/>
      </c>
      <c r="D6" s="28">
        <f>SUMIFS(MOUVEMENTS!E:E,MOUVEMENTS!B:B,A6,MOUVEMENTS!D:D,"IN")</f>
        <v/>
      </c>
      <c r="E6" s="29">
        <f>SUMIFS(MOUVEMENTS!E:E,MOUVEMENTS!B:B,A6,MOUVEMENTS!D:D,"OUT")</f>
        <v/>
      </c>
      <c r="F6" s="30">
        <f>D6-E6</f>
        <v/>
      </c>
      <c r="G6" s="31">
        <f>IFERROR(VLOOKUP(A6,ARTICLES!A:E,5,FALSE),"")</f>
        <v/>
      </c>
      <c r="H6" s="32">
        <f>IFERROR(SUMPRODUCT((MOUVEMENTS!B$3:B$200=A6)*(MOUVEMENTS!D$3:D$200="IN")*MOUVEMENTS!E$3:E$200*MOUVEMENTS!F$3:F$200)/D6,IFERROR(VLOOKUP(A6,ARTICLES!A:G,7,FALSE),0))</f>
        <v/>
      </c>
      <c r="I6" s="33">
        <f>F6*H6</f>
        <v/>
      </c>
      <c r="J6" s="34">
        <f>IFERROR(G6+ROUND((E6/MAX(1,TODAY()-DATE(2026,2,1)))*2,0),G6)</f>
        <v/>
      </c>
      <c r="K6" s="27">
        <f>IF(F6&lt;=0,"!! RUPTURE",IF(F6&lt;=J6,"&gt;&gt; COMMANDER",IF(F6&lt;=G6,"~ ALERTE","OK")))</f>
        <v/>
      </c>
    </row>
    <row r="7">
      <c r="A7" s="25" t="inlineStr">
        <is>
          <t>ART-004</t>
        </is>
      </c>
      <c r="B7" s="26">
        <f>IFERROR(VLOOKUP(A7,ARTICLES!A:B,2,FALSE),"")</f>
        <v/>
      </c>
      <c r="C7" s="27">
        <f>IFERROR(VLOOKUP(A7,ARTICLES!A:D,4,FALSE),"")</f>
        <v/>
      </c>
      <c r="D7" s="28">
        <f>SUMIFS(MOUVEMENTS!E:E,MOUVEMENTS!B:B,A7,MOUVEMENTS!D:D,"IN")</f>
        <v/>
      </c>
      <c r="E7" s="29">
        <f>SUMIFS(MOUVEMENTS!E:E,MOUVEMENTS!B:B,A7,MOUVEMENTS!D:D,"OUT")</f>
        <v/>
      </c>
      <c r="F7" s="30">
        <f>D7-E7</f>
        <v/>
      </c>
      <c r="G7" s="31">
        <f>IFERROR(VLOOKUP(A7,ARTICLES!A:E,5,FALSE),"")</f>
        <v/>
      </c>
      <c r="H7" s="32">
        <f>IFERROR(SUMPRODUCT((MOUVEMENTS!B$3:B$200=A7)*(MOUVEMENTS!D$3:D$200="IN")*MOUVEMENTS!E$3:E$200*MOUVEMENTS!F$3:F$200)/D7,IFERROR(VLOOKUP(A7,ARTICLES!A:G,7,FALSE),0))</f>
        <v/>
      </c>
      <c r="I7" s="33">
        <f>F7*H7</f>
        <v/>
      </c>
      <c r="J7" s="34">
        <f>IFERROR(G7+ROUND((E7/MAX(1,TODAY()-DATE(2026,2,1)))*2,0),G7)</f>
        <v/>
      </c>
      <c r="K7" s="27">
        <f>IF(F7&lt;=0,"!! RUPTURE",IF(F7&lt;=J7,"&gt;&gt; COMMANDER",IF(F7&lt;=G7,"~ ALERTE","OK")))</f>
        <v/>
      </c>
    </row>
    <row r="8">
      <c r="A8" s="25" t="inlineStr">
        <is>
          <t>ART-005</t>
        </is>
      </c>
      <c r="B8" s="26">
        <f>IFERROR(VLOOKUP(A8,ARTICLES!A:B,2,FALSE),"")</f>
        <v/>
      </c>
      <c r="C8" s="27">
        <f>IFERROR(VLOOKUP(A8,ARTICLES!A:D,4,FALSE),"")</f>
        <v/>
      </c>
      <c r="D8" s="28">
        <f>SUMIFS(MOUVEMENTS!E:E,MOUVEMENTS!B:B,A8,MOUVEMENTS!D:D,"IN")</f>
        <v/>
      </c>
      <c r="E8" s="29">
        <f>SUMIFS(MOUVEMENTS!E:E,MOUVEMENTS!B:B,A8,MOUVEMENTS!D:D,"OUT")</f>
        <v/>
      </c>
      <c r="F8" s="30">
        <f>D8-E8</f>
        <v/>
      </c>
      <c r="G8" s="31">
        <f>IFERROR(VLOOKUP(A8,ARTICLES!A:E,5,FALSE),"")</f>
        <v/>
      </c>
      <c r="H8" s="32">
        <f>IFERROR(SUMPRODUCT((MOUVEMENTS!B$3:B$200=A8)*(MOUVEMENTS!D$3:D$200="IN")*MOUVEMENTS!E$3:E$200*MOUVEMENTS!F$3:F$200)/D8,IFERROR(VLOOKUP(A8,ARTICLES!A:G,7,FALSE),0))</f>
        <v/>
      </c>
      <c r="I8" s="33">
        <f>F8*H8</f>
        <v/>
      </c>
      <c r="J8" s="34">
        <f>IFERROR(G8+ROUND((E8/MAX(1,TODAY()-DATE(2026,2,1)))*2,0),G8)</f>
        <v/>
      </c>
      <c r="K8" s="27">
        <f>IF(F8&lt;=0,"!! RUPTURE",IF(F8&lt;=J8,"&gt;&gt; COMMANDER",IF(F8&lt;=G8,"~ ALERTE","OK")))</f>
        <v/>
      </c>
    </row>
    <row r="9">
      <c r="A9" s="25" t="inlineStr">
        <is>
          <t>ART-006</t>
        </is>
      </c>
      <c r="B9" s="26">
        <f>IFERROR(VLOOKUP(A9,ARTICLES!A:B,2,FALSE),"")</f>
        <v/>
      </c>
      <c r="C9" s="27">
        <f>IFERROR(VLOOKUP(A9,ARTICLES!A:D,4,FALSE),"")</f>
        <v/>
      </c>
      <c r="D9" s="28">
        <f>SUMIFS(MOUVEMENTS!E:E,MOUVEMENTS!B:B,A9,MOUVEMENTS!D:D,"IN")</f>
        <v/>
      </c>
      <c r="E9" s="29">
        <f>SUMIFS(MOUVEMENTS!E:E,MOUVEMENTS!B:B,A9,MOUVEMENTS!D:D,"OUT")</f>
        <v/>
      </c>
      <c r="F9" s="30">
        <f>D9-E9</f>
        <v/>
      </c>
      <c r="G9" s="31">
        <f>IFERROR(VLOOKUP(A9,ARTICLES!A:E,5,FALSE),"")</f>
        <v/>
      </c>
      <c r="H9" s="32">
        <f>IFERROR(SUMPRODUCT((MOUVEMENTS!B$3:B$200=A9)*(MOUVEMENTS!D$3:D$200="IN")*MOUVEMENTS!E$3:E$200*MOUVEMENTS!F$3:F$200)/D9,IFERROR(VLOOKUP(A9,ARTICLES!A:G,7,FALSE),0))</f>
        <v/>
      </c>
      <c r="I9" s="33">
        <f>F9*H9</f>
        <v/>
      </c>
      <c r="J9" s="34">
        <f>IFERROR(G9+ROUND((E9/MAX(1,TODAY()-DATE(2026,2,1)))*2,0),G9)</f>
        <v/>
      </c>
      <c r="K9" s="27">
        <f>IF(F9&lt;=0,"!! RUPTURE",IF(F9&lt;=J9,"&gt;&gt; COMMANDER",IF(F9&lt;=G9,"~ ALERTE","OK")))</f>
        <v/>
      </c>
    </row>
    <row r="10">
      <c r="A10" s="25" t="inlineStr">
        <is>
          <t>ART-007</t>
        </is>
      </c>
      <c r="B10" s="26">
        <f>IFERROR(VLOOKUP(A10,ARTICLES!A:B,2,FALSE),"")</f>
        <v/>
      </c>
      <c r="C10" s="27">
        <f>IFERROR(VLOOKUP(A10,ARTICLES!A:D,4,FALSE),"")</f>
        <v/>
      </c>
      <c r="D10" s="28">
        <f>SUMIFS(MOUVEMENTS!E:E,MOUVEMENTS!B:B,A10,MOUVEMENTS!D:D,"IN")</f>
        <v/>
      </c>
      <c r="E10" s="29">
        <f>SUMIFS(MOUVEMENTS!E:E,MOUVEMENTS!B:B,A10,MOUVEMENTS!D:D,"OUT")</f>
        <v/>
      </c>
      <c r="F10" s="30">
        <f>D10-E10</f>
        <v/>
      </c>
      <c r="G10" s="31">
        <f>IFERROR(VLOOKUP(A10,ARTICLES!A:E,5,FALSE),"")</f>
        <v/>
      </c>
      <c r="H10" s="32">
        <f>IFERROR(SUMPRODUCT((MOUVEMENTS!B$3:B$200=A10)*(MOUVEMENTS!D$3:D$200="IN")*MOUVEMENTS!E$3:E$200*MOUVEMENTS!F$3:F$200)/D10,IFERROR(VLOOKUP(A10,ARTICLES!A:G,7,FALSE),0))</f>
        <v/>
      </c>
      <c r="I10" s="33">
        <f>F10*H10</f>
        <v/>
      </c>
      <c r="J10" s="34">
        <f>IFERROR(G10+ROUND((E10/MAX(1,TODAY()-DATE(2026,2,1)))*2,0),G10)</f>
        <v/>
      </c>
      <c r="K10" s="27">
        <f>IF(F10&lt;=0,"!! RUPTURE",IF(F10&lt;=J10,"&gt;&gt; COMMANDER",IF(F10&lt;=G10,"~ ALERTE","OK")))</f>
        <v/>
      </c>
    </row>
    <row r="11">
      <c r="A11" s="25" t="inlineStr">
        <is>
          <t>ART-008</t>
        </is>
      </c>
      <c r="B11" s="26">
        <f>IFERROR(VLOOKUP(A11,ARTICLES!A:B,2,FALSE),"")</f>
        <v/>
      </c>
      <c r="C11" s="27">
        <f>IFERROR(VLOOKUP(A11,ARTICLES!A:D,4,FALSE),"")</f>
        <v/>
      </c>
      <c r="D11" s="28">
        <f>SUMIFS(MOUVEMENTS!E:E,MOUVEMENTS!B:B,A11,MOUVEMENTS!D:D,"IN")</f>
        <v/>
      </c>
      <c r="E11" s="29">
        <f>SUMIFS(MOUVEMENTS!E:E,MOUVEMENTS!B:B,A11,MOUVEMENTS!D:D,"OUT")</f>
        <v/>
      </c>
      <c r="F11" s="30">
        <f>D11-E11</f>
        <v/>
      </c>
      <c r="G11" s="31">
        <f>IFERROR(VLOOKUP(A11,ARTICLES!A:E,5,FALSE),"")</f>
        <v/>
      </c>
      <c r="H11" s="32">
        <f>IFERROR(SUMPRODUCT((MOUVEMENTS!B$3:B$200=A11)*(MOUVEMENTS!D$3:D$200="IN")*MOUVEMENTS!E$3:E$200*MOUVEMENTS!F$3:F$200)/D11,IFERROR(VLOOKUP(A11,ARTICLES!A:G,7,FALSE),0))</f>
        <v/>
      </c>
      <c r="I11" s="33">
        <f>F11*H11</f>
        <v/>
      </c>
      <c r="J11" s="34">
        <f>IFERROR(G11+ROUND((E11/MAX(1,TODAY()-DATE(2026,2,1)))*2,0),G11)</f>
        <v/>
      </c>
      <c r="K11" s="27">
        <f>IF(F11&lt;=0,"!! RUPTURE",IF(F11&lt;=J11,"&gt;&gt; COMMANDER",IF(F11&lt;=G11,"~ ALERTE","OK")))</f>
        <v/>
      </c>
    </row>
    <row r="13" ht="10" customHeight="1"/>
    <row r="14">
      <c r="A14" s="35" t="inlineStr">
        <is>
          <t>SECTION 2  —  FORMULE DE WILSON  —  QUANTITE ECONOMIQUE DE COMMANDE (EOQ)</t>
        </is>
      </c>
    </row>
    <row r="15">
      <c r="A15" s="36" t="inlineStr">
        <is>
          <t>D — Demande annuelle (unites/an)</t>
        </is>
      </c>
      <c r="D15" s="37" t="n">
        <v>10000</v>
      </c>
    </row>
    <row r="16">
      <c r="A16" s="36" t="inlineStr">
        <is>
          <t>CL — Cout de passation (DA par commande)</t>
        </is>
      </c>
      <c r="D16" s="37" t="n">
        <v>50</v>
      </c>
    </row>
    <row r="17">
      <c r="A17" s="36" t="inlineStr">
        <is>
          <t>PU — Prix unitaire moyen (DA)</t>
        </is>
      </c>
      <c r="D17" s="37" t="n">
        <v>180</v>
      </c>
    </row>
    <row r="18">
      <c r="A18" s="36" t="inlineStr">
        <is>
          <t>t  — Taux de possession annuel (ex: 0.20 = 20%)</t>
        </is>
      </c>
      <c r="D18" s="38" t="n">
        <v>0.2</v>
      </c>
    </row>
    <row r="19">
      <c r="A19" s="36" t="inlineStr">
        <is>
          <t>SS — Stock de securite (unites)</t>
        </is>
      </c>
      <c r="D19" s="37" t="n">
        <v>200</v>
      </c>
    </row>
    <row r="20">
      <c r="A20" s="36" t="inlineStr">
        <is>
          <t>LT — Lead Time / Delai livraison (jours)</t>
        </is>
      </c>
      <c r="D20" s="37" t="n">
        <v>2</v>
      </c>
    </row>
    <row r="22">
      <c r="A22" s="39" t="inlineStr">
        <is>
          <t>EOQ  — Quantite economique de commande (unites)</t>
        </is>
      </c>
      <c r="F22" s="40">
        <f>ROUND(SQRT(2*D15*D16/(D18*D17)),0)</f>
        <v/>
      </c>
      <c r="G22" s="41" t="inlineStr">
        <is>
          <t>unites</t>
        </is>
      </c>
    </row>
    <row r="23">
      <c r="A23" s="39" t="inlineStr">
        <is>
          <t>N    — Nombre de commandes par an</t>
        </is>
      </c>
      <c r="F23" s="40">
        <f>IFERROR(ROUND(D15/F22,1),"")</f>
        <v/>
      </c>
      <c r="G23" s="41" t="inlineStr">
        <is>
          <t>cmd/an</t>
        </is>
      </c>
    </row>
    <row r="24">
      <c r="A24" s="39" t="inlineStr">
        <is>
          <t>ROP  — Point de reappro = SS + conso * LT</t>
        </is>
      </c>
      <c r="F24" s="40">
        <f>ROUND((D15/365)*D20+D19,0)</f>
        <v/>
      </c>
      <c r="G24" s="41" t="inlineStr">
        <is>
          <t>DA</t>
        </is>
      </c>
    </row>
    <row r="25">
      <c r="A25" s="39" t="inlineStr">
        <is>
          <t>Cp   — Cout annuel de passation</t>
        </is>
      </c>
      <c r="F25" s="42">
        <f>IFERROR(ROUND((D15/F22)*D16,0),"")</f>
        <v/>
      </c>
      <c r="G25" s="41" t="inlineStr">
        <is>
          <t>DA</t>
        </is>
      </c>
    </row>
    <row r="26">
      <c r="A26" s="39" t="inlineStr">
        <is>
          <t>Cd   — Cout annuel de detention</t>
        </is>
      </c>
      <c r="F26" s="42">
        <f>IFERROR(ROUND((F22/2+D19)*D18*D17,0),"")</f>
        <v/>
      </c>
      <c r="G26" s="41" t="inlineStr">
        <is>
          <t>DA</t>
        </is>
      </c>
    </row>
    <row r="27">
      <c r="A27" s="39" t="inlineStr">
        <is>
          <t>CVT  — Cout Variable Total  (Cp + Cd)</t>
        </is>
      </c>
      <c r="F27" s="42">
        <f>IFERROR(F25+F26,"")</f>
        <v/>
      </c>
      <c r="G27" s="41" t="inlineStr">
        <is>
          <t>DA</t>
        </is>
      </c>
    </row>
    <row r="30" ht="20" customHeight="1">
      <c r="A30" s="23" t="inlineStr">
        <is>
          <t>LEGENDE :   OK = suffisant  |  ~ ALERTE = proche seuil  |  &gt;&gt; COMMANDER = sous ROP (passez commande)  |  !! RUPTURE = epuise</t>
        </is>
      </c>
    </row>
  </sheetData>
  <mergeCells count="16">
    <mergeCell ref="A20:C20"/>
    <mergeCell ref="A19:C19"/>
    <mergeCell ref="A27:E27"/>
    <mergeCell ref="A26:E26"/>
    <mergeCell ref="A24:E24"/>
    <mergeCell ref="A30:K30"/>
    <mergeCell ref="A25:E25"/>
    <mergeCell ref="A2:K2"/>
    <mergeCell ref="A17:C17"/>
    <mergeCell ref="A18:C18"/>
    <mergeCell ref="A23:E23"/>
    <mergeCell ref="A14:K14"/>
    <mergeCell ref="A22:E22"/>
    <mergeCell ref="A1:K1"/>
    <mergeCell ref="A16:C16"/>
    <mergeCell ref="A15:C15"/>
  </mergeCells>
  <conditionalFormatting sqref="K4:K11">
    <cfRule type="cellIs" priority="1" operator="equal" dxfId="0">
      <formula>"!! RUPTURE"</formula>
    </cfRule>
    <cfRule type="cellIs" priority="2" operator="equal" dxfId="1">
      <formula>"&gt;&gt; COMMANDER"</formula>
    </cfRule>
    <cfRule type="cellIs" priority="3" operator="equal" dxfId="2">
      <formula>"~ ALERTE"</formula>
    </cfRule>
    <cfRule type="cellIs" priority="4" operator="equal" dxfId="3">
      <formula>"OK"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2026-03-22T11:43:15Z</dcterms:created>
  <dcterms:modified xmlns:dcterms="http://purl.org/dc/terms/" xmlns:xsi="http://www.w3.org/2001/XMLSchema-instance" xsi:type="dcterms:W3CDTF">2026-03-22T11:43:15Z</dcterms:modified>
</cp:coreProperties>
</file>