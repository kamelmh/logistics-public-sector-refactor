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ARTICLES" sheetId="2" state="visible" r:id="rId4"/>
    <sheet name="FOURNISSEURS" sheetId="3" state="visible" r:id="rId5"/>
    <sheet name="MOUVEMENTS" sheetId="4" state="visible" r:id="rId6"/>
    <sheet name="TABLEAU DE BORD" sheetId="5" state="visible" r:id="rId7"/>
    <sheet name="INVENTAIRE" sheetId="6" state="visible" r:id="rId8"/>
    <sheet name="CALCULS_EOQ" sheetId="7" state="visible" r:id="rId9"/>
    <sheet name="HISTORIQUE" sheetId="8" state="visible" r:id="rId10"/>
    <sheet name="GUI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<sst xmlns="http://schemas.openxmlformats.org/spreadsheetml/2006/main" count="480" uniqueCount="295">
  <si>
    <r>
      <rPr>
        <b val="true"/>
        <sz val="16"/>
        <color rgb="FFFFFFFF"/>
        <rFont val="FreeSans"/>
        <family val="2"/>
      </rPr>
      <t xml:space="preserve">نظام </t>
    </r>
    <r>
      <rPr>
        <b val="true"/>
        <sz val="16"/>
        <color rgb="FFFFFFFF"/>
        <rFont val="Calibri"/>
        <family val="0"/>
        <charset val="1"/>
      </rPr>
      <t xml:space="preserve">ERP — </t>
    </r>
    <r>
      <rPr>
        <b val="true"/>
        <sz val="16"/>
        <color rgb="FFFFFFFF"/>
        <rFont val="FreeSans"/>
        <family val="2"/>
      </rPr>
      <t xml:space="preserve">مخزن مديرية التربية — ولاية البيض</t>
    </r>
  </si>
  <si>
    <t xml:space="preserve">ERP_Academie_v7  |  Excel 2010 Compatible  |  VLOOKUP + SUMPRODUCT</t>
  </si>
  <si>
    <t xml:space="preserve">المؤسسة</t>
  </si>
  <si>
    <t xml:space="preserve">مديرية التربية لولاية البيض</t>
  </si>
  <si>
    <t xml:space="preserve">المصلحة</t>
  </si>
  <si>
    <t xml:space="preserve">مصلحة الإدارة والوسائل العامة</t>
  </si>
  <si>
    <t xml:space="preserve">المسؤول</t>
  </si>
  <si>
    <r>
      <rPr>
        <sz val="11"/>
        <color theme="1"/>
        <rFont val="FreeSans"/>
        <family val="2"/>
      </rPr>
      <t xml:space="preserve">ماهي كمال عبد الغني — </t>
    </r>
    <r>
      <rPr>
        <sz val="11"/>
        <color theme="1"/>
        <rFont val="Calibri"/>
        <family val="2"/>
        <charset val="1"/>
      </rPr>
      <t xml:space="preserve">TAG1801</t>
    </r>
  </si>
  <si>
    <t xml:space="preserve">المؤطرة</t>
  </si>
  <si>
    <r>
      <rPr>
        <sz val="11"/>
        <color theme="1"/>
        <rFont val="FreeSans"/>
        <family val="2"/>
      </rPr>
      <t xml:space="preserve">دهيني ميمونة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مصلحة الميزانية</t>
    </r>
    <r>
      <rPr>
        <sz val="11"/>
        <color theme="1"/>
        <rFont val="Calibri"/>
        <family val="2"/>
        <charset val="1"/>
      </rPr>
      <t xml:space="preserve">)</t>
    </r>
  </si>
  <si>
    <t xml:space="preserve">فترة الرصد</t>
  </si>
  <si>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FreeSans"/>
        <family val="2"/>
      </rPr>
      <t xml:space="preserve">يوم عمل </t>
    </r>
    <r>
      <rPr>
        <sz val="11"/>
        <color theme="1"/>
        <rFont val="Calibri"/>
        <family val="2"/>
        <charset val="1"/>
      </rPr>
      <t xml:space="preserve">(01/02 – 09/03/2026)</t>
    </r>
  </si>
  <si>
    <t xml:space="preserve">الإصدار</t>
  </si>
  <si>
    <r>
      <rPr>
        <sz val="11"/>
        <color theme="1"/>
        <rFont val="Calibri"/>
        <family val="2"/>
        <charset val="1"/>
      </rPr>
      <t xml:space="preserve">v7  |  </t>
    </r>
    <r>
      <rPr>
        <sz val="11"/>
        <color theme="1"/>
        <rFont val="FreeSans"/>
        <family val="2"/>
      </rPr>
      <t xml:space="preserve">أفريل </t>
    </r>
    <r>
      <rPr>
        <sz val="11"/>
        <color theme="1"/>
        <rFont val="Calibri"/>
        <family val="2"/>
        <charset val="1"/>
      </rPr>
      <t xml:space="preserve">2026</t>
    </r>
  </si>
  <si>
    <r>
      <rPr>
        <b val="true"/>
        <sz val="11"/>
        <color rgb="FFFFFFFF"/>
        <rFont val="FreeSans"/>
        <family val="2"/>
      </rPr>
      <t xml:space="preserve">مؤشرات الأداء الرئيسية 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تُحسب آلياً من </t>
    </r>
    <r>
      <rPr>
        <b val="true"/>
        <sz val="11"/>
        <color rgb="FFFFFFFF"/>
        <rFont val="Calibri"/>
        <family val="0"/>
        <charset val="1"/>
      </rPr>
      <t xml:space="preserve">MOUVEMENTS)</t>
    </r>
  </si>
  <si>
    <r>
      <rPr>
        <b val="true"/>
        <sz val="10"/>
        <color rgb="FF000000"/>
        <rFont val="FreeSans"/>
        <family val="2"/>
      </rPr>
      <t xml:space="preserve">إجمالي قيمة المخزون </t>
    </r>
    <r>
      <rPr>
        <b val="true"/>
        <sz val="10"/>
        <color rgb="FF000000"/>
        <rFont val="Calibri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دج</t>
    </r>
    <r>
      <rPr>
        <b val="true"/>
        <sz val="10"/>
        <color rgb="FF000000"/>
        <rFont val="Calibri"/>
        <family val="0"/>
        <charset val="1"/>
      </rPr>
      <t xml:space="preserve">)</t>
    </r>
  </si>
  <si>
    <r>
      <rPr>
        <i val="true"/>
        <sz val="9"/>
        <color rgb="FF555555"/>
        <rFont val="FreeSans"/>
        <family val="2"/>
      </rPr>
      <t xml:space="preserve">مرجع </t>
    </r>
    <r>
      <rPr>
        <i val="true"/>
        <sz val="9"/>
        <color rgb="FF555555"/>
        <rFont val="Calibri"/>
        <family val="0"/>
        <charset val="1"/>
      </rPr>
      <t xml:space="preserve">Wilson: ART-001</t>
    </r>
  </si>
  <si>
    <t xml:space="preserve">عدد الأصناف المسجّلة</t>
  </si>
  <si>
    <r>
      <rPr>
        <i val="true"/>
        <sz val="9"/>
        <color rgb="FF555555"/>
        <rFont val="Calibri"/>
        <family val="0"/>
        <charset val="1"/>
      </rPr>
      <t xml:space="preserve">12 </t>
    </r>
    <r>
      <rPr>
        <i val="true"/>
        <sz val="9"/>
        <color rgb="FF555555"/>
        <rFont val="FreeSans"/>
        <family val="2"/>
      </rPr>
      <t xml:space="preserve">مادة</t>
    </r>
  </si>
  <si>
    <t xml:space="preserve">إجمالي الحركات المسجّلة</t>
  </si>
  <si>
    <r>
      <rPr>
        <i val="true"/>
        <sz val="9"/>
        <color rgb="FF555555"/>
        <rFont val="FreeSans"/>
        <family val="2"/>
      </rPr>
      <t xml:space="preserve">دخول </t>
    </r>
    <r>
      <rPr>
        <i val="true"/>
        <sz val="9"/>
        <color rgb="FF555555"/>
        <rFont val="Calibri"/>
        <family val="0"/>
        <charset val="1"/>
      </rPr>
      <t xml:space="preserve">+ </t>
    </r>
    <r>
      <rPr>
        <i val="true"/>
        <sz val="9"/>
        <color rgb="FF555555"/>
        <rFont val="FreeSans"/>
        <family val="2"/>
      </rPr>
      <t xml:space="preserve">خروج</t>
    </r>
  </si>
  <si>
    <r>
      <rPr>
        <b val="true"/>
        <sz val="10"/>
        <color rgb="FF000000"/>
        <rFont val="FreeSans"/>
        <family val="2"/>
      </rPr>
      <t xml:space="preserve">المواد التي بلغت </t>
    </r>
    <r>
      <rPr>
        <b val="true"/>
        <sz val="10"/>
        <color rgb="FF000000"/>
        <rFont val="Calibri"/>
        <family val="0"/>
        <charset val="1"/>
      </rPr>
      <t xml:space="preserve">ROP</t>
    </r>
  </si>
  <si>
    <t xml:space="preserve">تنبيه فوري</t>
  </si>
  <si>
    <r>
      <rPr>
        <b val="true"/>
        <sz val="13"/>
        <color rgb="FFFFFFFF"/>
        <rFont val="Calibri"/>
        <family val="0"/>
        <charset val="1"/>
      </rPr>
      <t xml:space="preserve">CATALOGUE DES ARTICLES  —  </t>
    </r>
    <r>
      <rPr>
        <b val="true"/>
        <sz val="13"/>
        <color rgb="FFFFFFFF"/>
        <rFont val="FreeSans"/>
        <family val="2"/>
      </rPr>
      <t xml:space="preserve">مديرية التربية — البيض  </t>
    </r>
    <r>
      <rPr>
        <b val="true"/>
        <sz val="13"/>
        <color rgb="FFFFFFFF"/>
        <rFont val="Calibri"/>
        <family val="0"/>
        <charset val="1"/>
      </rPr>
      <t xml:space="preserve">[v7 | 12 articles | OPT-01]</t>
    </r>
  </si>
  <si>
    <t xml:space="preserve">Code Article</t>
  </si>
  <si>
    <t xml:space="preserve">Désignation (FR)</t>
  </si>
  <si>
    <r>
      <rPr>
        <b val="true"/>
        <sz val="10"/>
        <color rgb="FFFFFFFF"/>
        <rFont val="FreeSans"/>
        <family val="2"/>
      </rPr>
      <t xml:space="preserve">التسمية </t>
    </r>
    <r>
      <rPr>
        <b val="true"/>
        <sz val="10"/>
        <color rgb="FFFFFFFF"/>
        <rFont val="Calibri"/>
        <family val="0"/>
        <charset val="1"/>
      </rPr>
      <t xml:space="preserve">(AR)</t>
    </r>
  </si>
  <si>
    <t xml:space="preserve">Unité</t>
  </si>
  <si>
    <t xml:space="preserve">Cl. ABC</t>
  </si>
  <si>
    <t xml:space="preserve">Stock Min</t>
  </si>
  <si>
    <t xml:space="preserve">Stock Max</t>
  </si>
  <si>
    <t xml:space="preserve">Prix Unit. (DA)</t>
  </si>
  <si>
    <t xml:space="preserve">Fournisseur</t>
  </si>
  <si>
    <t xml:space="preserve">Emplacement</t>
  </si>
  <si>
    <t xml:space="preserve">ART-001</t>
  </si>
  <si>
    <t xml:space="preserve">Rame papier A4 80g/m²</t>
  </si>
  <si>
    <r>
      <rPr>
        <sz val="11"/>
        <color rgb="FF000000"/>
        <rFont val="FreeSans"/>
        <family val="2"/>
      </rPr>
      <t xml:space="preserve">رزمة ورق </t>
    </r>
    <r>
      <rPr>
        <sz val="11"/>
        <color rgb="FF000000"/>
        <rFont val="Calibri"/>
        <family val="0"/>
        <charset val="1"/>
      </rPr>
      <t xml:space="preserve">A4 80</t>
    </r>
    <r>
      <rPr>
        <sz val="11"/>
        <color rgb="FF000000"/>
        <rFont val="FreeSans"/>
        <family val="2"/>
      </rPr>
      <t xml:space="preserve">غ</t>
    </r>
  </si>
  <si>
    <t xml:space="preserve">Rame</t>
  </si>
  <si>
    <t xml:space="preserve">A</t>
  </si>
  <si>
    <t xml:space="preserve">ENAP Alger</t>
  </si>
  <si>
    <t xml:space="preserve">Rayon A-E1</t>
  </si>
  <si>
    <t xml:space="preserve">ART-002</t>
  </si>
  <si>
    <t xml:space="preserve">Toner imprimante G030 (noir)</t>
  </si>
  <si>
    <r>
      <rPr>
        <sz val="11"/>
        <color rgb="FF000000"/>
        <rFont val="FreeSans"/>
        <family val="2"/>
      </rPr>
      <t xml:space="preserve">حبر طابعة </t>
    </r>
    <r>
      <rPr>
        <sz val="11"/>
        <color rgb="FF000000"/>
        <rFont val="Calibri"/>
        <family val="0"/>
        <charset val="1"/>
      </rPr>
      <t xml:space="preserve">G030</t>
    </r>
  </si>
  <si>
    <t xml:space="preserve">B</t>
  </si>
  <si>
    <t xml:space="preserve">Bureautique Oran</t>
  </si>
  <si>
    <t xml:space="preserve">Rayon B-E2</t>
  </si>
  <si>
    <t xml:space="preserve">ART-003</t>
  </si>
  <si>
    <t xml:space="preserve">Rame papier A3 80g/m²</t>
  </si>
  <si>
    <r>
      <rPr>
        <sz val="11"/>
        <color rgb="FF000000"/>
        <rFont val="FreeSans"/>
        <family val="2"/>
      </rPr>
      <t xml:space="preserve">رزمة ورق </t>
    </r>
    <r>
      <rPr>
        <sz val="11"/>
        <color rgb="FF000000"/>
        <rFont val="Calibri"/>
        <family val="0"/>
        <charset val="1"/>
      </rPr>
      <t xml:space="preserve">A3 80</t>
    </r>
    <r>
      <rPr>
        <sz val="11"/>
        <color rgb="FF000000"/>
        <rFont val="FreeSans"/>
        <family val="2"/>
      </rPr>
      <t xml:space="preserve">غ</t>
    </r>
  </si>
  <si>
    <t xml:space="preserve">Rayon A-E3</t>
  </si>
  <si>
    <t xml:space="preserve">ART-004</t>
  </si>
  <si>
    <t xml:space="preserve">Boîte archives carton</t>
  </si>
  <si>
    <t xml:space="preserve">علبة الأرشيف</t>
  </si>
  <si>
    <t xml:space="preserve">C</t>
  </si>
  <si>
    <t xml:space="preserve">Bureau Plus</t>
  </si>
  <si>
    <t xml:space="preserve">Rayon C-E1</t>
  </si>
  <si>
    <t xml:space="preserve">ART-005</t>
  </si>
  <si>
    <t xml:space="preserve">Agrafeuse de bureau</t>
  </si>
  <si>
    <t xml:space="preserve">دباسة مكتبية</t>
  </si>
  <si>
    <t xml:space="preserve">ART-006</t>
  </si>
  <si>
    <t xml:space="preserve">Stylos bille boîte/50</t>
  </si>
  <si>
    <t xml:space="preserve">أقلام حبر جاف</t>
  </si>
  <si>
    <t xml:space="preserve">Boîte</t>
  </si>
  <si>
    <t xml:space="preserve">ART-007</t>
  </si>
  <si>
    <t xml:space="preserve">Registre grand format 5m</t>
  </si>
  <si>
    <r>
      <rPr>
        <sz val="11"/>
        <color rgb="FF000000"/>
        <rFont val="FreeSans"/>
        <family val="2"/>
      </rPr>
      <t xml:space="preserve">سجل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FreeSans"/>
        <family val="2"/>
      </rPr>
      <t xml:space="preserve">م</t>
    </r>
  </si>
  <si>
    <t xml:space="preserve">Rayon A-E2</t>
  </si>
  <si>
    <t xml:space="preserve">ART-008</t>
  </si>
  <si>
    <t xml:space="preserve">Encre tampon</t>
  </si>
  <si>
    <t xml:space="preserve">حبر الختم</t>
  </si>
  <si>
    <t xml:space="preserve">Rayon C-E2</t>
  </si>
  <si>
    <t xml:space="preserve">ART-009</t>
  </si>
  <si>
    <t xml:space="preserve">Sous-chemise carton</t>
  </si>
  <si>
    <r>
      <rPr>
        <sz val="11"/>
        <color rgb="FF000000"/>
        <rFont val="FreeSans"/>
        <family val="2"/>
      </rPr>
      <t xml:space="preserve">ملف </t>
    </r>
    <r>
      <rPr>
        <sz val="11"/>
        <color rgb="FF000000"/>
        <rFont val="Calibri"/>
        <family val="0"/>
        <charset val="1"/>
      </rPr>
      <t xml:space="preserve">(sous-chemise)</t>
    </r>
  </si>
  <si>
    <t xml:space="preserve">ART-010</t>
  </si>
  <si>
    <t xml:space="preserve">Chemise cartonnée</t>
  </si>
  <si>
    <r>
      <rPr>
        <sz val="11"/>
        <color rgb="FF000000"/>
        <rFont val="FreeSans"/>
        <family val="2"/>
      </rPr>
      <t xml:space="preserve">ملف </t>
    </r>
    <r>
      <rPr>
        <sz val="11"/>
        <color rgb="FF000000"/>
        <rFont val="Calibri"/>
        <family val="0"/>
        <charset val="1"/>
      </rPr>
      <t xml:space="preserve">(Chemise)</t>
    </r>
  </si>
  <si>
    <t xml:space="preserve">ART-011</t>
  </si>
  <si>
    <t xml:space="preserve">Rouleau papier fax</t>
  </si>
  <si>
    <t xml:space="preserve">بكرة الفاكس</t>
  </si>
  <si>
    <t xml:space="preserve">Rouleau</t>
  </si>
  <si>
    <t xml:space="preserve">Rayon B-E3</t>
  </si>
  <si>
    <t xml:space="preserve">ART-012</t>
  </si>
  <si>
    <t xml:space="preserve">Marqueur permanent noir</t>
  </si>
  <si>
    <t xml:space="preserve">قلم تحديد أسود</t>
  </si>
  <si>
    <t xml:space="preserve">Classe A = articles stratégiques (forte valeur)  |  Classe B = articles intermédiaires  |  Classe C = articles courants</t>
  </si>
  <si>
    <t xml:space="preserve">CATALOGUE DES FOURNISSEURS  —  Évaluation pondérée (note /10)</t>
  </si>
  <si>
    <t xml:space="preserve">Code</t>
  </si>
  <si>
    <t xml:space="preserve">Nom abrégé</t>
  </si>
  <si>
    <t xml:space="preserve">Raison sociale</t>
  </si>
  <si>
    <t xml:space="preserve">Wilaya</t>
  </si>
  <si>
    <t xml:space="preserve">Téléphone</t>
  </si>
  <si>
    <t xml:space="preserve">Classe</t>
  </si>
  <si>
    <t xml:space="preserve">Délai (j)</t>
  </si>
  <si>
    <t xml:space="preserve">Note /100</t>
  </si>
  <si>
    <t xml:space="preserve">Spécialité</t>
  </si>
  <si>
    <t xml:space="preserve">F-001</t>
  </si>
  <si>
    <t xml:space="preserve">Entreprise Nat. des Arts et Papeteries</t>
  </si>
  <si>
    <t xml:space="preserve">Alger</t>
  </si>
  <si>
    <t xml:space="preserve">021-XX-XX-XX</t>
  </si>
  <si>
    <t xml:space="preserve">Articles papeterie, impression</t>
  </si>
  <si>
    <t xml:space="preserve">F-002</t>
  </si>
  <si>
    <t xml:space="preserve">Fournisseur bureautique multi-services</t>
  </si>
  <si>
    <t xml:space="preserve">Oran</t>
  </si>
  <si>
    <t xml:space="preserve">041-XX-XX-XX</t>
  </si>
  <si>
    <t xml:space="preserve">Consommables informatiques, toners</t>
  </si>
  <si>
    <t xml:space="preserve">F-003</t>
  </si>
  <si>
    <t xml:space="preserve">Articles de bureau et consommables</t>
  </si>
  <si>
    <t xml:space="preserve">Mascara</t>
  </si>
  <si>
    <t xml:space="preserve">045-XX-XX-XX</t>
  </si>
  <si>
    <t xml:space="preserve">Matériel de bureau, classement</t>
  </si>
  <si>
    <t xml:space="preserve">REGISTRE DES MOUVEMENTS  —  ENTRÉES / SORTIES  [v7 | OPT-01 range 500 | OPT-02 MAX(1,…) CMUP | FIX-01 no prefix]</t>
  </si>
  <si>
    <t xml:space="preserve">Date</t>
  </si>
  <si>
    <t xml:space="preserve">Désignation (auto)</t>
  </si>
  <si>
    <t xml:space="preserve">Type
IN/OUT</t>
  </si>
  <si>
    <t xml:space="preserve">Quantité</t>
  </si>
  <si>
    <t xml:space="preserve">Prix Unit. (DA)
[AUTO-VLOOKUP]</t>
  </si>
  <si>
    <t xml:space="preserve">Valeur (DA)</t>
  </si>
  <si>
    <t xml:space="preserve">Réf. Doc</t>
  </si>
  <si>
    <t xml:space="preserve">Prix Cat.
(VLOOKUP col I)</t>
  </si>
  <si>
    <t xml:space="preserve">Stock Net
(IN−OUT col J)</t>
  </si>
  <si>
    <t xml:space="preserve">Valeur IN
Cumulée (K)</t>
  </si>
  <si>
    <t xml:space="preserve">CMUP Exact
(L=K÷MAX(1,ΣIN))
[OPT-02]</t>
  </si>
  <si>
    <t xml:space="preserve">Notes</t>
  </si>
  <si>
    <t xml:space="preserve">IN</t>
  </si>
  <si>
    <t xml:space="preserve">SI-2025</t>
  </si>
  <si>
    <r>
      <rPr>
        <i val="true"/>
        <sz val="9"/>
        <color rgb="FF000000"/>
        <rFont val="FreeSans"/>
        <family val="2"/>
      </rPr>
      <t xml:space="preserve">رصيد افتتاحي </t>
    </r>
    <r>
      <rPr>
        <i val="true"/>
        <sz val="9"/>
        <color rgb="FF000000"/>
        <rFont val="Calibri"/>
        <family val="0"/>
        <charset val="1"/>
      </rPr>
      <t xml:space="preserve">31/12/2025</t>
    </r>
  </si>
  <si>
    <t xml:space="preserve">OUT</t>
  </si>
  <si>
    <t xml:space="preserve">BS-J1-001</t>
  </si>
  <si>
    <r>
      <rPr>
        <i val="true"/>
        <sz val="9"/>
        <color rgb="FF000000"/>
        <rFont val="FreeSans"/>
        <family val="2"/>
      </rPr>
      <t xml:space="preserve">مصلحة الرواتب </t>
    </r>
    <r>
      <rPr>
        <i val="true"/>
        <sz val="9"/>
        <color rgb="FF000000"/>
        <rFont val="Calibri"/>
        <family val="0"/>
        <charset val="1"/>
      </rPr>
      <t xml:space="preserve">+ </t>
    </r>
    <r>
      <rPr>
        <i val="true"/>
        <sz val="9"/>
        <color rgb="FF000000"/>
        <rFont val="FreeSans"/>
        <family val="2"/>
      </rPr>
      <t xml:space="preserve">المستخدمين</t>
    </r>
  </si>
  <si>
    <t xml:space="preserve">BS-J1-002</t>
  </si>
  <si>
    <r>
      <rPr>
        <i val="true"/>
        <sz val="9"/>
        <color rgb="FF000000"/>
        <rFont val="FreeSans"/>
        <family val="2"/>
      </rPr>
      <t xml:space="preserve">مصلحة الموظفين </t>
    </r>
    <r>
      <rPr>
        <i val="true"/>
        <sz val="9"/>
        <color rgb="FF000000"/>
        <rFont val="Calibri"/>
        <family val="0"/>
        <charset val="1"/>
      </rPr>
      <t xml:space="preserve">+ </t>
    </r>
    <r>
      <rPr>
        <i val="true"/>
        <sz val="9"/>
        <color rgb="FF000000"/>
        <rFont val="FreeSans"/>
        <family val="2"/>
      </rPr>
      <t xml:space="preserve">الامتحانات</t>
    </r>
  </si>
  <si>
    <t xml:space="preserve">BS-J1-003</t>
  </si>
  <si>
    <t xml:space="preserve">عدة مصالح — نهاية يناير</t>
  </si>
  <si>
    <t xml:space="preserve">BR-001</t>
  </si>
  <si>
    <r>
      <rPr>
        <i val="true"/>
        <sz val="9"/>
        <color rgb="FF000000"/>
        <rFont val="FreeSans"/>
        <family val="2"/>
      </rPr>
      <t xml:space="preserve">وصل استلام — </t>
    </r>
    <r>
      <rPr>
        <i val="true"/>
        <sz val="9"/>
        <color rgb="FF000000"/>
        <rFont val="Calibri"/>
        <family val="0"/>
        <charset val="1"/>
      </rPr>
      <t xml:space="preserve">Toner G030</t>
    </r>
  </si>
  <si>
    <r>
      <rPr>
        <i val="true"/>
        <sz val="9"/>
        <color rgb="FF000000"/>
        <rFont val="FreeSans"/>
        <family val="2"/>
      </rPr>
      <t xml:space="preserve">وصل استلام — رزمة ورق </t>
    </r>
    <r>
      <rPr>
        <i val="true"/>
        <sz val="9"/>
        <color rgb="FF000000"/>
        <rFont val="Calibri"/>
        <family val="0"/>
        <charset val="1"/>
      </rPr>
      <t xml:space="preserve">A3</t>
    </r>
  </si>
  <si>
    <t xml:space="preserve">SI-001</t>
  </si>
  <si>
    <t xml:space="preserve">رصيد افتتاحي فيفري</t>
  </si>
  <si>
    <t xml:space="preserve">BS-F1-001</t>
  </si>
  <si>
    <t xml:space="preserve">مصلحة الطباعة</t>
  </si>
  <si>
    <t xml:space="preserve">BS-F1-002</t>
  </si>
  <si>
    <t xml:space="preserve">مصلحة الرواتب والطبع</t>
  </si>
  <si>
    <t xml:space="preserve">BS-F1-003</t>
  </si>
  <si>
    <t xml:space="preserve">مصلحة الدراسات</t>
  </si>
  <si>
    <t xml:space="preserve">BS-F1-004</t>
  </si>
  <si>
    <t xml:space="preserve">عدة مكاتب</t>
  </si>
  <si>
    <t xml:space="preserve">BS-F1-005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</si>
  <si>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نفاد مؤكد </t>
    </r>
    <r>
      <rPr>
        <i val="true"/>
        <sz val="9"/>
        <color rgb="FF000000"/>
        <rFont val="Calibri"/>
        <family val="0"/>
        <charset val="1"/>
      </rPr>
      <t xml:space="preserve">G030 → 0 </t>
    </r>
    <r>
      <rPr>
        <i val="true"/>
        <sz val="9"/>
        <color rgb="FF000000"/>
        <rFont val="FreeSans"/>
        <family val="2"/>
      </rPr>
      <t xml:space="preserve">وحدة</t>
    </r>
  </si>
  <si>
    <t xml:space="preserve">BS-F1-006</t>
  </si>
  <si>
    <t xml:space="preserve">مصلحة الأرشيف</t>
  </si>
  <si>
    <t xml:space="preserve">BS-F1-007</t>
  </si>
  <si>
    <t xml:space="preserve">BS-F2-001</t>
  </si>
  <si>
    <t xml:space="preserve">طباعة نتائج الامتحانات</t>
  </si>
  <si>
    <t xml:space="preserve">BS-M1-001</t>
  </si>
  <si>
    <t xml:space="preserve">مكتب الإدارة</t>
  </si>
  <si>
    <t xml:space="preserve">BS-M1-002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</si>
  <si>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رصيد حرج </t>
    </r>
    <r>
      <rPr>
        <i val="true"/>
        <sz val="9"/>
        <color rgb="FF000000"/>
        <rFont val="Calibri"/>
        <family val="0"/>
        <charset val="1"/>
      </rPr>
      <t xml:space="preserve">A3 → 2 </t>
    </r>
    <r>
      <rPr>
        <i val="true"/>
        <sz val="9"/>
        <color rgb="FF000000"/>
        <rFont val="FreeSans"/>
        <family val="2"/>
      </rPr>
      <t xml:space="preserve">رزمة</t>
    </r>
  </si>
  <si>
    <t xml:space="preserve">BS-M1-003</t>
  </si>
  <si>
    <r>
      <rPr>
        <i val="true"/>
        <sz val="9"/>
        <color rgb="FF000000"/>
        <rFont val="FreeSans"/>
        <family val="2"/>
      </rPr>
      <t xml:space="preserve">أمانة المدير </t>
    </r>
    <r>
      <rPr>
        <i val="true"/>
        <sz val="9"/>
        <color rgb="FF000000"/>
        <rFont val="Calibri"/>
        <family val="0"/>
        <charset val="1"/>
      </rPr>
      <t xml:space="preserve">+ </t>
    </r>
    <r>
      <rPr>
        <i val="true"/>
        <sz val="9"/>
        <color rgb="FF000000"/>
        <rFont val="FreeSans"/>
        <family val="2"/>
      </rPr>
      <t xml:space="preserve">عدة مصالح</t>
    </r>
  </si>
  <si>
    <t xml:space="preserve">BS-M1-004</t>
  </si>
  <si>
    <t xml:space="preserve">مصلحة الموظفين</t>
  </si>
  <si>
    <t xml:space="preserve">BS-M1-005</t>
  </si>
  <si>
    <r>
      <rPr>
        <i val="true"/>
        <sz val="9"/>
        <color rgb="FF000000"/>
        <rFont val="FreeSans"/>
        <family val="2"/>
      </rPr>
      <t xml:space="preserve">رصيد أخير مُوثَّق </t>
    </r>
    <r>
      <rPr>
        <i val="true"/>
        <sz val="9"/>
        <color rgb="FF000000"/>
        <rFont val="Calibri"/>
        <family val="0"/>
        <charset val="1"/>
      </rPr>
      <t xml:space="preserve">= 130</t>
    </r>
  </si>
  <si>
    <t xml:space="preserve">BS-M1-006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</si>
  <si>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رصيد حرج → </t>
    </r>
    <r>
      <rPr>
        <i val="true"/>
        <sz val="9"/>
        <color rgb="FF000000"/>
        <rFont val="Calibri"/>
        <family val="0"/>
        <charset val="1"/>
      </rPr>
      <t xml:space="preserve">1 </t>
    </r>
    <r>
      <rPr>
        <i val="true"/>
        <sz val="9"/>
        <color rgb="FF000000"/>
        <rFont val="FreeSans"/>
        <family val="2"/>
      </rPr>
      <t xml:space="preserve">وحدة</t>
    </r>
  </si>
  <si>
    <t xml:space="preserve">TABLEAU DE BORD  —  ÉTAT DU STOCK + STATUTS ROP  [v7 | 12 articles | OPT-01 range | OPT-02 CMUP | Excel 2010]</t>
  </si>
  <si>
    <t xml:space="preserve">SECTION 1  —  ÉTAT DU STOCK EN TEMPS RÉEL  (ROP dynamique par article  |  38 j obs.  |  LT = 2 j)</t>
  </si>
  <si>
    <t xml:space="preserve">Désignation</t>
  </si>
  <si>
    <t xml:space="preserve">ABC</t>
  </si>
  <si>
    <t xml:space="preserve">Total IN</t>
  </si>
  <si>
    <t xml:space="preserve">Total OUT</t>
  </si>
  <si>
    <t xml:space="preserve">STOCK ACTUEL</t>
  </si>
  <si>
    <t xml:space="preserve">CMUP (DA)</t>
  </si>
  <si>
    <t xml:space="preserve">Valeur Stock (DA)</t>
  </si>
  <si>
    <t xml:space="preserve">ROP [OPT-01]</t>
  </si>
  <si>
    <t xml:space="preserve">Statut</t>
  </si>
  <si>
    <t xml:space="preserve">PARAMÈTRES</t>
  </si>
  <si>
    <t xml:space="preserve">Valeur</t>
  </si>
  <si>
    <t xml:space="preserve">Jours observation (fixe)</t>
  </si>
  <si>
    <t xml:space="preserve">Période réf. (jours ouvrés)</t>
  </si>
  <si>
    <t xml:space="preserve">Délai livraison LT (jours)</t>
  </si>
  <si>
    <t xml:space="preserve">TOTAUX</t>
  </si>
  <si>
    <t xml:space="preserve">LÉGENDE:  OK = stock suffisant  |  ~ ALERTE = stock &lt; 125% du ROP  |  &gt;&gt; COMMANDER = stock ≤ ROP  |  !! RUPTURE = stock nul  |  ROP = Stock_Min + (ΣOuts/38j) × 2j  |  CMUP = K÷MAX(1,ΣIN) [OPT-02]</t>
  </si>
  <si>
    <r>
      <rPr>
        <b val="true"/>
        <sz val="13"/>
        <color rgb="FFFFFFFF"/>
        <rFont val="Calibri"/>
        <family val="0"/>
        <charset val="1"/>
      </rPr>
      <t xml:space="preserve">INVENTAIRE PERMANENT  —  Écart Physique vs Comptable  [Jr</t>
    </r>
    <r>
      <rPr>
        <b val="true"/>
        <sz val="13"/>
        <color rgb="FFFFFFFF"/>
        <rFont val="FreeSans"/>
        <family val="2"/>
      </rPr>
      <t xml:space="preserve">د الدائم</t>
    </r>
    <r>
      <rPr>
        <b val="true"/>
        <sz val="13"/>
        <color rgb="FFFFFFFF"/>
        <rFont val="Calibri"/>
        <family val="0"/>
        <charset val="1"/>
      </rPr>
      <t xml:space="preserve">]</t>
    </r>
  </si>
  <si>
    <t xml:space="preserve">Stock Comptable
(Depuis MOUVEMENTS)</t>
  </si>
  <si>
    <t xml:space="preserve">Stock Physique
(Saisie manuelle)</t>
  </si>
  <si>
    <t xml:space="preserve">Écart
(Physique − Comptable)</t>
  </si>
  <si>
    <t xml:space="preserve">% Écart</t>
  </si>
  <si>
    <t xml:space="preserve">📌  Saisir le stock physique constaté (colonne D) lors de chaque opération d'inventaire.</t>
  </si>
  <si>
    <t xml:space="preserve">MODÈLE DE WILSON — EOQ  [OPT-03 | D Auto-annualisé | ART-001 | Excel 2010]</t>
  </si>
  <si>
    <t xml:space="preserve">D</t>
  </si>
  <si>
    <t xml:space="preserve">Demande annuelle ART-001  [AUTO annualisé ×250 j]</t>
  </si>
  <si>
    <t xml:space="preserve">unités/an</t>
  </si>
  <si>
    <t xml:space="preserve">CL</t>
  </si>
  <si>
    <t xml:space="preserve">Coût passation par commande (DA)  [modifiable]</t>
  </si>
  <si>
    <t xml:space="preserve">DA/cmd</t>
  </si>
  <si>
    <t xml:space="preserve">PU</t>
  </si>
  <si>
    <t xml:space="preserve">Prix unitaire ART-001 (DA)  [confirmé terrain]</t>
  </si>
  <si>
    <t xml:space="preserve">DA/rame</t>
  </si>
  <si>
    <t xml:space="preserve">t</t>
  </si>
  <si>
    <t xml:space="preserve">Taux de possession annuel</t>
  </si>
  <si>
    <t xml:space="preserve">%</t>
  </si>
  <si>
    <t xml:space="preserve">SS</t>
  </si>
  <si>
    <t xml:space="preserve">Stock de sécurité (unités)  [modifiable]</t>
  </si>
  <si>
    <t xml:space="preserve">unités</t>
  </si>
  <si>
    <t xml:space="preserve">LT</t>
  </si>
  <si>
    <t xml:space="preserve">Délai livraison Oran→Bayadh (jours ouvrés)</t>
  </si>
  <si>
    <t xml:space="preserve">jours</t>
  </si>
  <si>
    <t xml:space="preserve">RÉSULTATS DU MODÈLE  —  Q*, N, ROP, CVT</t>
  </si>
  <si>
    <t xml:space="preserve">EOQ</t>
  </si>
  <si>
    <t xml:space="preserve">Quantité économique Q* = √(2·D·CL / Cs)  où Cs = PU·t</t>
  </si>
  <si>
    <t xml:space="preserve">N</t>
  </si>
  <si>
    <t xml:space="preserve">Nombre de commandes par an  N = D / Q*</t>
  </si>
  <si>
    <t xml:space="preserve">cmd/an</t>
  </si>
  <si>
    <t xml:space="preserve">ROP</t>
  </si>
  <si>
    <t xml:space="preserve">Point de réappro  ROP = SS + CMJ·LT  [CMJ=D/250]</t>
  </si>
  <si>
    <t xml:space="preserve">Cp</t>
  </si>
  <si>
    <t xml:space="preserve">Coût de passation annuel  Cp = (D/Q*)·CL</t>
  </si>
  <si>
    <t xml:space="preserve">DA/an</t>
  </si>
  <si>
    <t xml:space="preserve">Cd</t>
  </si>
  <si>
    <t xml:space="preserve">Coût de détention annuel  Cd = (Q*/2+SS)·Cs</t>
  </si>
  <si>
    <t xml:space="preserve">CVT</t>
  </si>
  <si>
    <t xml:space="preserve">Coût Variable Total  CVT = Cp + Cd</t>
  </si>
  <si>
    <r>
      <rPr>
        <i val="true"/>
        <sz val="9"/>
        <color rgb="FF000000"/>
        <rFont val="Calibri"/>
        <family val="0"/>
        <charset val="1"/>
      </rPr>
      <t xml:space="preserve">📌  EOQ est calculé pour ART-001 (</t>
    </r>
    <r>
      <rPr>
        <i val="true"/>
        <sz val="9"/>
        <color rgb="FF000000"/>
        <rFont val="FreeSans"/>
        <family val="2"/>
      </rPr>
      <t xml:space="preserve">رزمة </t>
    </r>
    <r>
      <rPr>
        <i val="true"/>
        <sz val="9"/>
        <color rgb="FF000000"/>
        <rFont val="Calibri"/>
        <family val="0"/>
        <charset val="1"/>
      </rPr>
      <t xml:space="preserve">A4) uniquement, article de classe A.  D est auto-annualisé depuis MOUVEMENTS (38j obs. × 250j ouvrables).  Valeurs attendues : EOQ ≈ 60 rames | ROP ≈ 216 rames | CVT ≈ 4817 DA/an</t>
    </r>
  </si>
  <si>
    <r>
      <rPr>
        <b val="true"/>
        <sz val="13"/>
        <color rgb="FFFFFFFF"/>
        <rFont val="Calibri"/>
        <family val="0"/>
        <charset val="1"/>
      </rPr>
      <t xml:space="preserve">HISTORIQUE DES COMMANDES  —  </t>
    </r>
    <r>
      <rPr>
        <b val="true"/>
        <sz val="13"/>
        <color rgb="FFFFFFFF"/>
        <rFont val="FreeSans"/>
        <family val="2"/>
      </rPr>
      <t xml:space="preserve">سجل الطلبيات  </t>
    </r>
    <r>
      <rPr>
        <b val="true"/>
        <sz val="13"/>
        <color rgb="FFFFFFFF"/>
        <rFont val="Calibri"/>
        <family val="0"/>
        <charset val="1"/>
      </rPr>
      <t xml:space="preserve">[Bon de Commande]</t>
    </r>
  </si>
  <si>
    <t xml:space="preserve">N° BC</t>
  </si>
  <si>
    <t xml:space="preserve">Date commande</t>
  </si>
  <si>
    <t xml:space="preserve">Qté commandée</t>
  </si>
  <si>
    <t xml:space="preserve">Qté livrée</t>
  </si>
  <si>
    <t xml:space="preserve">BC-001</t>
  </si>
  <si>
    <t xml:space="preserve">2025-12-15</t>
  </si>
  <si>
    <t xml:space="preserve">✔ Livré</t>
  </si>
  <si>
    <t xml:space="preserve">BC-002</t>
  </si>
  <si>
    <t xml:space="preserve">2026-01-28</t>
  </si>
  <si>
    <t xml:space="preserve">BC-003</t>
  </si>
  <si>
    <t xml:space="preserve">BC-004</t>
  </si>
  <si>
    <t xml:space="preserve">2026-03-09</t>
  </si>
  <si>
    <t xml:space="preserve">⏳ En attente</t>
  </si>
  <si>
    <t xml:space="preserve">BC-005</t>
  </si>
  <si>
    <r>
      <rPr>
        <b val="true"/>
        <sz val="14"/>
        <color rgb="FFFFFFFF"/>
        <rFont val="Calibri"/>
        <family val="0"/>
        <charset val="1"/>
      </rPr>
      <t xml:space="preserve">GUIDE D'UTILISATION  —  </t>
    </r>
    <r>
      <rPr>
        <b val="true"/>
        <sz val="14"/>
        <color rgb="FFFFFFFF"/>
        <rFont val="FreeSans"/>
        <family val="2"/>
      </rPr>
      <t xml:space="preserve">دليل الاستخدام  </t>
    </r>
    <r>
      <rPr>
        <b val="true"/>
        <sz val="14"/>
        <color rgb="FFFFFFFF"/>
        <rFont val="Calibri"/>
        <family val="0"/>
        <charset val="1"/>
      </rPr>
      <t xml:space="preserve">|  ERP_Academie_v7</t>
    </r>
  </si>
  <si>
    <t xml:space="preserve">SECTION</t>
  </si>
  <si>
    <t xml:space="preserve">CORRECTIONS v7 vs v6  (bugs résolus)</t>
  </si>
  <si>
    <t xml:space="preserve">✔</t>
  </si>
  <si>
    <t xml:space="preserve">OPT-01  Range ARTICLES étendu à 12 articles (lignes 3-14). Toutes les formules VLOOKUP utilisent $A$3:$G$500</t>
  </si>
  <si>
    <t xml:space="preserve">OPT-02  CMUP colonne L : dénominateur protégé par MAX(1,…) → aucune erreur DIV/0 possible</t>
  </si>
  <si>
    <t xml:space="preserve">OPT-03  Calcul Wilson (EOQ) déplacé dans la feuille CALCULS_EOQ (était dans TABLEAU DE BORD)</t>
  </si>
  <si>
    <t xml:space="preserve">FIX-01  Préfixe MOUVEMENTS! supprimé dans les formules de la feuille MOUVEMENTS (référence circulaire évitée)</t>
  </si>
  <si>
    <t xml:space="preserve">FIX-02  Colonne J MOUVEMENTS renommée «Stock Net (IN−OUT)» — label correct</t>
  </si>
  <si>
    <t xml:space="preserve">FIX-03  5 feuilles manquantes ajoutées: ACCUEIL, FOURNISSEURS, INVENTAIRE, CALCULS_EOQ, HISTORIQUE</t>
  </si>
  <si>
    <t xml:space="preserve">FIX-04  Catalogue: 12 articles conformes à l'analyse ABC du terrain (vs 8 dans v6)</t>
  </si>
  <si>
    <r>
      <rPr>
        <sz val="10"/>
        <color rgb="FF000000"/>
        <rFont val="Calibri"/>
        <family val="0"/>
        <charset val="1"/>
      </rPr>
      <t xml:space="preserve">FIX-05  Registre: 29 mouvements depuis données réelles des b</t>
    </r>
    <r>
      <rPr>
        <sz val="10"/>
        <color rgb="FF000000"/>
        <rFont val="FreeSans"/>
        <family val="2"/>
      </rPr>
      <t xml:space="preserve">طاقات المخزون</t>
    </r>
  </si>
  <si>
    <t xml:space="preserve">COMPATIBILITÉ EXCEL 2010 / WINDOWS 7</t>
  </si>
  <si>
    <t xml:space="preserve">Aucune fonction moderne (XLOOKUP, UNIQUE, FILTER, tableaux dynamiques)</t>
  </si>
  <si>
    <t xml:space="preserve">VLOOKUP, SUMIFS, SUMPRODUCT, IFERROR, MAX uniquement</t>
  </si>
  <si>
    <t xml:space="preserve">LOOKUP(2,1/(array=val),result) pour trouver la dernière valeur CMUP par article</t>
  </si>
  <si>
    <t xml:space="preserve">VBA — MACROS À AJOUTER MANUELLEMENT (ALT+F11)</t>
  </si>
  <si>
    <t xml:space="preserve">►</t>
  </si>
  <si>
    <t xml:space="preserve">Sub AjouterMouvement() — Demande code, type, qté, ref → insère ligne en MOUVEMENTS, rafraîchit TDB</t>
  </si>
  <si>
    <t xml:space="preserve">Sub VerifierAlertes() — Boucle sur TABLEAU DE BORD col K, MsgBox si COMMANDER ou RUPTURE</t>
  </si>
  <si>
    <t xml:space="preserve">Sub RafraichirTableauBord() — Force recalcul (Application.Calculate), met à jour date ACCUEIL</t>
  </si>
  <si>
    <t xml:space="preserve">COMMENT AJOUTER UN MOUVEMENT</t>
  </si>
  <si>
    <t xml:space="preserve">1.</t>
  </si>
  <si>
    <t xml:space="preserve">Aller dans la feuille MOUVEMENTS</t>
  </si>
  <si>
    <t xml:space="preserve">2.</t>
  </si>
  <si>
    <t xml:space="preserve">Saisir la date (col A), le code article (col B), IN/OUT (col D), quantité (col E), réf. doc (col H)</t>
  </si>
  <si>
    <t xml:space="preserve">3.</t>
  </si>
  <si>
    <t xml:space="preserve">Les colonnes C, F, G, I, J, K, L se calculent automatiquement</t>
  </si>
  <si>
    <t xml:space="preserve">4.</t>
  </si>
  <si>
    <t xml:space="preserve">Le TABLEAU DE BORD se met à jour dès que vous revenez sur cet onglet</t>
  </si>
  <si>
    <t xml:space="preserve">PARAMÈTRES AJUSTABLES (TABLEAU DE BORD, colonnes M-N)</t>
  </si>
  <si>
    <t xml:space="preserve">N4</t>
  </si>
  <si>
    <t xml:space="preserve">Jours d'observation = 38 jours (période terrain 01/02 – 09/03/2026). Modifier si nouvelle période.</t>
  </si>
  <si>
    <t xml:space="preserve">N6</t>
  </si>
  <si>
    <t xml:space="preserve">Lead Time = 2 jours (Oran → El Bayadh). Modifier si délai change.</t>
  </si>
  <si>
    <t xml:space="preserve">CALCULS_EOQ — WILSON</t>
  </si>
  <si>
    <t xml:space="preserve">C3</t>
  </si>
  <si>
    <t xml:space="preserve">D = Demande annuelle ART-001 (calculée auto depuis MOUVEMENTS)</t>
  </si>
  <si>
    <t xml:space="preserve">C4</t>
  </si>
  <si>
    <t xml:space="preserve">CL = 50 DA par commande (modifiable)</t>
  </si>
  <si>
    <t xml:space="preserve">C5</t>
  </si>
  <si>
    <t xml:space="preserve">PU = 400 DA/rame (confirmé terrain — NE PAS changer)</t>
  </si>
  <si>
    <t xml:space="preserve">C6</t>
  </si>
  <si>
    <t xml:space="preserve">t = 20% taux de possession (standard secteur public)</t>
  </si>
  <si>
    <t xml:space="preserve">C7</t>
  </si>
  <si>
    <t xml:space="preserve">SS = 200 rames (stock de sécurité — modifiable)</t>
  </si>
  <si>
    <t xml:space="preserve">C8</t>
  </si>
  <si>
    <t xml:space="preserve">LT = 2 jours (modifiable)</t>
  </si>
  <si>
    <r>
      <rPr>
        <b val="true"/>
        <sz val="10"/>
        <color rgb="FFFFFFFF"/>
        <rFont val="Calibri"/>
        <family val="0"/>
        <charset val="1"/>
      </rPr>
      <t xml:space="preserve">MÉMOIRE — Références m</t>
    </r>
    <r>
      <rPr>
        <b val="true"/>
        <sz val="10"/>
        <color rgb="FFFFFFFF"/>
        <rFont val="FreeSans"/>
        <family val="2"/>
      </rPr>
      <t xml:space="preserve">ذكرة تخرج</t>
    </r>
  </si>
  <si>
    <t xml:space="preserve">§</t>
  </si>
  <si>
    <t xml:space="preserve">Chapitre 3, §3.2 : Tableau ABC → ART-001 = 72.2% de la valeur totale</t>
  </si>
  <si>
    <t xml:space="preserve">Chapitre 3, §3.3 : CMUP = K ÷ MAX(1,ΣIN) → formule colonne L, MOUVEMENTS</t>
  </si>
  <si>
    <t xml:space="preserve">Chapitre 3, §3.4 : Wilson EOQ ≈ 60 rames | ROP ≈ 216 rames | CVT ≈ 4817 DA/an</t>
  </si>
  <si>
    <t xml:space="preserve">Chapitre 4, §4.2 : 9 feuilles, 12 articles, VLOOKUP+SUMPRODUCT, Excel 2010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</si>
</sst>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#,##0\ [$DA]"/>
    <numFmt numFmtId="168" formatCode="dd/mm/yyyy"/>
    <numFmt numFmtId="169" formatCode="#,##0.00"/>
    <numFmt numFmtId="170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FreeSans"/>
      <family val="2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000000"/>
      <name val="FreeSans"/>
      <family val="2"/>
    </font>
    <font>
      <sz val="11"/>
      <color theme="1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555555"/>
      <name val="FreeSans"/>
      <family val="2"/>
    </font>
    <font>
      <i val="true"/>
      <sz val="9"/>
      <color rgb="FF555555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3"/>
      <color rgb="FFFFFFFF"/>
      <name val="FreeSans"/>
      <family val="2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FreeSans"/>
      <family val="2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FreeSans"/>
      <family val="2"/>
    </font>
    <font>
      <i val="true"/>
      <sz val="9"/>
      <color rgb="FF44444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6B2E"/>
      <name val="Calibri"/>
      <family val="0"/>
      <charset val="1"/>
    </font>
    <font>
      <i val="true"/>
      <sz val="9"/>
      <color rgb="FF000000"/>
      <name val="FreeSans"/>
      <family val="2"/>
    </font>
    <font>
      <i val="true"/>
      <sz val="9"/>
      <color rgb="FF000000"/>
      <name val="Calibri"/>
      <family val="0"/>
      <charset val="1"/>
    </font>
    <font>
      <b val="true"/>
      <sz val="11"/>
      <color rgb="FF7B3F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FFFFFF"/>
      <name val="FreeSans"/>
      <family val="2"/>
    </font>
    <font>
      <sz val="10"/>
      <color rgb="FF000000"/>
      <name val="Free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1F6B2E"/>
        <bgColor rgb="FF27500A"/>
      </patternFill>
    </fill>
    <fill>
      <patternFill patternType="solid">
        <fgColor rgb="FF27500A"/>
        <bgColor rgb="FF1F6B2E"/>
      </patternFill>
    </fill>
    <fill>
      <patternFill patternType="solid">
        <fgColor rgb="FFEAF3DE"/>
        <bgColor rgb="FFFAEEDA"/>
      </patternFill>
    </fill>
    <fill>
      <patternFill patternType="solid">
        <fgColor rgb="FF0C3547"/>
        <bgColor rgb="FF003300"/>
      </patternFill>
    </fill>
    <fill>
      <patternFill patternType="solid">
        <fgColor rgb="FFE6F1FB"/>
        <bgColor rgb="FFEAF3DE"/>
      </patternFill>
    </fill>
    <fill>
      <patternFill patternType="solid">
        <fgColor rgb="FFFFF2CC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  <fill>
      <patternFill patternType="solid">
        <fgColor rgb="FF2F4858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D5F0C0"/>
        <bgColor rgb="FFEAF3D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E"/>
      <rgbColor rgb="FF000080"/>
      <rgbColor rgb="FF808000"/>
      <rgbColor rgb="FF800080"/>
      <rgbColor rgb="FF008080"/>
      <rgbColor rgb="FFC8C8C8"/>
      <rgbColor rgb="FF888888"/>
      <rgbColor rgb="FF9999FF"/>
      <rgbColor rgb="FF993366"/>
      <rgbColor rgb="FFFFF2CC"/>
      <rgbColor rgb="FFE6F1FB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D5F0C0"/>
      <rgbColor rgb="FFFAEEDA"/>
      <rgbColor rgb="FF99CCFF"/>
      <rgbColor rgb="FFFF99CC"/>
      <rgbColor rgb="FFCC99FF"/>
      <rgbColor rgb="FFF7F7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3547"/>
      <rgbColor rgb="FF339966"/>
      <rgbColor rgb="FF003300"/>
      <rgbColor rgb="FF27500A"/>
      <rgbColor rgb="FF7B3F00"/>
      <rgbColor rgb="FF993366"/>
      <rgbColor rgb="FF2F485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24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5" t="s">
        <v>11</v>
      </c>
    </row>
    <row r="9" customFormat="false" ht="15" hidden="false" customHeight="false" outlineLevel="0" collapsed="false">
      <c r="A9" s="3" t="s">
        <v>12</v>
      </c>
      <c r="B9" s="5" t="s">
        <v>13</v>
      </c>
    </row>
    <row r="10" customFormat="false" ht="7.5" hidden="false" customHeight="true" outlineLevel="0" collapsed="false"/>
    <row r="11" customFormat="false" ht="14.9" hidden="false" customHeight="false" outlineLevel="0" collapsed="false">
      <c r="A11" s="6" t="s">
        <v>14</v>
      </c>
      <c r="B11" s="6"/>
      <c r="C11" s="6"/>
    </row>
    <row r="12" customFormat="false" ht="15" hidden="false" customHeight="false" outlineLevel="0" collapsed="false">
      <c r="A12" s="7" t="s">
        <v>15</v>
      </c>
      <c r="B12" s="8" t="n">
        <f aca="false">SUMPRODUCT(SUMIF(ARTICLES!$A$3:$A$500,"ART-001",ARTICLES!$G$3:$G$500)*(SUMIFS(MOUVEMENTS!$E$3:$E$500,MOUVEMENTS!$B$3:$B$500,"ART-001",MOUVEMENTS!$D$3:$D$500,"IN")-SUMIFS(MOUVEMENTS!$E$3:$E$500,MOUVEMENTS!$B$3:$B$500,"ART-001",MOUVEMENTS!$D$3:$D$500,"OUT")))</f>
        <v>150000</v>
      </c>
      <c r="C12" s="9" t="s">
        <v>16</v>
      </c>
    </row>
    <row r="13" customFormat="false" ht="15" hidden="false" customHeight="false" outlineLevel="0" collapsed="false">
      <c r="A13" s="7" t="s">
        <v>17</v>
      </c>
      <c r="B13" s="8" t="n">
        <f aca="false">COUNTA(ARTICLES!$A$3:$A$500)</f>
        <v>13</v>
      </c>
      <c r="C13" s="10" t="s">
        <v>18</v>
      </c>
    </row>
    <row r="14" customFormat="false" ht="15" hidden="false" customHeight="false" outlineLevel="0" collapsed="false">
      <c r="A14" s="7" t="s">
        <v>19</v>
      </c>
      <c r="B14" s="8" t="n">
        <f aca="false">COUNTA(MOUVEMENTS!$A$3:$A$500)</f>
        <v>29</v>
      </c>
      <c r="C14" s="9" t="s">
        <v>20</v>
      </c>
    </row>
    <row r="15" customFormat="false" ht="15" hidden="false" customHeight="false" outlineLevel="0" collapsed="false">
      <c r="A15" s="7" t="s">
        <v>21</v>
      </c>
      <c r="B15" s="8" t="n">
        <f aca="false">COUNTIF('TABLEAU DE BORD'!$K$4:$K$15,"&gt;&gt; COMMANDER")+COUNTIF('TABLEAU DE BORD'!$K$4:$K$15,"!! RUPTURE")</f>
        <v>12</v>
      </c>
      <c r="C15" s="9" t="s">
        <v>22</v>
      </c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21.75" hidden="false" customHeight="true" outlineLevel="0" collapsed="false">
      <c r="A2" s="12" t="s">
        <v>24</v>
      </c>
      <c r="B2" s="12" t="s">
        <v>25</v>
      </c>
      <c r="C2" s="13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 t="s">
        <v>33</v>
      </c>
    </row>
    <row r="3" customFormat="false" ht="15" hidden="false" customHeight="false" outlineLevel="0" collapsed="false">
      <c r="A3" s="14" t="s">
        <v>34</v>
      </c>
      <c r="B3" s="15" t="s">
        <v>35</v>
      </c>
      <c r="C3" s="16" t="s">
        <v>36</v>
      </c>
      <c r="D3" s="17" t="s">
        <v>37</v>
      </c>
      <c r="E3" s="17" t="s">
        <v>38</v>
      </c>
      <c r="F3" s="18" t="n">
        <v>400</v>
      </c>
      <c r="G3" s="18" t="n">
        <v>1500</v>
      </c>
      <c r="H3" s="19" t="n">
        <v>400</v>
      </c>
      <c r="I3" s="15" t="s">
        <v>39</v>
      </c>
      <c r="J3" s="15" t="s">
        <v>40</v>
      </c>
    </row>
    <row r="4" customFormat="false" ht="15" hidden="false" customHeight="false" outlineLevel="0" collapsed="false">
      <c r="A4" s="20" t="s">
        <v>41</v>
      </c>
      <c r="B4" s="21" t="s">
        <v>42</v>
      </c>
      <c r="C4" s="22" t="s">
        <v>43</v>
      </c>
      <c r="D4" s="23" t="s">
        <v>27</v>
      </c>
      <c r="E4" s="23" t="s">
        <v>44</v>
      </c>
      <c r="F4" s="24" t="n">
        <v>3</v>
      </c>
      <c r="G4" s="24" t="n">
        <v>15</v>
      </c>
      <c r="H4" s="25" t="n">
        <v>3000</v>
      </c>
      <c r="I4" s="21" t="s">
        <v>45</v>
      </c>
      <c r="J4" s="21" t="s">
        <v>46</v>
      </c>
    </row>
    <row r="5" customFormat="false" ht="15" hidden="false" customHeight="false" outlineLevel="0" collapsed="false">
      <c r="A5" s="20" t="s">
        <v>47</v>
      </c>
      <c r="B5" s="21" t="s">
        <v>48</v>
      </c>
      <c r="C5" s="22" t="s">
        <v>49</v>
      </c>
      <c r="D5" s="23" t="s">
        <v>37</v>
      </c>
      <c r="E5" s="23" t="s">
        <v>44</v>
      </c>
      <c r="F5" s="24" t="n">
        <v>30</v>
      </c>
      <c r="G5" s="24" t="n">
        <v>150</v>
      </c>
      <c r="H5" s="25" t="n">
        <v>600</v>
      </c>
      <c r="I5" s="21" t="s">
        <v>39</v>
      </c>
      <c r="J5" s="21" t="s">
        <v>50</v>
      </c>
    </row>
    <row r="6" customFormat="false" ht="15" hidden="false" customHeight="false" outlineLevel="0" collapsed="false">
      <c r="A6" s="26" t="s">
        <v>51</v>
      </c>
      <c r="B6" s="27" t="s">
        <v>52</v>
      </c>
      <c r="C6" s="28" t="s">
        <v>53</v>
      </c>
      <c r="D6" s="29" t="s">
        <v>27</v>
      </c>
      <c r="E6" s="29" t="s">
        <v>54</v>
      </c>
      <c r="F6" s="30" t="n">
        <v>20</v>
      </c>
      <c r="G6" s="30" t="n">
        <v>200</v>
      </c>
      <c r="H6" s="31" t="n">
        <v>150</v>
      </c>
      <c r="I6" s="27" t="s">
        <v>55</v>
      </c>
      <c r="J6" s="27" t="s">
        <v>56</v>
      </c>
    </row>
    <row r="7" customFormat="false" ht="15" hidden="false" customHeight="false" outlineLevel="0" collapsed="false">
      <c r="A7" s="26" t="s">
        <v>57</v>
      </c>
      <c r="B7" s="27" t="s">
        <v>58</v>
      </c>
      <c r="C7" s="28" t="s">
        <v>59</v>
      </c>
      <c r="D7" s="29" t="s">
        <v>27</v>
      </c>
      <c r="E7" s="29" t="s">
        <v>54</v>
      </c>
      <c r="F7" s="30" t="n">
        <v>2</v>
      </c>
      <c r="G7" s="30" t="n">
        <v>10</v>
      </c>
      <c r="H7" s="31" t="n">
        <v>800</v>
      </c>
      <c r="I7" s="27" t="s">
        <v>55</v>
      </c>
      <c r="J7" s="27" t="s">
        <v>56</v>
      </c>
    </row>
    <row r="8" customFormat="false" ht="15" hidden="false" customHeight="false" outlineLevel="0" collapsed="false">
      <c r="A8" s="26" t="s">
        <v>60</v>
      </c>
      <c r="B8" s="27" t="s">
        <v>61</v>
      </c>
      <c r="C8" s="28" t="s">
        <v>62</v>
      </c>
      <c r="D8" s="29" t="s">
        <v>63</v>
      </c>
      <c r="E8" s="29" t="s">
        <v>54</v>
      </c>
      <c r="F8" s="30" t="n">
        <v>5</v>
      </c>
      <c r="G8" s="30" t="n">
        <v>30</v>
      </c>
      <c r="H8" s="31" t="n">
        <v>30</v>
      </c>
      <c r="I8" s="27" t="s">
        <v>39</v>
      </c>
      <c r="J8" s="27" t="s">
        <v>40</v>
      </c>
    </row>
    <row r="9" customFormat="false" ht="15" hidden="false" customHeight="false" outlineLevel="0" collapsed="false">
      <c r="A9" s="26" t="s">
        <v>64</v>
      </c>
      <c r="B9" s="27" t="s">
        <v>65</v>
      </c>
      <c r="C9" s="28" t="s">
        <v>66</v>
      </c>
      <c r="D9" s="29" t="s">
        <v>27</v>
      </c>
      <c r="E9" s="29" t="s">
        <v>54</v>
      </c>
      <c r="F9" s="30" t="n">
        <v>2</v>
      </c>
      <c r="G9" s="30" t="n">
        <v>10</v>
      </c>
      <c r="H9" s="31" t="n">
        <v>300</v>
      </c>
      <c r="I9" s="27" t="s">
        <v>39</v>
      </c>
      <c r="J9" s="27" t="s">
        <v>67</v>
      </c>
    </row>
    <row r="10" customFormat="false" ht="15" hidden="false" customHeight="false" outlineLevel="0" collapsed="false">
      <c r="A10" s="26" t="s">
        <v>68</v>
      </c>
      <c r="B10" s="27" t="s">
        <v>69</v>
      </c>
      <c r="C10" s="28" t="s">
        <v>70</v>
      </c>
      <c r="D10" s="29" t="s">
        <v>27</v>
      </c>
      <c r="E10" s="29" t="s">
        <v>54</v>
      </c>
      <c r="F10" s="30" t="n">
        <v>2</v>
      </c>
      <c r="G10" s="30" t="n">
        <v>10</v>
      </c>
      <c r="H10" s="31" t="n">
        <v>200</v>
      </c>
      <c r="I10" s="27" t="s">
        <v>55</v>
      </c>
      <c r="J10" s="27" t="s">
        <v>71</v>
      </c>
    </row>
    <row r="11" customFormat="false" ht="15" hidden="false" customHeight="false" outlineLevel="0" collapsed="false">
      <c r="A11" s="26" t="s">
        <v>72</v>
      </c>
      <c r="B11" s="27" t="s">
        <v>73</v>
      </c>
      <c r="C11" s="28" t="s">
        <v>74</v>
      </c>
      <c r="D11" s="29" t="s">
        <v>27</v>
      </c>
      <c r="E11" s="29" t="s">
        <v>54</v>
      </c>
      <c r="F11" s="30" t="n">
        <v>10</v>
      </c>
      <c r="G11" s="30" t="n">
        <v>100</v>
      </c>
      <c r="H11" s="31" t="n">
        <v>50</v>
      </c>
      <c r="I11" s="27" t="s">
        <v>39</v>
      </c>
      <c r="J11" s="27" t="s">
        <v>40</v>
      </c>
    </row>
    <row r="12" customFormat="false" ht="15" hidden="false" customHeight="false" outlineLevel="0" collapsed="false">
      <c r="A12" s="26" t="s">
        <v>75</v>
      </c>
      <c r="B12" s="27" t="s">
        <v>76</v>
      </c>
      <c r="C12" s="28" t="s">
        <v>77</v>
      </c>
      <c r="D12" s="29" t="s">
        <v>27</v>
      </c>
      <c r="E12" s="29" t="s">
        <v>54</v>
      </c>
      <c r="F12" s="30" t="n">
        <v>5</v>
      </c>
      <c r="G12" s="30" t="n">
        <v>50</v>
      </c>
      <c r="H12" s="31" t="n">
        <v>80</v>
      </c>
      <c r="I12" s="27" t="s">
        <v>39</v>
      </c>
      <c r="J12" s="27" t="s">
        <v>40</v>
      </c>
    </row>
    <row r="13" customFormat="false" ht="15" hidden="false" customHeight="false" outlineLevel="0" collapsed="false">
      <c r="A13" s="26" t="s">
        <v>78</v>
      </c>
      <c r="B13" s="27" t="s">
        <v>79</v>
      </c>
      <c r="C13" s="28" t="s">
        <v>80</v>
      </c>
      <c r="D13" s="29" t="s">
        <v>81</v>
      </c>
      <c r="E13" s="29" t="s">
        <v>54</v>
      </c>
      <c r="F13" s="30" t="n">
        <v>1</v>
      </c>
      <c r="G13" s="30" t="n">
        <v>5</v>
      </c>
      <c r="H13" s="31" t="n">
        <v>400</v>
      </c>
      <c r="I13" s="27" t="s">
        <v>45</v>
      </c>
      <c r="J13" s="27" t="s">
        <v>82</v>
      </c>
    </row>
    <row r="14" customFormat="false" ht="15" hidden="false" customHeight="false" outlineLevel="0" collapsed="false">
      <c r="A14" s="26" t="s">
        <v>83</v>
      </c>
      <c r="B14" s="27" t="s">
        <v>84</v>
      </c>
      <c r="C14" s="28" t="s">
        <v>85</v>
      </c>
      <c r="D14" s="29" t="s">
        <v>27</v>
      </c>
      <c r="E14" s="29" t="s">
        <v>54</v>
      </c>
      <c r="F14" s="30" t="n">
        <v>5</v>
      </c>
      <c r="G14" s="30" t="n">
        <v>30</v>
      </c>
      <c r="H14" s="31" t="n">
        <v>50</v>
      </c>
      <c r="I14" s="27" t="s">
        <v>39</v>
      </c>
      <c r="J14" s="27" t="s">
        <v>40</v>
      </c>
    </row>
    <row r="16" customFormat="false" ht="15" hidden="false" customHeight="false" outlineLevel="0" collapsed="false">
      <c r="A16" s="32" t="s">
        <v>86</v>
      </c>
      <c r="B16" s="32"/>
      <c r="C16" s="32"/>
      <c r="D16" s="32"/>
      <c r="E16" s="32"/>
      <c r="F16" s="32"/>
      <c r="G16" s="32"/>
      <c r="H16" s="32"/>
      <c r="I16" s="32"/>
      <c r="J16" s="32"/>
    </row>
  </sheetData>
  <mergeCells count="2">
    <mergeCell ref="A1:J1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32"/>
  </cols>
  <sheetData>
    <row r="1" customFormat="false" ht="27.75" hidden="false" customHeight="true" outlineLevel="0" collapsed="false">
      <c r="A1" s="33" t="s">
        <v>87</v>
      </c>
      <c r="B1" s="33"/>
      <c r="C1" s="33"/>
      <c r="D1" s="33"/>
      <c r="E1" s="33"/>
      <c r="F1" s="33"/>
      <c r="G1" s="33"/>
      <c r="H1" s="33"/>
      <c r="I1" s="33"/>
    </row>
    <row r="2" customFormat="false" ht="19.5" hidden="false" customHeight="true" outlineLevel="0" collapsed="false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  <c r="H2" s="34" t="s">
        <v>95</v>
      </c>
      <c r="I2" s="34" t="s">
        <v>96</v>
      </c>
    </row>
    <row r="3" customFormat="false" ht="15" hidden="false" customHeight="false" outlineLevel="0" collapsed="false">
      <c r="A3" s="35" t="s">
        <v>97</v>
      </c>
      <c r="B3" s="36" t="s">
        <v>39</v>
      </c>
      <c r="C3" s="36" t="s">
        <v>98</v>
      </c>
      <c r="D3" s="36" t="s">
        <v>99</v>
      </c>
      <c r="E3" s="36" t="s">
        <v>100</v>
      </c>
      <c r="F3" s="35" t="s">
        <v>38</v>
      </c>
      <c r="G3" s="35" t="n">
        <v>8</v>
      </c>
      <c r="H3" s="35" t="n">
        <v>95</v>
      </c>
      <c r="I3" s="36" t="s">
        <v>101</v>
      </c>
    </row>
    <row r="4" customFormat="false" ht="15" hidden="false" customHeight="false" outlineLevel="0" collapsed="false">
      <c r="A4" s="37" t="s">
        <v>102</v>
      </c>
      <c r="B4" s="38" t="s">
        <v>45</v>
      </c>
      <c r="C4" s="38" t="s">
        <v>103</v>
      </c>
      <c r="D4" s="38" t="s">
        <v>104</v>
      </c>
      <c r="E4" s="38" t="s">
        <v>105</v>
      </c>
      <c r="F4" s="37" t="s">
        <v>38</v>
      </c>
      <c r="G4" s="37" t="n">
        <v>5</v>
      </c>
      <c r="H4" s="37" t="n">
        <v>90</v>
      </c>
      <c r="I4" s="38" t="s">
        <v>106</v>
      </c>
    </row>
    <row r="5" customFormat="false" ht="15" hidden="false" customHeight="false" outlineLevel="0" collapsed="false">
      <c r="A5" s="35" t="s">
        <v>107</v>
      </c>
      <c r="B5" s="36" t="s">
        <v>55</v>
      </c>
      <c r="C5" s="36" t="s">
        <v>108</v>
      </c>
      <c r="D5" s="36" t="s">
        <v>109</v>
      </c>
      <c r="E5" s="36" t="s">
        <v>110</v>
      </c>
      <c r="F5" s="35" t="s">
        <v>44</v>
      </c>
      <c r="G5" s="35" t="n">
        <v>7</v>
      </c>
      <c r="H5" s="35" t="n">
        <v>80</v>
      </c>
      <c r="I5" s="36" t="s">
        <v>111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customFormat="false" ht="48" hidden="false" customHeight="true" outlineLevel="0" collapsed="false">
      <c r="A2" s="34" t="s">
        <v>113</v>
      </c>
      <c r="B2" s="34" t="s">
        <v>24</v>
      </c>
      <c r="C2" s="34" t="s">
        <v>114</v>
      </c>
      <c r="D2" s="34" t="s">
        <v>115</v>
      </c>
      <c r="E2" s="34" t="s">
        <v>116</v>
      </c>
      <c r="F2" s="34" t="s">
        <v>117</v>
      </c>
      <c r="G2" s="34" t="s">
        <v>118</v>
      </c>
      <c r="H2" s="34" t="s">
        <v>119</v>
      </c>
      <c r="I2" s="34" t="s">
        <v>120</v>
      </c>
      <c r="J2" s="34" t="s">
        <v>121</v>
      </c>
      <c r="K2" s="34" t="s">
        <v>122</v>
      </c>
      <c r="L2" s="34" t="s">
        <v>123</v>
      </c>
      <c r="M2" s="34" t="s">
        <v>124</v>
      </c>
    </row>
    <row r="3" customFormat="false" ht="15" hidden="false" customHeight="false" outlineLevel="0" collapsed="false">
      <c r="A3" s="40" t="n">
        <v>46022</v>
      </c>
      <c r="B3" s="26" t="s">
        <v>34</v>
      </c>
      <c r="C3" s="41" t="str">
        <f aca="false">IFERROR(VLOOKUP(B3,ARTICLES!$A$3:$G$500,2,0),"—")</f>
        <v>Rame papier A4 80g/m²</v>
      </c>
      <c r="D3" s="42" t="s">
        <v>125</v>
      </c>
      <c r="E3" s="43" t="n">
        <v>405</v>
      </c>
      <c r="F3" s="43" t="n">
        <f aca="false">IFERROR(VLOOKUP(B3,ARTICLES!$A$3:$G$500,7,0),0)</f>
        <v>1500</v>
      </c>
      <c r="G3" s="43" t="n">
        <f aca="false">E3*F3</f>
        <v>607500</v>
      </c>
      <c r="H3" s="44" t="s">
        <v>126</v>
      </c>
      <c r="I3" s="45" t="n">
        <f aca="false">IFERROR(VLOOKUP(B3,ARTICLES!$A$3:$G$500,7,0),0)</f>
        <v>1500</v>
      </c>
      <c r="J3" s="46" t="n">
        <f aca="false">SUMPRODUCT(($B$3:$B3=B3)*($D$3:$D3="IN")*$E$3:$E3)-SUMPRODUCT(($B$3:$B3=B3)*($D$3:$D3="OUT")*$E$3:$E3)</f>
        <v>405</v>
      </c>
      <c r="K3" s="46" t="n">
        <f aca="false">SUMPRODUCT(($B$3:$B3=B3)*($D$3:$D3="IN")*$E$3:$E3*$F$3:$F3)</f>
        <v>607500</v>
      </c>
      <c r="L3" s="47" t="n">
        <f aca="false">IFERROR(K3/MAX(1,SUMPRODUCT(($B$3:$B3=B3)*($D$3:$D3="IN")*$E$3:$E3)),IFERROR(VLOOKUP(B3,ARTICLES!$A$3:$G$500,7,0),0))</f>
        <v>1500</v>
      </c>
      <c r="M3" s="48" t="s">
        <v>127</v>
      </c>
    </row>
    <row r="4" customFormat="false" ht="15" hidden="false" customHeight="false" outlineLevel="0" collapsed="false">
      <c r="A4" s="49" t="n">
        <v>46030</v>
      </c>
      <c r="B4" s="20" t="s">
        <v>34</v>
      </c>
      <c r="C4" s="50" t="str">
        <f aca="false">IFERROR(VLOOKUP(B4,ARTICLES!$A$3:$G$500,2,0),"—")</f>
        <v>Rame papier A4 80g/m²</v>
      </c>
      <c r="D4" s="51" t="s">
        <v>128</v>
      </c>
      <c r="E4" s="52" t="n">
        <v>75</v>
      </c>
      <c r="F4" s="52" t="n">
        <f aca="false">IFERROR(VLOOKUP(B4,ARTICLES!$A$3:$G$500,7,0),0)</f>
        <v>1500</v>
      </c>
      <c r="G4" s="52" t="n">
        <f aca="false">E4*F4</f>
        <v>112500</v>
      </c>
      <c r="H4" s="53" t="s">
        <v>129</v>
      </c>
      <c r="I4" s="45" t="n">
        <f aca="false">IFERROR(VLOOKUP(B4,ARTICLES!$A$3:$G$500,7,0),0)</f>
        <v>1500</v>
      </c>
      <c r="J4" s="46" t="n">
        <f aca="false">SUMPRODUCT(($B$3:$B4=B4)*($D$3:$D4="IN")*$E$3:$E4)-SUMPRODUCT(($B$3:$B4=B4)*($D$3:$D4="OUT")*$E$3:$E4)</f>
        <v>330</v>
      </c>
      <c r="K4" s="46" t="n">
        <f aca="false">SUMPRODUCT(($B$3:$B4=B4)*($D$3:$D4="IN")*$E$3:$E4*$F$3:$F4)</f>
        <v>607500</v>
      </c>
      <c r="L4" s="47" t="n">
        <f aca="false">IFERROR(K4/MAX(1,SUMPRODUCT(($B$3:$B4=B4)*($D$3:$D4="IN")*$E$3:$E4)),IFERROR(VLOOKUP(B4,ARTICLES!$A$3:$G$500,7,0),0))</f>
        <v>1500</v>
      </c>
      <c r="M4" s="54" t="s">
        <v>130</v>
      </c>
    </row>
    <row r="5" customFormat="false" ht="15" hidden="false" customHeight="false" outlineLevel="0" collapsed="false">
      <c r="A5" s="49" t="n">
        <v>46037</v>
      </c>
      <c r="B5" s="20" t="s">
        <v>34</v>
      </c>
      <c r="C5" s="50" t="str">
        <f aca="false">IFERROR(VLOOKUP(B5,ARTICLES!$A$3:$G$500,2,0),"—")</f>
        <v>Rame papier A4 80g/m²</v>
      </c>
      <c r="D5" s="51" t="s">
        <v>128</v>
      </c>
      <c r="E5" s="52" t="n">
        <v>55</v>
      </c>
      <c r="F5" s="52" t="n">
        <f aca="false">IFERROR(VLOOKUP(B5,ARTICLES!$A$3:$G$500,7,0),0)</f>
        <v>1500</v>
      </c>
      <c r="G5" s="52" t="n">
        <f aca="false">E5*F5</f>
        <v>82500</v>
      </c>
      <c r="H5" s="53" t="s">
        <v>131</v>
      </c>
      <c r="I5" s="45" t="n">
        <f aca="false">IFERROR(VLOOKUP(B5,ARTICLES!$A$3:$G$500,7,0),0)</f>
        <v>1500</v>
      </c>
      <c r="J5" s="46" t="n">
        <f aca="false">SUMPRODUCT(($B$3:$B5=B5)*($D$3:$D5="IN")*$E$3:$E5)-SUMPRODUCT(($B$3:$B5=B5)*($D$3:$D5="OUT")*$E$3:$E5)</f>
        <v>275</v>
      </c>
      <c r="K5" s="46" t="n">
        <f aca="false">SUMPRODUCT(($B$3:$B5=B5)*($D$3:$D5="IN")*$E$3:$E5*$F$3:$F5)</f>
        <v>607500</v>
      </c>
      <c r="L5" s="47" t="n">
        <f aca="false">IFERROR(K5/MAX(1,SUMPRODUCT(($B$3:$B5=B5)*($D$3:$D5="IN")*$E$3:$E5)),IFERROR(VLOOKUP(B5,ARTICLES!$A$3:$G$500,7,0),0))</f>
        <v>1500</v>
      </c>
      <c r="M5" s="54" t="s">
        <v>132</v>
      </c>
    </row>
    <row r="6" customFormat="false" ht="15" hidden="false" customHeight="false" outlineLevel="0" collapsed="false">
      <c r="A6" s="49" t="n">
        <v>46050</v>
      </c>
      <c r="B6" s="20" t="s">
        <v>34</v>
      </c>
      <c r="C6" s="50" t="str">
        <f aca="false">IFERROR(VLOOKUP(B6,ARTICLES!$A$3:$G$500,2,0),"—")</f>
        <v>Rame papier A4 80g/m²</v>
      </c>
      <c r="D6" s="51" t="s">
        <v>128</v>
      </c>
      <c r="E6" s="52" t="n">
        <v>40</v>
      </c>
      <c r="F6" s="52" t="n">
        <f aca="false">IFERROR(VLOOKUP(B6,ARTICLES!$A$3:$G$500,7,0),0)</f>
        <v>1500</v>
      </c>
      <c r="G6" s="52" t="n">
        <f aca="false">E6*F6</f>
        <v>60000</v>
      </c>
      <c r="H6" s="53" t="s">
        <v>133</v>
      </c>
      <c r="I6" s="45" t="n">
        <f aca="false">IFERROR(VLOOKUP(B6,ARTICLES!$A$3:$G$500,7,0),0)</f>
        <v>1500</v>
      </c>
      <c r="J6" s="46" t="n">
        <f aca="false">SUMPRODUCT(($B$3:$B6=B6)*($D$3:$D6="IN")*$E$3:$E6)-SUMPRODUCT(($B$3:$B6=B6)*($D$3:$D6="OUT")*$E$3:$E6)</f>
        <v>235</v>
      </c>
      <c r="K6" s="46" t="n">
        <f aca="false">SUMPRODUCT(($B$3:$B6=B6)*($D$3:$D6="IN")*$E$3:$E6*$F$3:$F6)</f>
        <v>607500</v>
      </c>
      <c r="L6" s="47" t="n">
        <f aca="false">IFERROR(K6/MAX(1,SUMPRODUCT(($B$3:$B6=B6)*($D$3:$D6="IN")*$E$3:$E6)),IFERROR(VLOOKUP(B6,ARTICLES!$A$3:$G$500,7,0),0))</f>
        <v>1500</v>
      </c>
      <c r="M6" s="54" t="s">
        <v>134</v>
      </c>
    </row>
    <row r="7" customFormat="false" ht="15" hidden="false" customHeight="false" outlineLevel="0" collapsed="false">
      <c r="A7" s="40" t="n">
        <v>46054</v>
      </c>
      <c r="B7" s="26" t="s">
        <v>41</v>
      </c>
      <c r="C7" s="41" t="str">
        <f aca="false">IFERROR(VLOOKUP(B7,ARTICLES!$A$3:$G$500,2,0),"—")</f>
        <v>Toner imprimante G030 (noir)</v>
      </c>
      <c r="D7" s="42" t="s">
        <v>125</v>
      </c>
      <c r="E7" s="43" t="n">
        <v>5</v>
      </c>
      <c r="F7" s="43" t="n">
        <f aca="false">IFERROR(VLOOKUP(B7,ARTICLES!$A$3:$G$500,7,0),0)</f>
        <v>15</v>
      </c>
      <c r="G7" s="43" t="n">
        <f aca="false">E7*F7</f>
        <v>75</v>
      </c>
      <c r="H7" s="44" t="s">
        <v>135</v>
      </c>
      <c r="I7" s="45" t="n">
        <f aca="false">IFERROR(VLOOKUP(B7,ARTICLES!$A$3:$G$500,7,0),0)</f>
        <v>15</v>
      </c>
      <c r="J7" s="46" t="n">
        <f aca="false">SUMPRODUCT(($B$3:$B7=B7)*($D$3:$D7="IN")*$E$3:$E7)-SUMPRODUCT(($B$3:$B7=B7)*($D$3:$D7="OUT")*$E$3:$E7)</f>
        <v>5</v>
      </c>
      <c r="K7" s="46" t="n">
        <f aca="false">SUMPRODUCT(($B$3:$B7=B7)*($D$3:$D7="IN")*$E$3:$E7*$F$3:$F7)</f>
        <v>75</v>
      </c>
      <c r="L7" s="47" t="n">
        <f aca="false">IFERROR(K7/MAX(1,SUMPRODUCT(($B$3:$B7=B7)*($D$3:$D7="IN")*$E$3:$E7)),IFERROR(VLOOKUP(B7,ARTICLES!$A$3:$G$500,7,0),0))</f>
        <v>15</v>
      </c>
      <c r="M7" s="48" t="s">
        <v>136</v>
      </c>
    </row>
    <row r="8" customFormat="false" ht="15" hidden="false" customHeight="false" outlineLevel="0" collapsed="false">
      <c r="A8" s="40" t="n">
        <v>46054</v>
      </c>
      <c r="B8" s="26" t="s">
        <v>47</v>
      </c>
      <c r="C8" s="41" t="str">
        <f aca="false">IFERROR(VLOOKUP(B8,ARTICLES!$A$3:$G$500,2,0),"—")</f>
        <v>Rame papier A3 80g/m²</v>
      </c>
      <c r="D8" s="42" t="s">
        <v>125</v>
      </c>
      <c r="E8" s="43" t="n">
        <v>100</v>
      </c>
      <c r="F8" s="43" t="n">
        <f aca="false">IFERROR(VLOOKUP(B8,ARTICLES!$A$3:$G$500,7,0),0)</f>
        <v>150</v>
      </c>
      <c r="G8" s="43" t="n">
        <f aca="false">E8*F8</f>
        <v>15000</v>
      </c>
      <c r="H8" s="44" t="s">
        <v>135</v>
      </c>
      <c r="I8" s="45" t="n">
        <f aca="false">IFERROR(VLOOKUP(B8,ARTICLES!$A$3:$G$500,7,0),0)</f>
        <v>150</v>
      </c>
      <c r="J8" s="46" t="n">
        <f aca="false">SUMPRODUCT(($B$3:$B8=B8)*($D$3:$D8="IN")*$E$3:$E8)-SUMPRODUCT(($B$3:$B8=B8)*($D$3:$D8="OUT")*$E$3:$E8)</f>
        <v>100</v>
      </c>
      <c r="K8" s="46" t="n">
        <f aca="false">SUMPRODUCT(($B$3:$B8=B8)*($D$3:$D8="IN")*$E$3:$E8*$F$3:$F8)</f>
        <v>15000</v>
      </c>
      <c r="L8" s="47" t="n">
        <f aca="false">IFERROR(K8/MAX(1,SUMPRODUCT(($B$3:$B8=B8)*($D$3:$D8="IN")*$E$3:$E8)),IFERROR(VLOOKUP(B8,ARTICLES!$A$3:$G$500,7,0),0))</f>
        <v>150</v>
      </c>
      <c r="M8" s="48" t="s">
        <v>137</v>
      </c>
    </row>
    <row r="9" customFormat="false" ht="15" hidden="false" customHeight="false" outlineLevel="0" collapsed="false">
      <c r="A9" s="40" t="n">
        <v>46054</v>
      </c>
      <c r="B9" s="26" t="s">
        <v>51</v>
      </c>
      <c r="C9" s="41" t="str">
        <f aca="false">IFERROR(VLOOKUP(B9,ARTICLES!$A$3:$G$500,2,0),"—")</f>
        <v>Boîte archives carton</v>
      </c>
      <c r="D9" s="42" t="s">
        <v>125</v>
      </c>
      <c r="E9" s="43" t="n">
        <v>240</v>
      </c>
      <c r="F9" s="43" t="n">
        <f aca="false">IFERROR(VLOOKUP(B9,ARTICLES!$A$3:$G$500,7,0),0)</f>
        <v>200</v>
      </c>
      <c r="G9" s="43" t="n">
        <f aca="false">E9*F9</f>
        <v>48000</v>
      </c>
      <c r="H9" s="44" t="s">
        <v>138</v>
      </c>
      <c r="I9" s="45" t="n">
        <f aca="false">IFERROR(VLOOKUP(B9,ARTICLES!$A$3:$G$500,7,0),0)</f>
        <v>200</v>
      </c>
      <c r="J9" s="46" t="n">
        <f aca="false">SUMPRODUCT(($B$3:$B9=B9)*($D$3:$D9="IN")*$E$3:$E9)-SUMPRODUCT(($B$3:$B9=B9)*($D$3:$D9="OUT")*$E$3:$E9)</f>
        <v>240</v>
      </c>
      <c r="K9" s="46" t="n">
        <f aca="false">SUMPRODUCT(($B$3:$B9=B9)*($D$3:$D9="IN")*$E$3:$E9*$F$3:$F9)</f>
        <v>48000</v>
      </c>
      <c r="L9" s="47" t="n">
        <f aca="false">IFERROR(K9/MAX(1,SUMPRODUCT(($B$3:$B9=B9)*($D$3:$D9="IN")*$E$3:$E9)),IFERROR(VLOOKUP(B9,ARTICLES!$A$3:$G$500,7,0),0))</f>
        <v>200</v>
      </c>
      <c r="M9" s="48" t="s">
        <v>139</v>
      </c>
    </row>
    <row r="10" customFormat="false" ht="15" hidden="false" customHeight="false" outlineLevel="0" collapsed="false">
      <c r="A10" s="40" t="n">
        <v>46054</v>
      </c>
      <c r="B10" s="26" t="s">
        <v>57</v>
      </c>
      <c r="C10" s="41" t="str">
        <f aca="false">IFERROR(VLOOKUP(B10,ARTICLES!$A$3:$G$500,2,0),"—")</f>
        <v>Agrafeuse de bureau</v>
      </c>
      <c r="D10" s="42" t="s">
        <v>125</v>
      </c>
      <c r="E10" s="43" t="n">
        <v>4</v>
      </c>
      <c r="F10" s="43" t="n">
        <f aca="false">IFERROR(VLOOKUP(B10,ARTICLES!$A$3:$G$500,7,0),0)</f>
        <v>10</v>
      </c>
      <c r="G10" s="43" t="n">
        <f aca="false">E10*F10</f>
        <v>40</v>
      </c>
      <c r="H10" s="44" t="s">
        <v>138</v>
      </c>
      <c r="I10" s="45" t="n">
        <f aca="false">IFERROR(VLOOKUP(B10,ARTICLES!$A$3:$G$500,7,0),0)</f>
        <v>10</v>
      </c>
      <c r="J10" s="46" t="n">
        <f aca="false">SUMPRODUCT(($B$3:$B10=B10)*($D$3:$D10="IN")*$E$3:$E10)-SUMPRODUCT(($B$3:$B10=B10)*($D$3:$D10="OUT")*$E$3:$E10)</f>
        <v>4</v>
      </c>
      <c r="K10" s="46" t="n">
        <f aca="false">SUMPRODUCT(($B$3:$B10=B10)*($D$3:$D10="IN")*$E$3:$E10*$F$3:$F10)</f>
        <v>40</v>
      </c>
      <c r="L10" s="47" t="n">
        <f aca="false">IFERROR(K10/MAX(1,SUMPRODUCT(($B$3:$B10=B10)*($D$3:$D10="IN")*$E$3:$E10)),IFERROR(VLOOKUP(B10,ARTICLES!$A$3:$G$500,7,0),0))</f>
        <v>10</v>
      </c>
      <c r="M10" s="48" t="s">
        <v>139</v>
      </c>
    </row>
    <row r="11" customFormat="false" ht="15" hidden="false" customHeight="false" outlineLevel="0" collapsed="false">
      <c r="A11" s="40" t="n">
        <v>46054</v>
      </c>
      <c r="B11" s="26" t="s">
        <v>60</v>
      </c>
      <c r="C11" s="41" t="str">
        <f aca="false">IFERROR(VLOOKUP(B11,ARTICLES!$A$3:$G$500,2,0),"—")</f>
        <v>Stylos bille boîte/50</v>
      </c>
      <c r="D11" s="42" t="s">
        <v>125</v>
      </c>
      <c r="E11" s="43" t="n">
        <v>50</v>
      </c>
      <c r="F11" s="43" t="n">
        <f aca="false">IFERROR(VLOOKUP(B11,ARTICLES!$A$3:$G$500,7,0),0)</f>
        <v>30</v>
      </c>
      <c r="G11" s="43" t="n">
        <f aca="false">E11*F11</f>
        <v>1500</v>
      </c>
      <c r="H11" s="44" t="s">
        <v>138</v>
      </c>
      <c r="I11" s="45" t="n">
        <f aca="false">IFERROR(VLOOKUP(B11,ARTICLES!$A$3:$G$500,7,0),0)</f>
        <v>30</v>
      </c>
      <c r="J11" s="46" t="n">
        <f aca="false">SUMPRODUCT(($B$3:$B11=B11)*($D$3:$D11="IN")*$E$3:$E11)-SUMPRODUCT(($B$3:$B11=B11)*($D$3:$D11="OUT")*$E$3:$E11)</f>
        <v>50</v>
      </c>
      <c r="K11" s="46" t="n">
        <f aca="false">SUMPRODUCT(($B$3:$B11=B11)*($D$3:$D11="IN")*$E$3:$E11*$F$3:$F11)</f>
        <v>1500</v>
      </c>
      <c r="L11" s="47" t="n">
        <f aca="false">IFERROR(K11/MAX(1,SUMPRODUCT(($B$3:$B11=B11)*($D$3:$D11="IN")*$E$3:$E11)),IFERROR(VLOOKUP(B11,ARTICLES!$A$3:$G$500,7,0),0))</f>
        <v>30</v>
      </c>
      <c r="M11" s="48" t="s">
        <v>139</v>
      </c>
    </row>
    <row r="12" customFormat="false" ht="15" hidden="false" customHeight="false" outlineLevel="0" collapsed="false">
      <c r="A12" s="40" t="n">
        <v>46054</v>
      </c>
      <c r="B12" s="26" t="s">
        <v>64</v>
      </c>
      <c r="C12" s="41" t="str">
        <f aca="false">IFERROR(VLOOKUP(B12,ARTICLES!$A$3:$G$500,2,0),"—")</f>
        <v>Registre grand format 5m</v>
      </c>
      <c r="D12" s="42" t="s">
        <v>125</v>
      </c>
      <c r="E12" s="43" t="n">
        <v>3</v>
      </c>
      <c r="F12" s="43" t="n">
        <f aca="false">IFERROR(VLOOKUP(B12,ARTICLES!$A$3:$G$500,7,0),0)</f>
        <v>10</v>
      </c>
      <c r="G12" s="43" t="n">
        <f aca="false">E12*F12</f>
        <v>30</v>
      </c>
      <c r="H12" s="44" t="s">
        <v>138</v>
      </c>
      <c r="I12" s="45" t="n">
        <f aca="false">IFERROR(VLOOKUP(B12,ARTICLES!$A$3:$G$500,7,0),0)</f>
        <v>10</v>
      </c>
      <c r="J12" s="46" t="n">
        <f aca="false">SUMPRODUCT(($B$3:$B12=B12)*($D$3:$D12="IN")*$E$3:$E12)-SUMPRODUCT(($B$3:$B12=B12)*($D$3:$D12="OUT")*$E$3:$E12)</f>
        <v>3</v>
      </c>
      <c r="K12" s="46" t="n">
        <f aca="false">SUMPRODUCT(($B$3:$B12=B12)*($D$3:$D12="IN")*$E$3:$E12*$F$3:$F12)</f>
        <v>30</v>
      </c>
      <c r="L12" s="47" t="n">
        <f aca="false">IFERROR(K12/MAX(1,SUMPRODUCT(($B$3:$B12=B12)*($D$3:$D12="IN")*$E$3:$E12)),IFERROR(VLOOKUP(B12,ARTICLES!$A$3:$G$500,7,0),0))</f>
        <v>10</v>
      </c>
      <c r="M12" s="48" t="s">
        <v>139</v>
      </c>
    </row>
    <row r="13" customFormat="false" ht="15" hidden="false" customHeight="false" outlineLevel="0" collapsed="false">
      <c r="A13" s="40" t="n">
        <v>46054</v>
      </c>
      <c r="B13" s="26" t="s">
        <v>68</v>
      </c>
      <c r="C13" s="41" t="str">
        <f aca="false">IFERROR(VLOOKUP(B13,ARTICLES!$A$3:$G$500,2,0),"—")</f>
        <v>Encre tampon</v>
      </c>
      <c r="D13" s="42" t="s">
        <v>125</v>
      </c>
      <c r="E13" s="43" t="n">
        <v>5</v>
      </c>
      <c r="F13" s="43" t="n">
        <f aca="false">IFERROR(VLOOKUP(B13,ARTICLES!$A$3:$G$500,7,0),0)</f>
        <v>10</v>
      </c>
      <c r="G13" s="43" t="n">
        <f aca="false">E13*F13</f>
        <v>50</v>
      </c>
      <c r="H13" s="44" t="s">
        <v>138</v>
      </c>
      <c r="I13" s="45" t="n">
        <f aca="false">IFERROR(VLOOKUP(B13,ARTICLES!$A$3:$G$500,7,0),0)</f>
        <v>10</v>
      </c>
      <c r="J13" s="46" t="n">
        <f aca="false">SUMPRODUCT(($B$3:$B13=B13)*($D$3:$D13="IN")*$E$3:$E13)-SUMPRODUCT(($B$3:$B13=B13)*($D$3:$D13="OUT")*$E$3:$E13)</f>
        <v>5</v>
      </c>
      <c r="K13" s="46" t="n">
        <f aca="false">SUMPRODUCT(($B$3:$B13=B13)*($D$3:$D13="IN")*$E$3:$E13*$F$3:$F13)</f>
        <v>50</v>
      </c>
      <c r="L13" s="47" t="n">
        <f aca="false">IFERROR(K13/MAX(1,SUMPRODUCT(($B$3:$B13=B13)*($D$3:$D13="IN")*$E$3:$E13)),IFERROR(VLOOKUP(B13,ARTICLES!$A$3:$G$500,7,0),0))</f>
        <v>10</v>
      </c>
      <c r="M13" s="48" t="s">
        <v>139</v>
      </c>
    </row>
    <row r="14" customFormat="false" ht="15" hidden="false" customHeight="false" outlineLevel="0" collapsed="false">
      <c r="A14" s="40" t="n">
        <v>46054</v>
      </c>
      <c r="B14" s="26" t="s">
        <v>72</v>
      </c>
      <c r="C14" s="41" t="str">
        <f aca="false">IFERROR(VLOOKUP(B14,ARTICLES!$A$3:$G$500,2,0),"—")</f>
        <v>Sous-chemise carton</v>
      </c>
      <c r="D14" s="42" t="s">
        <v>125</v>
      </c>
      <c r="E14" s="43" t="n">
        <v>48</v>
      </c>
      <c r="F14" s="43" t="n">
        <f aca="false">IFERROR(VLOOKUP(B14,ARTICLES!$A$3:$G$500,7,0),0)</f>
        <v>100</v>
      </c>
      <c r="G14" s="43" t="n">
        <f aca="false">E14*F14</f>
        <v>4800</v>
      </c>
      <c r="H14" s="44" t="s">
        <v>138</v>
      </c>
      <c r="I14" s="45" t="n">
        <f aca="false">IFERROR(VLOOKUP(B14,ARTICLES!$A$3:$G$500,7,0),0)</f>
        <v>100</v>
      </c>
      <c r="J14" s="46" t="n">
        <f aca="false">SUMPRODUCT(($B$3:$B14=B14)*($D$3:$D14="IN")*$E$3:$E14)-SUMPRODUCT(($B$3:$B14=B14)*($D$3:$D14="OUT")*$E$3:$E14)</f>
        <v>48</v>
      </c>
      <c r="K14" s="46" t="n">
        <f aca="false">SUMPRODUCT(($B$3:$B14=B14)*($D$3:$D14="IN")*$E$3:$E14*$F$3:$F14)</f>
        <v>4800</v>
      </c>
      <c r="L14" s="47" t="n">
        <f aca="false">IFERROR(K14/MAX(1,SUMPRODUCT(($B$3:$B14=B14)*($D$3:$D14="IN")*$E$3:$E14)),IFERROR(VLOOKUP(B14,ARTICLES!$A$3:$G$500,7,0),0))</f>
        <v>100</v>
      </c>
      <c r="M14" s="48" t="s">
        <v>139</v>
      </c>
    </row>
    <row r="15" customFormat="false" ht="15" hidden="false" customHeight="false" outlineLevel="0" collapsed="false">
      <c r="A15" s="40" t="n">
        <v>46054</v>
      </c>
      <c r="B15" s="26" t="s">
        <v>75</v>
      </c>
      <c r="C15" s="41" t="str">
        <f aca="false">IFERROR(VLOOKUP(B15,ARTICLES!$A$3:$G$500,2,0),"—")</f>
        <v>Chemise cartonnée</v>
      </c>
      <c r="D15" s="42" t="s">
        <v>125</v>
      </c>
      <c r="E15" s="43" t="n">
        <v>24</v>
      </c>
      <c r="F15" s="43" t="n">
        <f aca="false">IFERROR(VLOOKUP(B15,ARTICLES!$A$3:$G$500,7,0),0)</f>
        <v>50</v>
      </c>
      <c r="G15" s="43" t="n">
        <f aca="false">E15*F15</f>
        <v>1200</v>
      </c>
      <c r="H15" s="44" t="s">
        <v>138</v>
      </c>
      <c r="I15" s="45" t="n">
        <f aca="false">IFERROR(VLOOKUP(B15,ARTICLES!$A$3:$G$500,7,0),0)</f>
        <v>50</v>
      </c>
      <c r="J15" s="46" t="n">
        <f aca="false">SUMPRODUCT(($B$3:$B15=B15)*($D$3:$D15="IN")*$E$3:$E15)-SUMPRODUCT(($B$3:$B15=B15)*($D$3:$D15="OUT")*$E$3:$E15)</f>
        <v>24</v>
      </c>
      <c r="K15" s="46" t="n">
        <f aca="false">SUMPRODUCT(($B$3:$B15=B15)*($D$3:$D15="IN")*$E$3:$E15*$F$3:$F15)</f>
        <v>1200</v>
      </c>
      <c r="L15" s="47" t="n">
        <f aca="false">IFERROR(K15/MAX(1,SUMPRODUCT(($B$3:$B15=B15)*($D$3:$D15="IN")*$E$3:$E15)),IFERROR(VLOOKUP(B15,ARTICLES!$A$3:$G$500,7,0),0))</f>
        <v>50</v>
      </c>
      <c r="M15" s="48" t="s">
        <v>139</v>
      </c>
    </row>
    <row r="16" customFormat="false" ht="15" hidden="false" customHeight="false" outlineLevel="0" collapsed="false">
      <c r="A16" s="40" t="n">
        <v>46054</v>
      </c>
      <c r="B16" s="26" t="s">
        <v>78</v>
      </c>
      <c r="C16" s="41" t="str">
        <f aca="false">IFERROR(VLOOKUP(B16,ARTICLES!$A$3:$G$500,2,0),"—")</f>
        <v>Rouleau papier fax</v>
      </c>
      <c r="D16" s="42" t="s">
        <v>125</v>
      </c>
      <c r="E16" s="43" t="n">
        <v>2</v>
      </c>
      <c r="F16" s="43" t="n">
        <f aca="false">IFERROR(VLOOKUP(B16,ARTICLES!$A$3:$G$500,7,0),0)</f>
        <v>5</v>
      </c>
      <c r="G16" s="43" t="n">
        <f aca="false">E16*F16</f>
        <v>10</v>
      </c>
      <c r="H16" s="44" t="s">
        <v>138</v>
      </c>
      <c r="I16" s="45" t="n">
        <f aca="false">IFERROR(VLOOKUP(B16,ARTICLES!$A$3:$G$500,7,0),0)</f>
        <v>5</v>
      </c>
      <c r="J16" s="46" t="n">
        <f aca="false">SUMPRODUCT(($B$3:$B16=B16)*($D$3:$D16="IN")*$E$3:$E16)-SUMPRODUCT(($B$3:$B16=B16)*($D$3:$D16="OUT")*$E$3:$E16)</f>
        <v>2</v>
      </c>
      <c r="K16" s="46" t="n">
        <f aca="false">SUMPRODUCT(($B$3:$B16=B16)*($D$3:$D16="IN")*$E$3:$E16*$F$3:$F16)</f>
        <v>10</v>
      </c>
      <c r="L16" s="47" t="n">
        <f aca="false">IFERROR(K16/MAX(1,SUMPRODUCT(($B$3:$B16=B16)*($D$3:$D16="IN")*$E$3:$E16)),IFERROR(VLOOKUP(B16,ARTICLES!$A$3:$G$500,7,0),0))</f>
        <v>5</v>
      </c>
      <c r="M16" s="48" t="s">
        <v>139</v>
      </c>
    </row>
    <row r="17" customFormat="false" ht="15" hidden="false" customHeight="false" outlineLevel="0" collapsed="false">
      <c r="A17" s="40" t="n">
        <v>46054</v>
      </c>
      <c r="B17" s="26" t="s">
        <v>83</v>
      </c>
      <c r="C17" s="41" t="str">
        <f aca="false">IFERROR(VLOOKUP(B17,ARTICLES!$A$3:$G$500,2,0),"—")</f>
        <v>Marqueur permanent noir</v>
      </c>
      <c r="D17" s="42" t="s">
        <v>125</v>
      </c>
      <c r="E17" s="43" t="n">
        <v>16</v>
      </c>
      <c r="F17" s="43" t="n">
        <f aca="false">IFERROR(VLOOKUP(B17,ARTICLES!$A$3:$G$500,7,0),0)</f>
        <v>30</v>
      </c>
      <c r="G17" s="43" t="n">
        <f aca="false">E17*F17</f>
        <v>480</v>
      </c>
      <c r="H17" s="44" t="s">
        <v>138</v>
      </c>
      <c r="I17" s="45" t="n">
        <f aca="false">IFERROR(VLOOKUP(B17,ARTICLES!$A$3:$G$500,7,0),0)</f>
        <v>30</v>
      </c>
      <c r="J17" s="46" t="n">
        <f aca="false">SUMPRODUCT(($B$3:$B17=B17)*($D$3:$D17="IN")*$E$3:$E17)-SUMPRODUCT(($B$3:$B17=B17)*($D$3:$D17="OUT")*$E$3:$E17)</f>
        <v>16</v>
      </c>
      <c r="K17" s="46" t="n">
        <f aca="false">SUMPRODUCT(($B$3:$B17=B17)*($D$3:$D17="IN")*$E$3:$E17*$F$3:$F17)</f>
        <v>480</v>
      </c>
      <c r="L17" s="47" t="n">
        <f aca="false">IFERROR(K17/MAX(1,SUMPRODUCT(($B$3:$B17=B17)*($D$3:$D17="IN")*$E$3:$E17)),IFERROR(VLOOKUP(B17,ARTICLES!$A$3:$G$500,7,0),0))</f>
        <v>30</v>
      </c>
      <c r="M17" s="48" t="s">
        <v>139</v>
      </c>
    </row>
    <row r="18" customFormat="false" ht="15" hidden="false" customHeight="false" outlineLevel="0" collapsed="false">
      <c r="A18" s="49" t="n">
        <v>46058</v>
      </c>
      <c r="B18" s="20" t="s">
        <v>41</v>
      </c>
      <c r="C18" s="50" t="str">
        <f aca="false">IFERROR(VLOOKUP(B18,ARTICLES!$A$3:$G$500,2,0),"—")</f>
        <v>Toner imprimante G030 (noir)</v>
      </c>
      <c r="D18" s="51" t="s">
        <v>128</v>
      </c>
      <c r="E18" s="52" t="n">
        <v>2</v>
      </c>
      <c r="F18" s="52" t="n">
        <f aca="false">IFERROR(VLOOKUP(B18,ARTICLES!$A$3:$G$500,7,0),0)</f>
        <v>15</v>
      </c>
      <c r="G18" s="52" t="n">
        <f aca="false">E18*F18</f>
        <v>30</v>
      </c>
      <c r="H18" s="53" t="s">
        <v>140</v>
      </c>
      <c r="I18" s="45" t="n">
        <f aca="false">IFERROR(VLOOKUP(B18,ARTICLES!$A$3:$G$500,7,0),0)</f>
        <v>15</v>
      </c>
      <c r="J18" s="46" t="n">
        <f aca="false">SUMPRODUCT(($B$3:$B18=B18)*($D$3:$D18="IN")*$E$3:$E18)-SUMPRODUCT(($B$3:$B18=B18)*($D$3:$D18="OUT")*$E$3:$E18)</f>
        <v>3</v>
      </c>
      <c r="K18" s="46" t="n">
        <f aca="false">SUMPRODUCT(($B$3:$B18=B18)*($D$3:$D18="IN")*$E$3:$E18*$F$3:$F18)</f>
        <v>75</v>
      </c>
      <c r="L18" s="47" t="n">
        <f aca="false">IFERROR(K18/MAX(1,SUMPRODUCT(($B$3:$B18=B18)*($D$3:$D18="IN")*$E$3:$E18)),IFERROR(VLOOKUP(B18,ARTICLES!$A$3:$G$500,7,0),0))</f>
        <v>15</v>
      </c>
      <c r="M18" s="54" t="s">
        <v>141</v>
      </c>
    </row>
    <row r="19" customFormat="false" ht="15" hidden="false" customHeight="false" outlineLevel="0" collapsed="false">
      <c r="A19" s="49" t="n">
        <v>46063</v>
      </c>
      <c r="B19" s="20" t="s">
        <v>34</v>
      </c>
      <c r="C19" s="50" t="str">
        <f aca="false">IFERROR(VLOOKUP(B19,ARTICLES!$A$3:$G$500,2,0),"—")</f>
        <v>Rame papier A4 80g/m²</v>
      </c>
      <c r="D19" s="51" t="s">
        <v>128</v>
      </c>
      <c r="E19" s="52" t="n">
        <v>35</v>
      </c>
      <c r="F19" s="52" t="n">
        <f aca="false">IFERROR(VLOOKUP(B19,ARTICLES!$A$3:$G$500,7,0),0)</f>
        <v>1500</v>
      </c>
      <c r="G19" s="52" t="n">
        <f aca="false">E19*F19</f>
        <v>52500</v>
      </c>
      <c r="H19" s="53" t="s">
        <v>142</v>
      </c>
      <c r="I19" s="45" t="n">
        <f aca="false">IFERROR(VLOOKUP(B19,ARTICLES!$A$3:$G$500,7,0),0)</f>
        <v>1500</v>
      </c>
      <c r="J19" s="46" t="n">
        <f aca="false">SUMPRODUCT(($B$3:$B19=B19)*($D$3:$D19="IN")*$E$3:$E19)-SUMPRODUCT(($B$3:$B19=B19)*($D$3:$D19="OUT")*$E$3:$E19)</f>
        <v>200</v>
      </c>
      <c r="K19" s="46" t="n">
        <f aca="false">SUMPRODUCT(($B$3:$B19=B19)*($D$3:$D19="IN")*$E$3:$E19*$F$3:$F19)</f>
        <v>607500</v>
      </c>
      <c r="L19" s="47" t="n">
        <f aca="false">IFERROR(K19/MAX(1,SUMPRODUCT(($B$3:$B19=B19)*($D$3:$D19="IN")*$E$3:$E19)),IFERROR(VLOOKUP(B19,ARTICLES!$A$3:$G$500,7,0),0))</f>
        <v>1500</v>
      </c>
      <c r="M19" s="54" t="s">
        <v>143</v>
      </c>
    </row>
    <row r="20" customFormat="false" ht="15" hidden="false" customHeight="false" outlineLevel="0" collapsed="false">
      <c r="A20" s="49" t="n">
        <v>46068</v>
      </c>
      <c r="B20" s="20" t="s">
        <v>47</v>
      </c>
      <c r="C20" s="50" t="str">
        <f aca="false">IFERROR(VLOOKUP(B20,ARTICLES!$A$3:$G$500,2,0),"—")</f>
        <v>Rame papier A3 80g/m²</v>
      </c>
      <c r="D20" s="51" t="s">
        <v>128</v>
      </c>
      <c r="E20" s="52" t="n">
        <v>60</v>
      </c>
      <c r="F20" s="52" t="n">
        <f aca="false">IFERROR(VLOOKUP(B20,ARTICLES!$A$3:$G$500,7,0),0)</f>
        <v>150</v>
      </c>
      <c r="G20" s="52" t="n">
        <f aca="false">E20*F20</f>
        <v>9000</v>
      </c>
      <c r="H20" s="53" t="s">
        <v>144</v>
      </c>
      <c r="I20" s="45" t="n">
        <f aca="false">IFERROR(VLOOKUP(B20,ARTICLES!$A$3:$G$500,7,0),0)</f>
        <v>150</v>
      </c>
      <c r="J20" s="46" t="n">
        <f aca="false">SUMPRODUCT(($B$3:$B20=B20)*($D$3:$D20="IN")*$E$3:$E20)-SUMPRODUCT(($B$3:$B20=B20)*($D$3:$D20="OUT")*$E$3:$E20)</f>
        <v>40</v>
      </c>
      <c r="K20" s="46" t="n">
        <f aca="false">SUMPRODUCT(($B$3:$B20=B20)*($D$3:$D20="IN")*$E$3:$E20*$F$3:$F20)</f>
        <v>15000</v>
      </c>
      <c r="L20" s="47" t="n">
        <f aca="false">IFERROR(K20/MAX(1,SUMPRODUCT(($B$3:$B20=B20)*($D$3:$D20="IN")*$E$3:$E20)),IFERROR(VLOOKUP(B20,ARTICLES!$A$3:$G$500,7,0),0))</f>
        <v>150</v>
      </c>
      <c r="M20" s="54" t="s">
        <v>145</v>
      </c>
    </row>
    <row r="21" customFormat="false" ht="15" hidden="false" customHeight="false" outlineLevel="0" collapsed="false">
      <c r="A21" s="49" t="n">
        <v>46068</v>
      </c>
      <c r="B21" s="20" t="s">
        <v>60</v>
      </c>
      <c r="C21" s="50" t="str">
        <f aca="false">IFERROR(VLOOKUP(B21,ARTICLES!$A$3:$G$500,2,0),"—")</f>
        <v>Stylos bille boîte/50</v>
      </c>
      <c r="D21" s="51" t="s">
        <v>128</v>
      </c>
      <c r="E21" s="52" t="n">
        <v>20</v>
      </c>
      <c r="F21" s="52" t="n">
        <f aca="false">IFERROR(VLOOKUP(B21,ARTICLES!$A$3:$G$500,7,0),0)</f>
        <v>30</v>
      </c>
      <c r="G21" s="52" t="n">
        <f aca="false">E21*F21</f>
        <v>600</v>
      </c>
      <c r="H21" s="53" t="s">
        <v>146</v>
      </c>
      <c r="I21" s="45" t="n">
        <f aca="false">IFERROR(VLOOKUP(B21,ARTICLES!$A$3:$G$500,7,0),0)</f>
        <v>30</v>
      </c>
      <c r="J21" s="46" t="n">
        <f aca="false">SUMPRODUCT(($B$3:$B21=B21)*($D$3:$D21="IN")*$E$3:$E21)-SUMPRODUCT(($B$3:$B21=B21)*($D$3:$D21="OUT")*$E$3:$E21)</f>
        <v>30</v>
      </c>
      <c r="K21" s="46" t="n">
        <f aca="false">SUMPRODUCT(($B$3:$B21=B21)*($D$3:$D21="IN")*$E$3:$E21*$F$3:$F21)</f>
        <v>1500</v>
      </c>
      <c r="L21" s="47" t="n">
        <f aca="false">IFERROR(K21/MAX(1,SUMPRODUCT(($B$3:$B21=B21)*($D$3:$D21="IN")*$E$3:$E21)),IFERROR(VLOOKUP(B21,ARTICLES!$A$3:$G$500,7,0),0))</f>
        <v>30</v>
      </c>
      <c r="M21" s="54" t="s">
        <v>147</v>
      </c>
    </row>
    <row r="22" customFormat="false" ht="15" hidden="false" customHeight="false" outlineLevel="0" collapsed="false">
      <c r="A22" s="49" t="n">
        <v>46073</v>
      </c>
      <c r="B22" s="20" t="s">
        <v>41</v>
      </c>
      <c r="C22" s="50" t="str">
        <f aca="false">IFERROR(VLOOKUP(B22,ARTICLES!$A$3:$G$500,2,0),"—")</f>
        <v>Toner imprimante G030 (noir)</v>
      </c>
      <c r="D22" s="51" t="s">
        <v>128</v>
      </c>
      <c r="E22" s="52" t="n">
        <v>3</v>
      </c>
      <c r="F22" s="52" t="n">
        <f aca="false">IFERROR(VLOOKUP(B22,ARTICLES!$A$3:$G$500,7,0),0)</f>
        <v>15</v>
      </c>
      <c r="G22" s="52" t="n">
        <f aca="false">E22*F22</f>
        <v>45</v>
      </c>
      <c r="H22" s="53" t="s">
        <v>148</v>
      </c>
      <c r="I22" s="45" t="n">
        <f aca="false">IFERROR(VLOOKUP(B22,ARTICLES!$A$3:$G$500,7,0),0)</f>
        <v>15</v>
      </c>
      <c r="J22" s="46" t="n">
        <f aca="false">SUMPRODUCT(($B$3:$B22=B22)*($D$3:$D22="IN")*$E$3:$E22)-SUMPRODUCT(($B$3:$B22=B22)*($D$3:$D22="OUT")*$E$3:$E22)</f>
        <v>0</v>
      </c>
      <c r="K22" s="46" t="n">
        <f aca="false">SUMPRODUCT(($B$3:$B22=B22)*($D$3:$D22="IN")*$E$3:$E22*$F$3:$F22)</f>
        <v>75</v>
      </c>
      <c r="L22" s="47" t="n">
        <f aca="false">IFERROR(K22/MAX(1,SUMPRODUCT(($B$3:$B22=B22)*($D$3:$D22="IN")*$E$3:$E22)),IFERROR(VLOOKUP(B22,ARTICLES!$A$3:$G$500,7,0),0))</f>
        <v>15</v>
      </c>
      <c r="M22" s="55" t="s">
        <v>149</v>
      </c>
    </row>
    <row r="23" customFormat="false" ht="15" hidden="false" customHeight="false" outlineLevel="0" collapsed="false">
      <c r="A23" s="49" t="n">
        <v>46073</v>
      </c>
      <c r="B23" s="20" t="s">
        <v>51</v>
      </c>
      <c r="C23" s="50" t="str">
        <f aca="false">IFERROR(VLOOKUP(B23,ARTICLES!$A$3:$G$500,2,0),"—")</f>
        <v>Boîte archives carton</v>
      </c>
      <c r="D23" s="51" t="s">
        <v>128</v>
      </c>
      <c r="E23" s="52" t="n">
        <v>50</v>
      </c>
      <c r="F23" s="52" t="n">
        <f aca="false">IFERROR(VLOOKUP(B23,ARTICLES!$A$3:$G$500,7,0),0)</f>
        <v>200</v>
      </c>
      <c r="G23" s="52" t="n">
        <f aca="false">E23*F23</f>
        <v>10000</v>
      </c>
      <c r="H23" s="53" t="s">
        <v>150</v>
      </c>
      <c r="I23" s="45" t="n">
        <f aca="false">IFERROR(VLOOKUP(B23,ARTICLES!$A$3:$G$500,7,0),0)</f>
        <v>200</v>
      </c>
      <c r="J23" s="46" t="n">
        <f aca="false">SUMPRODUCT(($B$3:$B23=B23)*($D$3:$D23="IN")*$E$3:$E23)-SUMPRODUCT(($B$3:$B23=B23)*($D$3:$D23="OUT")*$E$3:$E23)</f>
        <v>190</v>
      </c>
      <c r="K23" s="46" t="n">
        <f aca="false">SUMPRODUCT(($B$3:$B23=B23)*($D$3:$D23="IN")*$E$3:$E23*$F$3:$F23)</f>
        <v>48000</v>
      </c>
      <c r="L23" s="47" t="n">
        <f aca="false">IFERROR(K23/MAX(1,SUMPRODUCT(($B$3:$B23=B23)*($D$3:$D23="IN")*$E$3:$E23)),IFERROR(VLOOKUP(B23,ARTICLES!$A$3:$G$500,7,0),0))</f>
        <v>200</v>
      </c>
      <c r="M23" s="54" t="s">
        <v>151</v>
      </c>
    </row>
    <row r="24" customFormat="false" ht="15" hidden="false" customHeight="false" outlineLevel="0" collapsed="false">
      <c r="A24" s="49" t="n">
        <v>46073</v>
      </c>
      <c r="B24" s="20" t="s">
        <v>75</v>
      </c>
      <c r="C24" s="50" t="str">
        <f aca="false">IFERROR(VLOOKUP(B24,ARTICLES!$A$3:$G$500,2,0),"—")</f>
        <v>Chemise cartonnée</v>
      </c>
      <c r="D24" s="51" t="s">
        <v>128</v>
      </c>
      <c r="E24" s="52" t="n">
        <v>10</v>
      </c>
      <c r="F24" s="52" t="n">
        <f aca="false">IFERROR(VLOOKUP(B24,ARTICLES!$A$3:$G$500,7,0),0)</f>
        <v>50</v>
      </c>
      <c r="G24" s="52" t="n">
        <f aca="false">E24*F24</f>
        <v>500</v>
      </c>
      <c r="H24" s="53" t="s">
        <v>152</v>
      </c>
      <c r="I24" s="45" t="n">
        <f aca="false">IFERROR(VLOOKUP(B24,ARTICLES!$A$3:$G$500,7,0),0)</f>
        <v>50</v>
      </c>
      <c r="J24" s="46" t="n">
        <f aca="false">SUMPRODUCT(($B$3:$B24=B24)*($D$3:$D24="IN")*$E$3:$E24)-SUMPRODUCT(($B$3:$B24=B24)*($D$3:$D24="OUT")*$E$3:$E24)</f>
        <v>14</v>
      </c>
      <c r="K24" s="46" t="n">
        <f aca="false">SUMPRODUCT(($B$3:$B24=B24)*($D$3:$D24="IN")*$E$3:$E24*$F$3:$F24)</f>
        <v>1200</v>
      </c>
      <c r="L24" s="47" t="n">
        <f aca="false">IFERROR(K24/MAX(1,SUMPRODUCT(($B$3:$B24=B24)*($D$3:$D24="IN")*$E$3:$E24)),IFERROR(VLOOKUP(B24,ARTICLES!$A$3:$G$500,7,0),0))</f>
        <v>50</v>
      </c>
      <c r="M24" s="54" t="s">
        <v>147</v>
      </c>
    </row>
    <row r="25" customFormat="false" ht="15" hidden="false" customHeight="false" outlineLevel="0" collapsed="false">
      <c r="A25" s="49" t="n">
        <v>46081</v>
      </c>
      <c r="B25" s="20" t="s">
        <v>34</v>
      </c>
      <c r="C25" s="50" t="str">
        <f aca="false">IFERROR(VLOOKUP(B25,ARTICLES!$A$3:$G$500,2,0),"—")</f>
        <v>Rame papier A4 80g/m²</v>
      </c>
      <c r="D25" s="51" t="s">
        <v>128</v>
      </c>
      <c r="E25" s="52" t="n">
        <v>20</v>
      </c>
      <c r="F25" s="52" t="n">
        <f aca="false">IFERROR(VLOOKUP(B25,ARTICLES!$A$3:$G$500,7,0),0)</f>
        <v>1500</v>
      </c>
      <c r="G25" s="52" t="n">
        <f aca="false">E25*F25</f>
        <v>30000</v>
      </c>
      <c r="H25" s="53" t="s">
        <v>153</v>
      </c>
      <c r="I25" s="45" t="n">
        <f aca="false">IFERROR(VLOOKUP(B25,ARTICLES!$A$3:$G$500,7,0),0)</f>
        <v>1500</v>
      </c>
      <c r="J25" s="46" t="n">
        <f aca="false">SUMPRODUCT(($B$3:$B25=B25)*($D$3:$D25="IN")*$E$3:$E25)-SUMPRODUCT(($B$3:$B25=B25)*($D$3:$D25="OUT")*$E$3:$E25)</f>
        <v>180</v>
      </c>
      <c r="K25" s="46" t="n">
        <f aca="false">SUMPRODUCT(($B$3:$B25=B25)*($D$3:$D25="IN")*$E$3:$E25*$F$3:$F25)</f>
        <v>607500</v>
      </c>
      <c r="L25" s="47" t="n">
        <f aca="false">IFERROR(K25/MAX(1,SUMPRODUCT(($B$3:$B25=B25)*($D$3:$D25="IN")*$E$3:$E25)),IFERROR(VLOOKUP(B25,ARTICLES!$A$3:$G$500,7,0),0))</f>
        <v>1500</v>
      </c>
      <c r="M25" s="54" t="s">
        <v>154</v>
      </c>
    </row>
    <row r="26" customFormat="false" ht="15" hidden="false" customHeight="false" outlineLevel="0" collapsed="false">
      <c r="A26" s="49" t="n">
        <v>46082</v>
      </c>
      <c r="B26" s="20" t="s">
        <v>57</v>
      </c>
      <c r="C26" s="50" t="str">
        <f aca="false">IFERROR(VLOOKUP(B26,ARTICLES!$A$3:$G$500,2,0),"—")</f>
        <v>Agrafeuse de bureau</v>
      </c>
      <c r="D26" s="51" t="s">
        <v>128</v>
      </c>
      <c r="E26" s="52" t="n">
        <v>2</v>
      </c>
      <c r="F26" s="52" t="n">
        <f aca="false">IFERROR(VLOOKUP(B26,ARTICLES!$A$3:$G$500,7,0),0)</f>
        <v>10</v>
      </c>
      <c r="G26" s="52" t="n">
        <f aca="false">E26*F26</f>
        <v>20</v>
      </c>
      <c r="H26" s="53" t="s">
        <v>155</v>
      </c>
      <c r="I26" s="45" t="n">
        <f aca="false">IFERROR(VLOOKUP(B26,ARTICLES!$A$3:$G$500,7,0),0)</f>
        <v>10</v>
      </c>
      <c r="J26" s="46" t="n">
        <f aca="false">SUMPRODUCT(($B$3:$B26=B26)*($D$3:$D26="IN")*$E$3:$E26)-SUMPRODUCT(($B$3:$B26=B26)*($D$3:$D26="OUT")*$E$3:$E26)</f>
        <v>2</v>
      </c>
      <c r="K26" s="46" t="n">
        <f aca="false">SUMPRODUCT(($B$3:$B26=B26)*($D$3:$D26="IN")*$E$3:$E26*$F$3:$F26)</f>
        <v>40</v>
      </c>
      <c r="L26" s="47" t="n">
        <f aca="false">IFERROR(K26/MAX(1,SUMPRODUCT(($B$3:$B26=B26)*($D$3:$D26="IN")*$E$3:$E26)),IFERROR(VLOOKUP(B26,ARTICLES!$A$3:$G$500,7,0),0))</f>
        <v>10</v>
      </c>
      <c r="M26" s="54" t="s">
        <v>156</v>
      </c>
    </row>
    <row r="27" customFormat="false" ht="15" hidden="false" customHeight="false" outlineLevel="0" collapsed="false">
      <c r="A27" s="49" t="n">
        <v>46086</v>
      </c>
      <c r="B27" s="20" t="s">
        <v>47</v>
      </c>
      <c r="C27" s="50" t="str">
        <f aca="false">IFERROR(VLOOKUP(B27,ARTICLES!$A$3:$G$500,2,0),"—")</f>
        <v>Rame papier A3 80g/m²</v>
      </c>
      <c r="D27" s="51" t="s">
        <v>128</v>
      </c>
      <c r="E27" s="52" t="n">
        <v>38</v>
      </c>
      <c r="F27" s="52" t="n">
        <f aca="false">IFERROR(VLOOKUP(B27,ARTICLES!$A$3:$G$500,7,0),0)</f>
        <v>150</v>
      </c>
      <c r="G27" s="52" t="n">
        <f aca="false">E27*F27</f>
        <v>5700</v>
      </c>
      <c r="H27" s="53" t="s">
        <v>157</v>
      </c>
      <c r="I27" s="45" t="n">
        <f aca="false">IFERROR(VLOOKUP(B27,ARTICLES!$A$3:$G$500,7,0),0)</f>
        <v>150</v>
      </c>
      <c r="J27" s="46" t="n">
        <f aca="false">SUMPRODUCT(($B$3:$B27=B27)*($D$3:$D27="IN")*$E$3:$E27)-SUMPRODUCT(($B$3:$B27=B27)*($D$3:$D27="OUT")*$E$3:$E27)</f>
        <v>2</v>
      </c>
      <c r="K27" s="46" t="n">
        <f aca="false">SUMPRODUCT(($B$3:$B27=B27)*($D$3:$D27="IN")*$E$3:$E27*$F$3:$F27)</f>
        <v>15000</v>
      </c>
      <c r="L27" s="47" t="n">
        <f aca="false">IFERROR(K27/MAX(1,SUMPRODUCT(($B$3:$B27=B27)*($D$3:$D27="IN")*$E$3:$E27)),IFERROR(VLOOKUP(B27,ARTICLES!$A$3:$G$500,7,0),0))</f>
        <v>150</v>
      </c>
      <c r="M27" s="55" t="s">
        <v>158</v>
      </c>
    </row>
    <row r="28" customFormat="false" ht="15" hidden="false" customHeight="false" outlineLevel="0" collapsed="false">
      <c r="A28" s="49" t="n">
        <v>46086</v>
      </c>
      <c r="B28" s="20" t="s">
        <v>34</v>
      </c>
      <c r="C28" s="50" t="str">
        <f aca="false">IFERROR(VLOOKUP(B28,ARTICLES!$A$3:$G$500,2,0),"—")</f>
        <v>Rame papier A4 80g/m²</v>
      </c>
      <c r="D28" s="51" t="s">
        <v>128</v>
      </c>
      <c r="E28" s="52" t="n">
        <v>70</v>
      </c>
      <c r="F28" s="52" t="n">
        <f aca="false">IFERROR(VLOOKUP(B28,ARTICLES!$A$3:$G$500,7,0),0)</f>
        <v>1500</v>
      </c>
      <c r="G28" s="52" t="n">
        <f aca="false">E28*F28</f>
        <v>105000</v>
      </c>
      <c r="H28" s="53" t="s">
        <v>159</v>
      </c>
      <c r="I28" s="45" t="n">
        <f aca="false">IFERROR(VLOOKUP(B28,ARTICLES!$A$3:$G$500,7,0),0)</f>
        <v>1500</v>
      </c>
      <c r="J28" s="46" t="n">
        <f aca="false">SUMPRODUCT(($B$3:$B28=B28)*($D$3:$D28="IN")*$E$3:$E28)-SUMPRODUCT(($B$3:$B28=B28)*($D$3:$D28="OUT")*$E$3:$E28)</f>
        <v>110</v>
      </c>
      <c r="K28" s="46" t="n">
        <f aca="false">SUMPRODUCT(($B$3:$B28=B28)*($D$3:$D28="IN")*$E$3:$E28*$F$3:$F28)</f>
        <v>607500</v>
      </c>
      <c r="L28" s="47" t="n">
        <f aca="false">IFERROR(K28/MAX(1,SUMPRODUCT(($B$3:$B28=B28)*($D$3:$D28="IN")*$E$3:$E28)),IFERROR(VLOOKUP(B28,ARTICLES!$A$3:$G$500,7,0),0))</f>
        <v>1500</v>
      </c>
      <c r="M28" s="54" t="s">
        <v>160</v>
      </c>
    </row>
    <row r="29" customFormat="false" ht="15" hidden="false" customHeight="false" outlineLevel="0" collapsed="false">
      <c r="A29" s="49" t="n">
        <v>46089</v>
      </c>
      <c r="B29" s="20" t="s">
        <v>72</v>
      </c>
      <c r="C29" s="50" t="str">
        <f aca="false">IFERROR(VLOOKUP(B29,ARTICLES!$A$3:$G$500,2,0),"—")</f>
        <v>Sous-chemise carton</v>
      </c>
      <c r="D29" s="51" t="s">
        <v>128</v>
      </c>
      <c r="E29" s="52" t="n">
        <v>25</v>
      </c>
      <c r="F29" s="52" t="n">
        <f aca="false">IFERROR(VLOOKUP(B29,ARTICLES!$A$3:$G$500,7,0),0)</f>
        <v>100</v>
      </c>
      <c r="G29" s="52" t="n">
        <f aca="false">E29*F29</f>
        <v>2500</v>
      </c>
      <c r="H29" s="53" t="s">
        <v>161</v>
      </c>
      <c r="I29" s="45" t="n">
        <f aca="false">IFERROR(VLOOKUP(B29,ARTICLES!$A$3:$G$500,7,0),0)</f>
        <v>100</v>
      </c>
      <c r="J29" s="46" t="n">
        <f aca="false">SUMPRODUCT(($B$3:$B29=B29)*($D$3:$D29="IN")*$E$3:$E29)-SUMPRODUCT(($B$3:$B29=B29)*($D$3:$D29="OUT")*$E$3:$E29)</f>
        <v>23</v>
      </c>
      <c r="K29" s="46" t="n">
        <f aca="false">SUMPRODUCT(($B$3:$B29=B29)*($D$3:$D29="IN")*$E$3:$E29*$F$3:$F29)</f>
        <v>4800</v>
      </c>
      <c r="L29" s="47" t="n">
        <f aca="false">IFERROR(K29/MAX(1,SUMPRODUCT(($B$3:$B29=B29)*($D$3:$D29="IN")*$E$3:$E29)),IFERROR(VLOOKUP(B29,ARTICLES!$A$3:$G$500,7,0),0))</f>
        <v>100</v>
      </c>
      <c r="M29" s="54" t="s">
        <v>162</v>
      </c>
    </row>
    <row r="30" customFormat="false" ht="15" hidden="false" customHeight="false" outlineLevel="0" collapsed="false">
      <c r="A30" s="49" t="n">
        <v>46090</v>
      </c>
      <c r="B30" s="20" t="s">
        <v>34</v>
      </c>
      <c r="C30" s="50" t="str">
        <f aca="false">IFERROR(VLOOKUP(B30,ARTICLES!$A$3:$G$500,2,0),"—")</f>
        <v>Rame papier A4 80g/m²</v>
      </c>
      <c r="D30" s="51" t="s">
        <v>128</v>
      </c>
      <c r="E30" s="52" t="n">
        <v>10</v>
      </c>
      <c r="F30" s="52" t="n">
        <f aca="false">IFERROR(VLOOKUP(B30,ARTICLES!$A$3:$G$500,7,0),0)</f>
        <v>1500</v>
      </c>
      <c r="G30" s="52" t="n">
        <f aca="false">E30*F30</f>
        <v>15000</v>
      </c>
      <c r="H30" s="53" t="s">
        <v>163</v>
      </c>
      <c r="I30" s="45" t="n">
        <f aca="false">IFERROR(VLOOKUP(B30,ARTICLES!$A$3:$G$500,7,0),0)</f>
        <v>1500</v>
      </c>
      <c r="J30" s="46" t="n">
        <f aca="false">SUMPRODUCT(($B$3:$B30=B30)*($D$3:$D30="IN")*$E$3:$E30)-SUMPRODUCT(($B$3:$B30=B30)*($D$3:$D30="OUT")*$E$3:$E30)</f>
        <v>100</v>
      </c>
      <c r="K30" s="46" t="n">
        <f aca="false">SUMPRODUCT(($B$3:$B30=B30)*($D$3:$D30="IN")*$E$3:$E30*$F$3:$F30)</f>
        <v>607500</v>
      </c>
      <c r="L30" s="47" t="n">
        <f aca="false">IFERROR(K30/MAX(1,SUMPRODUCT(($B$3:$B30=B30)*($D$3:$D30="IN")*$E$3:$E30)),IFERROR(VLOOKUP(B30,ARTICLES!$A$3:$G$500,7,0),0))</f>
        <v>1500</v>
      </c>
      <c r="M30" s="54" t="s">
        <v>164</v>
      </c>
    </row>
    <row r="31" customFormat="false" ht="15" hidden="false" customHeight="false" outlineLevel="0" collapsed="false">
      <c r="A31" s="49" t="n">
        <v>46090</v>
      </c>
      <c r="B31" s="20" t="s">
        <v>72</v>
      </c>
      <c r="C31" s="50" t="str">
        <f aca="false">IFERROR(VLOOKUP(B31,ARTICLES!$A$3:$G$500,2,0),"—")</f>
        <v>Sous-chemise carton</v>
      </c>
      <c r="D31" s="51" t="s">
        <v>128</v>
      </c>
      <c r="E31" s="52" t="n">
        <v>22</v>
      </c>
      <c r="F31" s="52" t="n">
        <f aca="false">IFERROR(VLOOKUP(B31,ARTICLES!$A$3:$G$500,7,0),0)</f>
        <v>100</v>
      </c>
      <c r="G31" s="52" t="n">
        <f aca="false">E31*F31</f>
        <v>2200</v>
      </c>
      <c r="H31" s="53" t="s">
        <v>165</v>
      </c>
      <c r="I31" s="45" t="n">
        <f aca="false">IFERROR(VLOOKUP(B31,ARTICLES!$A$3:$G$500,7,0),0)</f>
        <v>100</v>
      </c>
      <c r="J31" s="46" t="n">
        <f aca="false">SUMPRODUCT(($B$3:$B31=B31)*($D$3:$D31="IN")*$E$3:$E31)-SUMPRODUCT(($B$3:$B31=B31)*($D$3:$D31="OUT")*$E$3:$E31)</f>
        <v>1</v>
      </c>
      <c r="K31" s="46" t="n">
        <f aca="false">SUMPRODUCT(($B$3:$B31=B31)*($D$3:$D31="IN")*$E$3:$E31*$F$3:$F31)</f>
        <v>4800</v>
      </c>
      <c r="L31" s="47" t="n">
        <f aca="false">IFERROR(K31/MAX(1,SUMPRODUCT(($B$3:$B31=B31)*($D$3:$D31="IN")*$E$3:$E31)),IFERROR(VLOOKUP(B31,ARTICLES!$A$3:$G$500,7,0),0))</f>
        <v>100</v>
      </c>
      <c r="M31" s="55" t="s">
        <v>166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4" min="14" style="0" width="9"/>
  </cols>
  <sheetData>
    <row r="1" customFormat="false" ht="27.75" hidden="false" customHeight="true" outlineLevel="0" collapsed="false">
      <c r="A1" s="33" t="s">
        <v>167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15" hidden="false" customHeight="false" outlineLevel="0" collapsed="false">
      <c r="A2" s="56" t="s">
        <v>168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customFormat="false" ht="27.75" hidden="false" customHeight="true" outlineLevel="0" collapsed="false">
      <c r="A3" s="34" t="s">
        <v>88</v>
      </c>
      <c r="B3" s="34" t="s">
        <v>169</v>
      </c>
      <c r="C3" s="34" t="s">
        <v>170</v>
      </c>
      <c r="D3" s="34" t="s">
        <v>171</v>
      </c>
      <c r="E3" s="34" t="s">
        <v>172</v>
      </c>
      <c r="F3" s="34" t="s">
        <v>173</v>
      </c>
      <c r="G3" s="34" t="s">
        <v>29</v>
      </c>
      <c r="H3" s="34" t="s">
        <v>174</v>
      </c>
      <c r="I3" s="34" t="s">
        <v>175</v>
      </c>
      <c r="J3" s="34" t="s">
        <v>176</v>
      </c>
      <c r="K3" s="34" t="s">
        <v>177</v>
      </c>
      <c r="L3" s="34"/>
      <c r="M3" s="57" t="s">
        <v>178</v>
      </c>
      <c r="N3" s="57" t="s">
        <v>179</v>
      </c>
    </row>
    <row r="4" customFormat="false" ht="15" hidden="false" customHeight="false" outlineLevel="0" collapsed="false">
      <c r="A4" s="58" t="s">
        <v>34</v>
      </c>
      <c r="B4" s="59" t="str">
        <f aca="false">IFERROR(VLOOKUP(A4,ARTICLES!$A$3:$G$500,2,0),"")</f>
        <v>Rame papier A4 80g/m²</v>
      </c>
      <c r="C4" s="60" t="str">
        <f aca="false">IFERROR(VLOOKUP(A4,ARTICLES!$A$3:$D$500,4,0),"")</f>
        <v>Rame</v>
      </c>
      <c r="D4" s="43" t="n">
        <f aca="false">SUMIFS(MOUVEMENTS!$E$3:$E$500,MOUVEMENTS!$B$3:$B$500,A4,MOUVEMENTS!$D$3:$D$500,"IN")</f>
        <v>405</v>
      </c>
      <c r="E4" s="52" t="n">
        <f aca="false">SUMIFS(MOUVEMENTS!$E$3:$E$500,MOUVEMENTS!$B$3:$B$500,A4,MOUVEMENTS!$D$3:$D$500,"OUT")</f>
        <v>305</v>
      </c>
      <c r="F4" s="61" t="n">
        <f aca="false">D4-E4</f>
        <v>100</v>
      </c>
      <c r="G4" s="62" t="str">
        <f aca="false">IFERROR(VLOOKUP(A4,ARTICLES!$A$3:$E$500,5,0),0)</f>
        <v>A</v>
      </c>
      <c r="H4" s="47" t="n">
        <f aca="false">IFERROR(LOOKUP(2,1/(MOUVEMENTS!$B$3:$B$500=A4),MOUVEMENTS!$L$3:$L$500),IFERROR(VLOOKUP(A4,ARTICLES!$A$3:$G$500,7,0),0))</f>
        <v>1500</v>
      </c>
      <c r="I4" s="63" t="n">
        <f aca="false">F4*H4</f>
        <v>150000</v>
      </c>
      <c r="J4" s="64" t="str">
        <f aca="false">IFERROR(G4+(SUMIFS(MOUVEMENTS!$E$3:$E$500,MOUVEMENTS!$B$3:$B$500,A4,MOUVEMENTS!$D$3:$D$500,"OUT")/MAX(1,$N$4))*$N$6,G4)</f>
        <v>A</v>
      </c>
      <c r="K4" s="58" t="str">
        <f aca="false">IF(F4=0,"!! RUPTURE",IF(F4&lt;=J4,"&gt;&gt; COMMANDER",IF(F4&lt;=J4*1.25,"~ ALERTE","OK")))</f>
        <v>&gt;&gt; COMMANDER</v>
      </c>
      <c r="L4" s="65"/>
      <c r="M4" s="66" t="s">
        <v>180</v>
      </c>
      <c r="N4" s="67" t="n">
        <v>38</v>
      </c>
    </row>
    <row r="5" customFormat="false" ht="15" hidden="false" customHeight="false" outlineLevel="0" collapsed="false">
      <c r="A5" s="58" t="s">
        <v>41</v>
      </c>
      <c r="B5" s="59" t="str">
        <f aca="false">IFERROR(VLOOKUP(A5,ARTICLES!$A$3:$G$500,2,0),"")</f>
        <v>Toner imprimante G030 (noir)</v>
      </c>
      <c r="C5" s="60" t="str">
        <f aca="false">IFERROR(VLOOKUP(A5,ARTICLES!$A$3:$D$500,4,0),"")</f>
        <v>Unité</v>
      </c>
      <c r="D5" s="43" t="n">
        <f aca="false">SUMIFS(MOUVEMENTS!$E$3:$E$500,MOUVEMENTS!$B$3:$B$500,A5,MOUVEMENTS!$D$3:$D$500,"IN")</f>
        <v>5</v>
      </c>
      <c r="E5" s="52" t="n">
        <f aca="false">SUMIFS(MOUVEMENTS!$E$3:$E$500,MOUVEMENTS!$B$3:$B$500,A5,MOUVEMENTS!$D$3:$D$500,"OUT")</f>
        <v>5</v>
      </c>
      <c r="F5" s="61" t="n">
        <f aca="false">D5-E5</f>
        <v>0</v>
      </c>
      <c r="G5" s="62" t="str">
        <f aca="false">IFERROR(VLOOKUP(A5,ARTICLES!$A$3:$E$500,5,0),0)</f>
        <v>B</v>
      </c>
      <c r="H5" s="47" t="n">
        <f aca="false">IFERROR(LOOKUP(2,1/(MOUVEMENTS!$B$3:$B$500=A5),MOUVEMENTS!$L$3:$L$500),IFERROR(VLOOKUP(A5,ARTICLES!$A$3:$G$500,7,0),0))</f>
        <v>15</v>
      </c>
      <c r="I5" s="63" t="n">
        <f aca="false">F5*H5</f>
        <v>0</v>
      </c>
      <c r="J5" s="64" t="str">
        <f aca="false">IFERROR(G5+(SUMIFS(MOUVEMENTS!$E$3:$E$500,MOUVEMENTS!$B$3:$B$500,A5,MOUVEMENTS!$D$3:$D$500,"OUT")/MAX(1,$N$4))*$N$6,G5)</f>
        <v>B</v>
      </c>
      <c r="K5" s="58" t="str">
        <f aca="false">IF(F5=0,"!! RUPTURE",IF(F5&lt;=J5,"&gt;&gt; COMMANDER",IF(F5&lt;=J5*1.25,"~ ALERTE","OK")))</f>
        <v>!! RUPTURE</v>
      </c>
      <c r="L5" s="65"/>
      <c r="M5" s="66" t="s">
        <v>181</v>
      </c>
      <c r="N5" s="67" t="n">
        <f aca="false">$N$4</f>
        <v>38</v>
      </c>
    </row>
    <row r="6" customFormat="false" ht="15" hidden="false" customHeight="false" outlineLevel="0" collapsed="false">
      <c r="A6" s="58" t="s">
        <v>47</v>
      </c>
      <c r="B6" s="59" t="str">
        <f aca="false">IFERROR(VLOOKUP(A6,ARTICLES!$A$3:$G$500,2,0),"")</f>
        <v>Rame papier A3 80g/m²</v>
      </c>
      <c r="C6" s="60" t="str">
        <f aca="false">IFERROR(VLOOKUP(A6,ARTICLES!$A$3:$D$500,4,0),"")</f>
        <v>Rame</v>
      </c>
      <c r="D6" s="43" t="n">
        <f aca="false">SUMIFS(MOUVEMENTS!$E$3:$E$500,MOUVEMENTS!$B$3:$B$500,A6,MOUVEMENTS!$D$3:$D$500,"IN")</f>
        <v>100</v>
      </c>
      <c r="E6" s="52" t="n">
        <f aca="false">SUMIFS(MOUVEMENTS!$E$3:$E$500,MOUVEMENTS!$B$3:$B$500,A6,MOUVEMENTS!$D$3:$D$500,"OUT")</f>
        <v>98</v>
      </c>
      <c r="F6" s="61" t="n">
        <f aca="false">D6-E6</f>
        <v>2</v>
      </c>
      <c r="G6" s="62" t="str">
        <f aca="false">IFERROR(VLOOKUP(A6,ARTICLES!$A$3:$E$500,5,0),0)</f>
        <v>B</v>
      </c>
      <c r="H6" s="47" t="n">
        <f aca="false">IFERROR(LOOKUP(2,1/(MOUVEMENTS!$B$3:$B$500=A6),MOUVEMENTS!$L$3:$L$500),IFERROR(VLOOKUP(A6,ARTICLES!$A$3:$G$500,7,0),0))</f>
        <v>150</v>
      </c>
      <c r="I6" s="63" t="n">
        <f aca="false">F6*H6</f>
        <v>300</v>
      </c>
      <c r="J6" s="64" t="str">
        <f aca="false">IFERROR(G6+(SUMIFS(MOUVEMENTS!$E$3:$E$500,MOUVEMENTS!$B$3:$B$500,A6,MOUVEMENTS!$D$3:$D$500,"OUT")/MAX(1,$N$4))*$N$6,G6)</f>
        <v>B</v>
      </c>
      <c r="K6" s="58" t="str">
        <f aca="false">IF(F6=0,"!! RUPTURE",IF(F6&lt;=J6,"&gt;&gt; COMMANDER",IF(F6&lt;=J6*1.25,"~ ALERTE","OK")))</f>
        <v>&gt;&gt; COMMANDER</v>
      </c>
      <c r="L6" s="65"/>
      <c r="M6" s="66" t="s">
        <v>182</v>
      </c>
      <c r="N6" s="67" t="n">
        <v>2</v>
      </c>
    </row>
    <row r="7" customFormat="false" ht="15" hidden="false" customHeight="false" outlineLevel="0" collapsed="false">
      <c r="A7" s="58" t="s">
        <v>51</v>
      </c>
      <c r="B7" s="59" t="str">
        <f aca="false">IFERROR(VLOOKUP(A7,ARTICLES!$A$3:$G$500,2,0),"")</f>
        <v>Boîte archives carton</v>
      </c>
      <c r="C7" s="60" t="str">
        <f aca="false">IFERROR(VLOOKUP(A7,ARTICLES!$A$3:$D$500,4,0),"")</f>
        <v>Unité</v>
      </c>
      <c r="D7" s="43" t="n">
        <f aca="false">SUMIFS(MOUVEMENTS!$E$3:$E$500,MOUVEMENTS!$B$3:$B$500,A7,MOUVEMENTS!$D$3:$D$500,"IN")</f>
        <v>240</v>
      </c>
      <c r="E7" s="52" t="n">
        <f aca="false">SUMIFS(MOUVEMENTS!$E$3:$E$500,MOUVEMENTS!$B$3:$B$500,A7,MOUVEMENTS!$D$3:$D$500,"OUT")</f>
        <v>50</v>
      </c>
      <c r="F7" s="61" t="n">
        <f aca="false">D7-E7</f>
        <v>190</v>
      </c>
      <c r="G7" s="62" t="str">
        <f aca="false">IFERROR(VLOOKUP(A7,ARTICLES!$A$3:$E$500,5,0),0)</f>
        <v>C</v>
      </c>
      <c r="H7" s="47" t="n">
        <f aca="false">IFERROR(LOOKUP(2,1/(MOUVEMENTS!$B$3:$B$500=A7),MOUVEMENTS!$L$3:$L$500),IFERROR(VLOOKUP(A7,ARTICLES!$A$3:$G$500,7,0),0))</f>
        <v>200</v>
      </c>
      <c r="I7" s="63" t="n">
        <f aca="false">F7*H7</f>
        <v>38000</v>
      </c>
      <c r="J7" s="64" t="str">
        <f aca="false">IFERROR(G7+(SUMIFS(MOUVEMENTS!$E$3:$E$500,MOUVEMENTS!$B$3:$B$500,A7,MOUVEMENTS!$D$3:$D$500,"OUT")/MAX(1,$N$4))*$N$6,G7)</f>
        <v>C</v>
      </c>
      <c r="K7" s="58" t="str">
        <f aca="false">IF(F7=0,"!! RUPTURE",IF(F7&lt;=J7,"&gt;&gt; COMMANDER",IF(F7&lt;=J7*1.25,"~ ALERTE","OK")))</f>
        <v>&gt;&gt; COMMANDER</v>
      </c>
      <c r="L7" s="65"/>
      <c r="M7" s="65"/>
      <c r="N7" s="65"/>
    </row>
    <row r="8" customFormat="false" ht="15" hidden="false" customHeight="false" outlineLevel="0" collapsed="false">
      <c r="A8" s="58" t="s">
        <v>57</v>
      </c>
      <c r="B8" s="59" t="str">
        <f aca="false">IFERROR(VLOOKUP(A8,ARTICLES!$A$3:$G$500,2,0),"")</f>
        <v>Agrafeuse de bureau</v>
      </c>
      <c r="C8" s="60" t="str">
        <f aca="false">IFERROR(VLOOKUP(A8,ARTICLES!$A$3:$D$500,4,0),"")</f>
        <v>Unité</v>
      </c>
      <c r="D8" s="43" t="n">
        <f aca="false">SUMIFS(MOUVEMENTS!$E$3:$E$500,MOUVEMENTS!$B$3:$B$500,A8,MOUVEMENTS!$D$3:$D$500,"IN")</f>
        <v>4</v>
      </c>
      <c r="E8" s="52" t="n">
        <f aca="false">SUMIFS(MOUVEMENTS!$E$3:$E$500,MOUVEMENTS!$B$3:$B$500,A8,MOUVEMENTS!$D$3:$D$500,"OUT")</f>
        <v>2</v>
      </c>
      <c r="F8" s="61" t="n">
        <f aca="false">D8-E8</f>
        <v>2</v>
      </c>
      <c r="G8" s="62" t="str">
        <f aca="false">IFERROR(VLOOKUP(A8,ARTICLES!$A$3:$E$500,5,0),0)</f>
        <v>C</v>
      </c>
      <c r="H8" s="47" t="n">
        <f aca="false">IFERROR(LOOKUP(2,1/(MOUVEMENTS!$B$3:$B$500=A8),MOUVEMENTS!$L$3:$L$500),IFERROR(VLOOKUP(A8,ARTICLES!$A$3:$G$500,7,0),0))</f>
        <v>10</v>
      </c>
      <c r="I8" s="63" t="n">
        <f aca="false">F8*H8</f>
        <v>20</v>
      </c>
      <c r="J8" s="64" t="str">
        <f aca="false">IFERROR(G8+(SUMIFS(MOUVEMENTS!$E$3:$E$500,MOUVEMENTS!$B$3:$B$500,A8,MOUVEMENTS!$D$3:$D$500,"OUT")/MAX(1,$N$4))*$N$6,G8)</f>
        <v>C</v>
      </c>
      <c r="K8" s="58" t="str">
        <f aca="false">IF(F8=0,"!! RUPTURE",IF(F8&lt;=J8,"&gt;&gt; COMMANDER",IF(F8&lt;=J8*1.25,"~ ALERTE","OK")))</f>
        <v>&gt;&gt; COMMANDER</v>
      </c>
      <c r="L8" s="65"/>
      <c r="M8" s="65"/>
      <c r="N8" s="65"/>
    </row>
    <row r="9" customFormat="false" ht="15" hidden="false" customHeight="false" outlineLevel="0" collapsed="false">
      <c r="A9" s="58" t="s">
        <v>60</v>
      </c>
      <c r="B9" s="59" t="str">
        <f aca="false">IFERROR(VLOOKUP(A9,ARTICLES!$A$3:$G$500,2,0),"")</f>
        <v>Stylos bille boîte/50</v>
      </c>
      <c r="C9" s="60" t="str">
        <f aca="false">IFERROR(VLOOKUP(A9,ARTICLES!$A$3:$D$500,4,0),"")</f>
        <v>Boîte</v>
      </c>
      <c r="D9" s="43" t="n">
        <f aca="false">SUMIFS(MOUVEMENTS!$E$3:$E$500,MOUVEMENTS!$B$3:$B$500,A9,MOUVEMENTS!$D$3:$D$500,"IN")</f>
        <v>50</v>
      </c>
      <c r="E9" s="52" t="n">
        <f aca="false">SUMIFS(MOUVEMENTS!$E$3:$E$500,MOUVEMENTS!$B$3:$B$500,A9,MOUVEMENTS!$D$3:$D$500,"OUT")</f>
        <v>20</v>
      </c>
      <c r="F9" s="61" t="n">
        <f aca="false">D9-E9</f>
        <v>30</v>
      </c>
      <c r="G9" s="62" t="str">
        <f aca="false">IFERROR(VLOOKUP(A9,ARTICLES!$A$3:$E$500,5,0),0)</f>
        <v>C</v>
      </c>
      <c r="H9" s="47" t="n">
        <f aca="false">IFERROR(LOOKUP(2,1/(MOUVEMENTS!$B$3:$B$500=A9),MOUVEMENTS!$L$3:$L$500),IFERROR(VLOOKUP(A9,ARTICLES!$A$3:$G$500,7,0),0))</f>
        <v>30</v>
      </c>
      <c r="I9" s="63" t="n">
        <f aca="false">F9*H9</f>
        <v>900</v>
      </c>
      <c r="J9" s="64" t="str">
        <f aca="false">IFERROR(G9+(SUMIFS(MOUVEMENTS!$E$3:$E$500,MOUVEMENTS!$B$3:$B$500,A9,MOUVEMENTS!$D$3:$D$500,"OUT")/MAX(1,$N$4))*$N$6,G9)</f>
        <v>C</v>
      </c>
      <c r="K9" s="58" t="str">
        <f aca="false">IF(F9=0,"!! RUPTURE",IF(F9&lt;=J9,"&gt;&gt; COMMANDER",IF(F9&lt;=J9*1.25,"~ ALERTE","OK")))</f>
        <v>&gt;&gt; COMMANDER</v>
      </c>
      <c r="L9" s="65"/>
      <c r="M9" s="65"/>
      <c r="N9" s="65"/>
    </row>
    <row r="10" customFormat="false" ht="15" hidden="false" customHeight="false" outlineLevel="0" collapsed="false">
      <c r="A10" s="58" t="s">
        <v>64</v>
      </c>
      <c r="B10" s="59" t="str">
        <f aca="false">IFERROR(VLOOKUP(A10,ARTICLES!$A$3:$G$500,2,0),"")</f>
        <v>Registre grand format 5m</v>
      </c>
      <c r="C10" s="60" t="str">
        <f aca="false">IFERROR(VLOOKUP(A10,ARTICLES!$A$3:$D$500,4,0),"")</f>
        <v>Unité</v>
      </c>
      <c r="D10" s="43" t="n">
        <f aca="false">SUMIFS(MOUVEMENTS!$E$3:$E$500,MOUVEMENTS!$B$3:$B$500,A10,MOUVEMENTS!$D$3:$D$500,"IN")</f>
        <v>3</v>
      </c>
      <c r="E10" s="52" t="n">
        <f aca="false">SUMIFS(MOUVEMENTS!$E$3:$E$500,MOUVEMENTS!$B$3:$B$500,A10,MOUVEMENTS!$D$3:$D$500,"OUT")</f>
        <v>0</v>
      </c>
      <c r="F10" s="61" t="n">
        <f aca="false">D10-E10</f>
        <v>3</v>
      </c>
      <c r="G10" s="62" t="str">
        <f aca="false">IFERROR(VLOOKUP(A10,ARTICLES!$A$3:$E$500,5,0),0)</f>
        <v>C</v>
      </c>
      <c r="H10" s="47" t="n">
        <f aca="false">IFERROR(LOOKUP(2,1/(MOUVEMENTS!$B$3:$B$500=A10),MOUVEMENTS!$L$3:$L$500),IFERROR(VLOOKUP(A10,ARTICLES!$A$3:$G$500,7,0),0))</f>
        <v>10</v>
      </c>
      <c r="I10" s="63" t="n">
        <f aca="false">F10*H10</f>
        <v>30</v>
      </c>
      <c r="J10" s="64" t="str">
        <f aca="false">IFERROR(G10+(SUMIFS(MOUVEMENTS!$E$3:$E$500,MOUVEMENTS!$B$3:$B$500,A10,MOUVEMENTS!$D$3:$D$500,"OUT")/MAX(1,$N$4))*$N$6,G10)</f>
        <v>C</v>
      </c>
      <c r="K10" s="58" t="str">
        <f aca="false">IF(F10=0,"!! RUPTURE",IF(F10&lt;=J10,"&gt;&gt; COMMANDER",IF(F10&lt;=J10*1.25,"~ ALERTE","OK")))</f>
        <v>&gt;&gt; COMMANDER</v>
      </c>
      <c r="L10" s="65"/>
      <c r="M10" s="65"/>
      <c r="N10" s="65"/>
    </row>
    <row r="11" customFormat="false" ht="15" hidden="false" customHeight="false" outlineLevel="0" collapsed="false">
      <c r="A11" s="58" t="s">
        <v>68</v>
      </c>
      <c r="B11" s="59" t="str">
        <f aca="false">IFERROR(VLOOKUP(A11,ARTICLES!$A$3:$G$500,2,0),"")</f>
        <v>Encre tampon</v>
      </c>
      <c r="C11" s="60" t="str">
        <f aca="false">IFERROR(VLOOKUP(A11,ARTICLES!$A$3:$D$500,4,0),"")</f>
        <v>Unité</v>
      </c>
      <c r="D11" s="43" t="n">
        <f aca="false">SUMIFS(MOUVEMENTS!$E$3:$E$500,MOUVEMENTS!$B$3:$B$500,A11,MOUVEMENTS!$D$3:$D$500,"IN")</f>
        <v>5</v>
      </c>
      <c r="E11" s="52" t="n">
        <f aca="false">SUMIFS(MOUVEMENTS!$E$3:$E$500,MOUVEMENTS!$B$3:$B$500,A11,MOUVEMENTS!$D$3:$D$500,"OUT")</f>
        <v>0</v>
      </c>
      <c r="F11" s="61" t="n">
        <f aca="false">D11-E11</f>
        <v>5</v>
      </c>
      <c r="G11" s="62" t="str">
        <f aca="false">IFERROR(VLOOKUP(A11,ARTICLES!$A$3:$E$500,5,0),0)</f>
        <v>C</v>
      </c>
      <c r="H11" s="47" t="n">
        <f aca="false">IFERROR(LOOKUP(2,1/(MOUVEMENTS!$B$3:$B$500=A11),MOUVEMENTS!$L$3:$L$500),IFERROR(VLOOKUP(A11,ARTICLES!$A$3:$G$500,7,0),0))</f>
        <v>10</v>
      </c>
      <c r="I11" s="63" t="n">
        <f aca="false">F11*H11</f>
        <v>50</v>
      </c>
      <c r="J11" s="64" t="str">
        <f aca="false">IFERROR(G11+(SUMIFS(MOUVEMENTS!$E$3:$E$500,MOUVEMENTS!$B$3:$B$500,A11,MOUVEMENTS!$D$3:$D$500,"OUT")/MAX(1,$N$4))*$N$6,G11)</f>
        <v>C</v>
      </c>
      <c r="K11" s="58" t="str">
        <f aca="false">IF(F11=0,"!! RUPTURE",IF(F11&lt;=J11,"&gt;&gt; COMMANDER",IF(F11&lt;=J11*1.25,"~ ALERTE","OK")))</f>
        <v>&gt;&gt; COMMANDER</v>
      </c>
      <c r="L11" s="65"/>
      <c r="M11" s="65"/>
      <c r="N11" s="65"/>
    </row>
    <row r="12" customFormat="false" ht="15" hidden="false" customHeight="false" outlineLevel="0" collapsed="false">
      <c r="A12" s="58" t="s">
        <v>72</v>
      </c>
      <c r="B12" s="59" t="str">
        <f aca="false">IFERROR(VLOOKUP(A12,ARTICLES!$A$3:$G$500,2,0),"")</f>
        <v>Sous-chemise carton</v>
      </c>
      <c r="C12" s="60" t="str">
        <f aca="false">IFERROR(VLOOKUP(A12,ARTICLES!$A$3:$D$500,4,0),"")</f>
        <v>Unité</v>
      </c>
      <c r="D12" s="43" t="n">
        <f aca="false">SUMIFS(MOUVEMENTS!$E$3:$E$500,MOUVEMENTS!$B$3:$B$500,A12,MOUVEMENTS!$D$3:$D$500,"IN")</f>
        <v>48</v>
      </c>
      <c r="E12" s="52" t="n">
        <f aca="false">SUMIFS(MOUVEMENTS!$E$3:$E$500,MOUVEMENTS!$B$3:$B$500,A12,MOUVEMENTS!$D$3:$D$500,"OUT")</f>
        <v>47</v>
      </c>
      <c r="F12" s="61" t="n">
        <f aca="false">D12-E12</f>
        <v>1</v>
      </c>
      <c r="G12" s="62" t="str">
        <f aca="false">IFERROR(VLOOKUP(A12,ARTICLES!$A$3:$E$500,5,0),0)</f>
        <v>C</v>
      </c>
      <c r="H12" s="47" t="n">
        <f aca="false">IFERROR(LOOKUP(2,1/(MOUVEMENTS!$B$3:$B$500=A12),MOUVEMENTS!$L$3:$L$500),IFERROR(VLOOKUP(A12,ARTICLES!$A$3:$G$500,7,0),0))</f>
        <v>100</v>
      </c>
      <c r="I12" s="63" t="n">
        <f aca="false">F12*H12</f>
        <v>100</v>
      </c>
      <c r="J12" s="64" t="str">
        <f aca="false">IFERROR(G12+(SUMIFS(MOUVEMENTS!$E$3:$E$500,MOUVEMENTS!$B$3:$B$500,A12,MOUVEMENTS!$D$3:$D$500,"OUT")/MAX(1,$N$4))*$N$6,G12)</f>
        <v>C</v>
      </c>
      <c r="K12" s="58" t="str">
        <f aca="false">IF(F12=0,"!! RUPTURE",IF(F12&lt;=J12,"&gt;&gt; COMMANDER",IF(F12&lt;=J12*1.25,"~ ALERTE","OK")))</f>
        <v>&gt;&gt; COMMANDER</v>
      </c>
      <c r="L12" s="65"/>
      <c r="M12" s="65"/>
      <c r="N12" s="65"/>
    </row>
    <row r="13" customFormat="false" ht="15" hidden="false" customHeight="false" outlineLevel="0" collapsed="false">
      <c r="A13" s="58" t="s">
        <v>75</v>
      </c>
      <c r="B13" s="59" t="str">
        <f aca="false">IFERROR(VLOOKUP(A13,ARTICLES!$A$3:$G$500,2,0),"")</f>
        <v>Chemise cartonnée</v>
      </c>
      <c r="C13" s="60" t="str">
        <f aca="false">IFERROR(VLOOKUP(A13,ARTICLES!$A$3:$D$500,4,0),"")</f>
        <v>Unité</v>
      </c>
      <c r="D13" s="43" t="n">
        <f aca="false">SUMIFS(MOUVEMENTS!$E$3:$E$500,MOUVEMENTS!$B$3:$B$500,A13,MOUVEMENTS!$D$3:$D$500,"IN")</f>
        <v>24</v>
      </c>
      <c r="E13" s="52" t="n">
        <f aca="false">SUMIFS(MOUVEMENTS!$E$3:$E$500,MOUVEMENTS!$B$3:$B$500,A13,MOUVEMENTS!$D$3:$D$500,"OUT")</f>
        <v>10</v>
      </c>
      <c r="F13" s="61" t="n">
        <f aca="false">D13-E13</f>
        <v>14</v>
      </c>
      <c r="G13" s="62" t="str">
        <f aca="false">IFERROR(VLOOKUP(A13,ARTICLES!$A$3:$E$500,5,0),0)</f>
        <v>C</v>
      </c>
      <c r="H13" s="47" t="n">
        <f aca="false">IFERROR(LOOKUP(2,1/(MOUVEMENTS!$B$3:$B$500=A13),MOUVEMENTS!$L$3:$L$500),IFERROR(VLOOKUP(A13,ARTICLES!$A$3:$G$500,7,0),0))</f>
        <v>50</v>
      </c>
      <c r="I13" s="63" t="n">
        <f aca="false">F13*H13</f>
        <v>700</v>
      </c>
      <c r="J13" s="64" t="str">
        <f aca="false">IFERROR(G13+(SUMIFS(MOUVEMENTS!$E$3:$E$500,MOUVEMENTS!$B$3:$B$500,A13,MOUVEMENTS!$D$3:$D$500,"OUT")/MAX(1,$N$4))*$N$6,G13)</f>
        <v>C</v>
      </c>
      <c r="K13" s="58" t="str">
        <f aca="false">IF(F13=0,"!! RUPTURE",IF(F13&lt;=J13,"&gt;&gt; COMMANDER",IF(F13&lt;=J13*1.25,"~ ALERTE","OK")))</f>
        <v>&gt;&gt; COMMANDER</v>
      </c>
      <c r="L13" s="65"/>
      <c r="M13" s="65"/>
      <c r="N13" s="65"/>
    </row>
    <row r="14" customFormat="false" ht="15" hidden="false" customHeight="false" outlineLevel="0" collapsed="false">
      <c r="A14" s="58" t="s">
        <v>78</v>
      </c>
      <c r="B14" s="59" t="str">
        <f aca="false">IFERROR(VLOOKUP(A14,ARTICLES!$A$3:$G$500,2,0),"")</f>
        <v>Rouleau papier fax</v>
      </c>
      <c r="C14" s="60" t="str">
        <f aca="false">IFERROR(VLOOKUP(A14,ARTICLES!$A$3:$D$500,4,0),"")</f>
        <v>Rouleau</v>
      </c>
      <c r="D14" s="43" t="n">
        <f aca="false">SUMIFS(MOUVEMENTS!$E$3:$E$500,MOUVEMENTS!$B$3:$B$500,A14,MOUVEMENTS!$D$3:$D$500,"IN")</f>
        <v>2</v>
      </c>
      <c r="E14" s="52" t="n">
        <f aca="false">SUMIFS(MOUVEMENTS!$E$3:$E$500,MOUVEMENTS!$B$3:$B$500,A14,MOUVEMENTS!$D$3:$D$500,"OUT")</f>
        <v>0</v>
      </c>
      <c r="F14" s="61" t="n">
        <f aca="false">D14-E14</f>
        <v>2</v>
      </c>
      <c r="G14" s="62" t="str">
        <f aca="false">IFERROR(VLOOKUP(A14,ARTICLES!$A$3:$E$500,5,0),0)</f>
        <v>C</v>
      </c>
      <c r="H14" s="47" t="n">
        <f aca="false">IFERROR(LOOKUP(2,1/(MOUVEMENTS!$B$3:$B$500=A14),MOUVEMENTS!$L$3:$L$500),IFERROR(VLOOKUP(A14,ARTICLES!$A$3:$G$500,7,0),0))</f>
        <v>5</v>
      </c>
      <c r="I14" s="63" t="n">
        <f aca="false">F14*H14</f>
        <v>10</v>
      </c>
      <c r="J14" s="64" t="str">
        <f aca="false">IFERROR(G14+(SUMIFS(MOUVEMENTS!$E$3:$E$500,MOUVEMENTS!$B$3:$B$500,A14,MOUVEMENTS!$D$3:$D$500,"OUT")/MAX(1,$N$4))*$N$6,G14)</f>
        <v>C</v>
      </c>
      <c r="K14" s="58" t="str">
        <f aca="false">IF(F14=0,"!! RUPTURE",IF(F14&lt;=J14,"&gt;&gt; COMMANDER",IF(F14&lt;=J14*1.25,"~ ALERTE","OK")))</f>
        <v>&gt;&gt; COMMANDER</v>
      </c>
      <c r="L14" s="65"/>
      <c r="M14" s="65"/>
      <c r="N14" s="65"/>
    </row>
    <row r="15" customFormat="false" ht="15" hidden="false" customHeight="false" outlineLevel="0" collapsed="false">
      <c r="A15" s="58" t="s">
        <v>83</v>
      </c>
      <c r="B15" s="59" t="str">
        <f aca="false">IFERROR(VLOOKUP(A15,ARTICLES!$A$3:$G$500,2,0),"")</f>
        <v>Marqueur permanent noir</v>
      </c>
      <c r="C15" s="60" t="str">
        <f aca="false">IFERROR(VLOOKUP(A15,ARTICLES!$A$3:$D$500,4,0),"")</f>
        <v>Unité</v>
      </c>
      <c r="D15" s="43" t="n">
        <f aca="false">SUMIFS(MOUVEMENTS!$E$3:$E$500,MOUVEMENTS!$B$3:$B$500,A15,MOUVEMENTS!$D$3:$D$500,"IN")</f>
        <v>16</v>
      </c>
      <c r="E15" s="52" t="n">
        <f aca="false">SUMIFS(MOUVEMENTS!$E$3:$E$500,MOUVEMENTS!$B$3:$B$500,A15,MOUVEMENTS!$D$3:$D$500,"OUT")</f>
        <v>0</v>
      </c>
      <c r="F15" s="61" t="n">
        <f aca="false">D15-E15</f>
        <v>16</v>
      </c>
      <c r="G15" s="62" t="str">
        <f aca="false">IFERROR(VLOOKUP(A15,ARTICLES!$A$3:$E$500,5,0),0)</f>
        <v>C</v>
      </c>
      <c r="H15" s="47" t="n">
        <f aca="false">IFERROR(LOOKUP(2,1/(MOUVEMENTS!$B$3:$B$500=A15),MOUVEMENTS!$L$3:$L$500),IFERROR(VLOOKUP(A15,ARTICLES!$A$3:$G$500,7,0),0))</f>
        <v>30</v>
      </c>
      <c r="I15" s="63" t="n">
        <f aca="false">F15*H15</f>
        <v>480</v>
      </c>
      <c r="J15" s="64" t="str">
        <f aca="false">IFERROR(G15+(SUMIFS(MOUVEMENTS!$E$3:$E$500,MOUVEMENTS!$B$3:$B$500,A15,MOUVEMENTS!$D$3:$D$500,"OUT")/MAX(1,$N$4))*$N$6,G15)</f>
        <v>C</v>
      </c>
      <c r="K15" s="58" t="str">
        <f aca="false">IF(F15=0,"!! RUPTURE",IF(F15&lt;=J15,"&gt;&gt; COMMANDER",IF(F15&lt;=J15*1.25,"~ ALERTE","OK")))</f>
        <v>&gt;&gt; COMMANDER</v>
      </c>
      <c r="L15" s="65"/>
      <c r="M15" s="65"/>
      <c r="N15" s="65"/>
    </row>
    <row r="17" customFormat="false" ht="15" hidden="false" customHeight="false" outlineLevel="0" collapsed="false">
      <c r="A17" s="68" t="s">
        <v>183</v>
      </c>
      <c r="B17" s="68"/>
      <c r="D17" s="69"/>
      <c r="E17" s="69"/>
      <c r="F17" s="64" t="n">
        <f aca="false">SUM(F4:F16)</f>
        <v>365</v>
      </c>
      <c r="G17" s="69"/>
      <c r="H17" s="69"/>
      <c r="I17" s="70" t="n">
        <f aca="false">SUM(I4:I16)</f>
        <v>190590</v>
      </c>
      <c r="J17" s="69"/>
      <c r="K17" s="69"/>
      <c r="L17" s="69"/>
      <c r="M17" s="69"/>
      <c r="N17" s="69"/>
    </row>
    <row r="19" customFormat="false" ht="15" hidden="false" customHeight="false" outlineLevel="0" collapsed="false">
      <c r="A19" s="32" t="s">
        <v>184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</sheetData>
  <mergeCells count="4">
    <mergeCell ref="A1:N1"/>
    <mergeCell ref="A2:N2"/>
    <mergeCell ref="A17:B17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71" t="s">
        <v>185</v>
      </c>
      <c r="B1" s="71"/>
      <c r="C1" s="71"/>
      <c r="D1" s="71"/>
      <c r="E1" s="71"/>
      <c r="F1" s="71"/>
      <c r="G1" s="71"/>
    </row>
    <row r="2" customFormat="false" ht="39.75" hidden="false" customHeight="true" outlineLevel="0" collapsed="false">
      <c r="A2" s="72" t="s">
        <v>88</v>
      </c>
      <c r="B2" s="72" t="s">
        <v>169</v>
      </c>
      <c r="C2" s="72" t="s">
        <v>186</v>
      </c>
      <c r="D2" s="72" t="s">
        <v>187</v>
      </c>
      <c r="E2" s="72" t="s">
        <v>188</v>
      </c>
      <c r="F2" s="72" t="s">
        <v>189</v>
      </c>
      <c r="G2" s="72" t="s">
        <v>177</v>
      </c>
    </row>
    <row r="3" customFormat="false" ht="15" hidden="false" customHeight="false" outlineLevel="0" collapsed="false">
      <c r="A3" s="73" t="s">
        <v>34</v>
      </c>
      <c r="B3" s="38" t="str">
        <f aca="false">IFERROR(VLOOKUP(A3,ARTICLES!$A$3:$B$500,2,0),"")</f>
        <v>Rame papier A4 80g/m²</v>
      </c>
      <c r="C3" s="74" t="n">
        <f aca="false">SUMIFS(MOUVEMENTS!$E$3:$E$500,MOUVEMENTS!$B$3:$B$500,A3,MOUVEMENTS!$D$3:$D$500,"IN")-SUMIFS(MOUVEMENTS!$E$3:$E$500,MOUVEMENTS!$B$3:$B$500,A3,MOUVEMENTS!$D$3:$D$500,"OUT")</f>
        <v>100</v>
      </c>
      <c r="D3" s="74"/>
      <c r="E3" s="74" t="n">
        <f aca="false">IFERROR(D3-C3,"—")</f>
        <v>-100</v>
      </c>
      <c r="F3" s="75" t="n">
        <f aca="false">IFERROR(E3/C3,"—")</f>
        <v>-1</v>
      </c>
      <c r="G3" s="73" t="str">
        <f aca="false">IF(D3="","⏳ À compter",IF(E3=0,"✔ Conforme",IF(ABS(E3)&gt;0,"⚠ Écart","—")))</f>
        <v>⏳ À compter</v>
      </c>
    </row>
    <row r="4" customFormat="false" ht="15" hidden="false" customHeight="false" outlineLevel="0" collapsed="false">
      <c r="A4" s="76" t="s">
        <v>41</v>
      </c>
      <c r="B4" s="77" t="str">
        <f aca="false">IFERROR(VLOOKUP(A4,ARTICLES!$A$3:$B$500,2,0),"")</f>
        <v>Toner imprimante G030 (noir)</v>
      </c>
      <c r="C4" s="45" t="n">
        <f aca="false">SUMIFS(MOUVEMENTS!$E$3:$E$500,MOUVEMENTS!$B$3:$B$500,A4,MOUVEMENTS!$D$3:$D$500,"IN")-SUMIFS(MOUVEMENTS!$E$3:$E$500,MOUVEMENTS!$B$3:$B$500,A4,MOUVEMENTS!$D$3:$D$500,"OUT")</f>
        <v>0</v>
      </c>
      <c r="D4" s="45"/>
      <c r="E4" s="45" t="n">
        <f aca="false">IFERROR(D4-C4,"—")</f>
        <v>0</v>
      </c>
      <c r="F4" s="78" t="str">
        <f aca="false">IFERROR(E4/C4,"—")</f>
        <v>—</v>
      </c>
      <c r="G4" s="76" t="str">
        <f aca="false">IF(D4="","⏳ À compter",IF(E4=0,"✔ Conforme",IF(ABS(E4)&gt;0,"⚠ Écart","—")))</f>
        <v>⏳ À compter</v>
      </c>
    </row>
    <row r="5" customFormat="false" ht="15" hidden="false" customHeight="false" outlineLevel="0" collapsed="false">
      <c r="A5" s="73" t="s">
        <v>47</v>
      </c>
      <c r="B5" s="38" t="str">
        <f aca="false">IFERROR(VLOOKUP(A5,ARTICLES!$A$3:$B$500,2,0),"")</f>
        <v>Rame papier A3 80g/m²</v>
      </c>
      <c r="C5" s="74" t="n">
        <f aca="false">SUMIFS(MOUVEMENTS!$E$3:$E$500,MOUVEMENTS!$B$3:$B$500,A5,MOUVEMENTS!$D$3:$D$500,"IN")-SUMIFS(MOUVEMENTS!$E$3:$E$500,MOUVEMENTS!$B$3:$B$500,A5,MOUVEMENTS!$D$3:$D$500,"OUT")</f>
        <v>2</v>
      </c>
      <c r="D5" s="74"/>
      <c r="E5" s="74" t="n">
        <f aca="false">IFERROR(D5-C5,"—")</f>
        <v>-2</v>
      </c>
      <c r="F5" s="75" t="n">
        <f aca="false">IFERROR(E5/C5,"—")</f>
        <v>-1</v>
      </c>
      <c r="G5" s="73" t="str">
        <f aca="false">IF(D5="","⏳ À compter",IF(E5=0,"✔ Conforme",IF(ABS(E5)&gt;0,"⚠ Écart","—")))</f>
        <v>⏳ À compter</v>
      </c>
    </row>
    <row r="6" customFormat="false" ht="15" hidden="false" customHeight="false" outlineLevel="0" collapsed="false">
      <c r="A6" s="76" t="s">
        <v>51</v>
      </c>
      <c r="B6" s="77" t="str">
        <f aca="false">IFERROR(VLOOKUP(A6,ARTICLES!$A$3:$B$500,2,0),"")</f>
        <v>Boîte archives carton</v>
      </c>
      <c r="C6" s="45" t="n">
        <f aca="false">SUMIFS(MOUVEMENTS!$E$3:$E$500,MOUVEMENTS!$B$3:$B$500,A6,MOUVEMENTS!$D$3:$D$500,"IN")-SUMIFS(MOUVEMENTS!$E$3:$E$500,MOUVEMENTS!$B$3:$B$500,A6,MOUVEMENTS!$D$3:$D$500,"OUT")</f>
        <v>190</v>
      </c>
      <c r="D6" s="45"/>
      <c r="E6" s="45" t="n">
        <f aca="false">IFERROR(D6-C6,"—")</f>
        <v>-190</v>
      </c>
      <c r="F6" s="78" t="n">
        <f aca="false">IFERROR(E6/C6,"—")</f>
        <v>-1</v>
      </c>
      <c r="G6" s="76" t="str">
        <f aca="false">IF(D6="","⏳ À compter",IF(E6=0,"✔ Conforme",IF(ABS(E6)&gt;0,"⚠ Écart","—")))</f>
        <v>⏳ À compter</v>
      </c>
    </row>
    <row r="7" customFormat="false" ht="15" hidden="false" customHeight="false" outlineLevel="0" collapsed="false">
      <c r="A7" s="73" t="s">
        <v>57</v>
      </c>
      <c r="B7" s="38" t="str">
        <f aca="false">IFERROR(VLOOKUP(A7,ARTICLES!$A$3:$B$500,2,0),"")</f>
        <v>Agrafeuse de bureau</v>
      </c>
      <c r="C7" s="74" t="n">
        <f aca="false">SUMIFS(MOUVEMENTS!$E$3:$E$500,MOUVEMENTS!$B$3:$B$500,A7,MOUVEMENTS!$D$3:$D$500,"IN")-SUMIFS(MOUVEMENTS!$E$3:$E$500,MOUVEMENTS!$B$3:$B$500,A7,MOUVEMENTS!$D$3:$D$500,"OUT")</f>
        <v>2</v>
      </c>
      <c r="D7" s="74"/>
      <c r="E7" s="74" t="n">
        <f aca="false">IFERROR(D7-C7,"—")</f>
        <v>-2</v>
      </c>
      <c r="F7" s="75" t="n">
        <f aca="false">IFERROR(E7/C7,"—")</f>
        <v>-1</v>
      </c>
      <c r="G7" s="73" t="str">
        <f aca="false">IF(D7="","⏳ À compter",IF(E7=0,"✔ Conforme",IF(ABS(E7)&gt;0,"⚠ Écart","—")))</f>
        <v>⏳ À compter</v>
      </c>
    </row>
    <row r="8" customFormat="false" ht="15" hidden="false" customHeight="false" outlineLevel="0" collapsed="false">
      <c r="A8" s="76" t="s">
        <v>60</v>
      </c>
      <c r="B8" s="77" t="str">
        <f aca="false">IFERROR(VLOOKUP(A8,ARTICLES!$A$3:$B$500,2,0),"")</f>
        <v>Stylos bille boîte/50</v>
      </c>
      <c r="C8" s="45" t="n">
        <f aca="false">SUMIFS(MOUVEMENTS!$E$3:$E$500,MOUVEMENTS!$B$3:$B$500,A8,MOUVEMENTS!$D$3:$D$500,"IN")-SUMIFS(MOUVEMENTS!$E$3:$E$500,MOUVEMENTS!$B$3:$B$500,A8,MOUVEMENTS!$D$3:$D$500,"OUT")</f>
        <v>30</v>
      </c>
      <c r="D8" s="45"/>
      <c r="E8" s="45" t="n">
        <f aca="false">IFERROR(D8-C8,"—")</f>
        <v>-30</v>
      </c>
      <c r="F8" s="78" t="n">
        <f aca="false">IFERROR(E8/C8,"—")</f>
        <v>-1</v>
      </c>
      <c r="G8" s="76" t="str">
        <f aca="false">IF(D8="","⏳ À compter",IF(E8=0,"✔ Conforme",IF(ABS(E8)&gt;0,"⚠ Écart","—")))</f>
        <v>⏳ À compter</v>
      </c>
    </row>
    <row r="9" customFormat="false" ht="15" hidden="false" customHeight="false" outlineLevel="0" collapsed="false">
      <c r="A9" s="73" t="s">
        <v>64</v>
      </c>
      <c r="B9" s="38" t="str">
        <f aca="false">IFERROR(VLOOKUP(A9,ARTICLES!$A$3:$B$500,2,0),"")</f>
        <v>Registre grand format 5m</v>
      </c>
      <c r="C9" s="74" t="n">
        <f aca="false">SUMIFS(MOUVEMENTS!$E$3:$E$500,MOUVEMENTS!$B$3:$B$500,A9,MOUVEMENTS!$D$3:$D$500,"IN")-SUMIFS(MOUVEMENTS!$E$3:$E$500,MOUVEMENTS!$B$3:$B$500,A9,MOUVEMENTS!$D$3:$D$500,"OUT")</f>
        <v>3</v>
      </c>
      <c r="D9" s="74"/>
      <c r="E9" s="74" t="n">
        <f aca="false">IFERROR(D9-C9,"—")</f>
        <v>-3</v>
      </c>
      <c r="F9" s="75" t="n">
        <f aca="false">IFERROR(E9/C9,"—")</f>
        <v>-1</v>
      </c>
      <c r="G9" s="73" t="str">
        <f aca="false">IF(D9="","⏳ À compter",IF(E9=0,"✔ Conforme",IF(ABS(E9)&gt;0,"⚠ Écart","—")))</f>
        <v>⏳ À compter</v>
      </c>
    </row>
    <row r="10" customFormat="false" ht="15" hidden="false" customHeight="false" outlineLevel="0" collapsed="false">
      <c r="A10" s="76" t="s">
        <v>68</v>
      </c>
      <c r="B10" s="77" t="str">
        <f aca="false">IFERROR(VLOOKUP(A10,ARTICLES!$A$3:$B$500,2,0),"")</f>
        <v>Encre tampon</v>
      </c>
      <c r="C10" s="45" t="n">
        <f aca="false">SUMIFS(MOUVEMENTS!$E$3:$E$500,MOUVEMENTS!$B$3:$B$500,A10,MOUVEMENTS!$D$3:$D$500,"IN")-SUMIFS(MOUVEMENTS!$E$3:$E$500,MOUVEMENTS!$B$3:$B$500,A10,MOUVEMENTS!$D$3:$D$500,"OUT")</f>
        <v>5</v>
      </c>
      <c r="D10" s="45"/>
      <c r="E10" s="45" t="n">
        <f aca="false">IFERROR(D10-C10,"—")</f>
        <v>-5</v>
      </c>
      <c r="F10" s="78" t="n">
        <f aca="false">IFERROR(E10/C10,"—")</f>
        <v>-1</v>
      </c>
      <c r="G10" s="76" t="str">
        <f aca="false">IF(D10="","⏳ À compter",IF(E10=0,"✔ Conforme",IF(ABS(E10)&gt;0,"⚠ Écart","—")))</f>
        <v>⏳ À compter</v>
      </c>
    </row>
    <row r="11" customFormat="false" ht="15" hidden="false" customHeight="false" outlineLevel="0" collapsed="false">
      <c r="A11" s="73" t="s">
        <v>72</v>
      </c>
      <c r="B11" s="38" t="str">
        <f aca="false">IFERROR(VLOOKUP(A11,ARTICLES!$A$3:$B$500,2,0),"")</f>
        <v>Sous-chemise carton</v>
      </c>
      <c r="C11" s="74" t="n">
        <f aca="false">SUMIFS(MOUVEMENTS!$E$3:$E$500,MOUVEMENTS!$B$3:$B$500,A11,MOUVEMENTS!$D$3:$D$500,"IN")-SUMIFS(MOUVEMENTS!$E$3:$E$500,MOUVEMENTS!$B$3:$B$500,A11,MOUVEMENTS!$D$3:$D$500,"OUT")</f>
        <v>1</v>
      </c>
      <c r="D11" s="74"/>
      <c r="E11" s="74" t="n">
        <f aca="false">IFERROR(D11-C11,"—")</f>
        <v>-1</v>
      </c>
      <c r="F11" s="75" t="n">
        <f aca="false">IFERROR(E11/C11,"—")</f>
        <v>-1</v>
      </c>
      <c r="G11" s="73" t="str">
        <f aca="false">IF(D11="","⏳ À compter",IF(E11=0,"✔ Conforme",IF(ABS(E11)&gt;0,"⚠ Écart","—")))</f>
        <v>⏳ À compter</v>
      </c>
    </row>
    <row r="12" customFormat="false" ht="15" hidden="false" customHeight="false" outlineLevel="0" collapsed="false">
      <c r="A12" s="76" t="s">
        <v>75</v>
      </c>
      <c r="B12" s="77" t="str">
        <f aca="false">IFERROR(VLOOKUP(A12,ARTICLES!$A$3:$B$500,2,0),"")</f>
        <v>Chemise cartonnée</v>
      </c>
      <c r="C12" s="45" t="n">
        <f aca="false">SUMIFS(MOUVEMENTS!$E$3:$E$500,MOUVEMENTS!$B$3:$B$500,A12,MOUVEMENTS!$D$3:$D$500,"IN")-SUMIFS(MOUVEMENTS!$E$3:$E$500,MOUVEMENTS!$B$3:$B$500,A12,MOUVEMENTS!$D$3:$D$500,"OUT")</f>
        <v>14</v>
      </c>
      <c r="D12" s="45"/>
      <c r="E12" s="45" t="n">
        <f aca="false">IFERROR(D12-C12,"—")</f>
        <v>-14</v>
      </c>
      <c r="F12" s="78" t="n">
        <f aca="false">IFERROR(E12/C12,"—")</f>
        <v>-1</v>
      </c>
      <c r="G12" s="76" t="str">
        <f aca="false">IF(D12="","⏳ À compter",IF(E12=0,"✔ Conforme",IF(ABS(E12)&gt;0,"⚠ Écart","—")))</f>
        <v>⏳ À compter</v>
      </c>
    </row>
    <row r="13" customFormat="false" ht="15" hidden="false" customHeight="false" outlineLevel="0" collapsed="false">
      <c r="A13" s="73" t="s">
        <v>78</v>
      </c>
      <c r="B13" s="38" t="str">
        <f aca="false">IFERROR(VLOOKUP(A13,ARTICLES!$A$3:$B$500,2,0),"")</f>
        <v>Rouleau papier fax</v>
      </c>
      <c r="C13" s="74" t="n">
        <f aca="false">SUMIFS(MOUVEMENTS!$E$3:$E$500,MOUVEMENTS!$B$3:$B$500,A13,MOUVEMENTS!$D$3:$D$500,"IN")-SUMIFS(MOUVEMENTS!$E$3:$E$500,MOUVEMENTS!$B$3:$B$500,A13,MOUVEMENTS!$D$3:$D$500,"OUT")</f>
        <v>2</v>
      </c>
      <c r="D13" s="74"/>
      <c r="E13" s="74" t="n">
        <f aca="false">IFERROR(D13-C13,"—")</f>
        <v>-2</v>
      </c>
      <c r="F13" s="75" t="n">
        <f aca="false">IFERROR(E13/C13,"—")</f>
        <v>-1</v>
      </c>
      <c r="G13" s="73" t="str">
        <f aca="false">IF(D13="","⏳ À compter",IF(E13=0,"✔ Conforme",IF(ABS(E13)&gt;0,"⚠ Écart","—")))</f>
        <v>⏳ À compter</v>
      </c>
    </row>
    <row r="14" customFormat="false" ht="15" hidden="false" customHeight="false" outlineLevel="0" collapsed="false">
      <c r="A14" s="76" t="s">
        <v>83</v>
      </c>
      <c r="B14" s="77" t="str">
        <f aca="false">IFERROR(VLOOKUP(A14,ARTICLES!$A$3:$B$500,2,0),"")</f>
        <v>Marqueur permanent noir</v>
      </c>
      <c r="C14" s="45" t="n">
        <f aca="false">SUMIFS(MOUVEMENTS!$E$3:$E$500,MOUVEMENTS!$B$3:$B$500,A14,MOUVEMENTS!$D$3:$D$500,"IN")-SUMIFS(MOUVEMENTS!$E$3:$E$500,MOUVEMENTS!$B$3:$B$500,A14,MOUVEMENTS!$D$3:$D$500,"OUT")</f>
        <v>16</v>
      </c>
      <c r="D14" s="45"/>
      <c r="E14" s="45" t="n">
        <f aca="false">IFERROR(D14-C14,"—")</f>
        <v>-16</v>
      </c>
      <c r="F14" s="78" t="n">
        <f aca="false">IFERROR(E14/C14,"—")</f>
        <v>-1</v>
      </c>
      <c r="G14" s="76" t="str">
        <f aca="false">IF(D14="","⏳ À compter",IF(E14=0,"✔ Conforme",IF(ABS(E14)&gt;0,"⚠ Écart","—")))</f>
        <v>⏳ À compter</v>
      </c>
    </row>
    <row r="16" customFormat="false" ht="15" hidden="false" customHeight="false" outlineLevel="0" collapsed="false">
      <c r="A16" s="79" t="s">
        <v>190</v>
      </c>
      <c r="B16" s="79"/>
      <c r="C16" s="79"/>
      <c r="D16" s="79"/>
      <c r="E16" s="79"/>
      <c r="F16" s="79"/>
      <c r="G16" s="79"/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80" t="s">
        <v>191</v>
      </c>
      <c r="B1" s="80"/>
      <c r="C1" s="80"/>
      <c r="D1" s="80"/>
    </row>
    <row r="3" customFormat="false" ht="21.75" hidden="false" customHeight="true" outlineLevel="0" collapsed="false">
      <c r="A3" s="81" t="s">
        <v>192</v>
      </c>
      <c r="B3" s="82" t="s">
        <v>193</v>
      </c>
      <c r="C3" s="83" t="n">
        <f aca="false">ROUND(SUMPRODUCT((MOUVEMENTS!$B$3:$B$500="ART-001")*(MOUVEMENTS!$D$3:$D$500="OUT")*MOUVEMENTS!$E$3:$E$500)/38*250,0)</f>
        <v>2007</v>
      </c>
      <c r="D3" s="60" t="s">
        <v>194</v>
      </c>
    </row>
    <row r="4" customFormat="false" ht="21.75" hidden="false" customHeight="true" outlineLevel="0" collapsed="false">
      <c r="A4" s="81" t="s">
        <v>195</v>
      </c>
      <c r="B4" s="82" t="s">
        <v>196</v>
      </c>
      <c r="C4" s="83" t="n">
        <v>50</v>
      </c>
      <c r="D4" s="60" t="s">
        <v>197</v>
      </c>
    </row>
    <row r="5" customFormat="false" ht="21.75" hidden="false" customHeight="true" outlineLevel="0" collapsed="false">
      <c r="A5" s="81" t="s">
        <v>198</v>
      </c>
      <c r="B5" s="82" t="s">
        <v>199</v>
      </c>
      <c r="C5" s="83" t="n">
        <v>400</v>
      </c>
      <c r="D5" s="60" t="s">
        <v>200</v>
      </c>
    </row>
    <row r="6" customFormat="false" ht="21.75" hidden="false" customHeight="true" outlineLevel="0" collapsed="false">
      <c r="A6" s="81" t="s">
        <v>201</v>
      </c>
      <c r="B6" s="82" t="s">
        <v>202</v>
      </c>
      <c r="C6" s="84" t="n">
        <v>0.2</v>
      </c>
      <c r="D6" s="60" t="s">
        <v>203</v>
      </c>
    </row>
    <row r="7" customFormat="false" ht="21.75" hidden="false" customHeight="true" outlineLevel="0" collapsed="false">
      <c r="A7" s="81" t="s">
        <v>204</v>
      </c>
      <c r="B7" s="82" t="s">
        <v>205</v>
      </c>
      <c r="C7" s="83" t="n">
        <v>200</v>
      </c>
      <c r="D7" s="60" t="s">
        <v>206</v>
      </c>
    </row>
    <row r="8" customFormat="false" ht="21.75" hidden="false" customHeight="true" outlineLevel="0" collapsed="false">
      <c r="A8" s="81" t="s">
        <v>207</v>
      </c>
      <c r="B8" s="82" t="s">
        <v>208</v>
      </c>
      <c r="C8" s="83" t="n">
        <v>2</v>
      </c>
      <c r="D8" s="60" t="s">
        <v>209</v>
      </c>
    </row>
    <row r="9" customFormat="false" ht="9.75" hidden="false" customHeight="true" outlineLevel="0" collapsed="false"/>
    <row r="10" customFormat="false" ht="15" hidden="false" customHeight="false" outlineLevel="0" collapsed="false">
      <c r="A10" s="85" t="s">
        <v>210</v>
      </c>
      <c r="B10" s="85"/>
      <c r="C10" s="85"/>
      <c r="D10" s="85"/>
    </row>
    <row r="11" customFormat="false" ht="21.75" hidden="false" customHeight="true" outlineLevel="0" collapsed="false">
      <c r="A11" s="86" t="s">
        <v>211</v>
      </c>
      <c r="B11" s="82" t="s">
        <v>212</v>
      </c>
      <c r="C11" s="87" t="n">
        <f aca="false">ROUND(SQRT(2*C3*C4/(C6*C5)),0)</f>
        <v>50</v>
      </c>
      <c r="D11" s="60" t="s">
        <v>206</v>
      </c>
    </row>
    <row r="12" customFormat="false" ht="21.75" hidden="false" customHeight="true" outlineLevel="0" collapsed="false">
      <c r="A12" s="86" t="s">
        <v>213</v>
      </c>
      <c r="B12" s="82" t="s">
        <v>214</v>
      </c>
      <c r="C12" s="87" t="n">
        <f aca="false">ROUND(C3/C11,1)</f>
        <v>40.1</v>
      </c>
      <c r="D12" s="60" t="s">
        <v>215</v>
      </c>
    </row>
    <row r="13" customFormat="false" ht="21.75" hidden="false" customHeight="true" outlineLevel="0" collapsed="false">
      <c r="A13" s="86" t="s">
        <v>216</v>
      </c>
      <c r="B13" s="82" t="s">
        <v>217</v>
      </c>
      <c r="C13" s="87" t="n">
        <f aca="false">ROUND(C7+(C3/250)*C8,0)</f>
        <v>216</v>
      </c>
      <c r="D13" s="60" t="s">
        <v>206</v>
      </c>
    </row>
    <row r="14" customFormat="false" ht="21.75" hidden="false" customHeight="true" outlineLevel="0" collapsed="false">
      <c r="A14" s="86" t="s">
        <v>218</v>
      </c>
      <c r="B14" s="82" t="s">
        <v>219</v>
      </c>
      <c r="C14" s="87" t="n">
        <f aca="false">ROUND((C3/C11)*C4,0)</f>
        <v>2007</v>
      </c>
      <c r="D14" s="60" t="s">
        <v>220</v>
      </c>
    </row>
    <row r="15" customFormat="false" ht="21.75" hidden="false" customHeight="true" outlineLevel="0" collapsed="false">
      <c r="A15" s="86" t="s">
        <v>221</v>
      </c>
      <c r="B15" s="82" t="s">
        <v>222</v>
      </c>
      <c r="C15" s="87" t="n">
        <f aca="false">ROUND((C11/2+C7)*C6*C5,0)</f>
        <v>18000</v>
      </c>
      <c r="D15" s="60" t="s">
        <v>220</v>
      </c>
    </row>
    <row r="16" customFormat="false" ht="21.75" hidden="false" customHeight="true" outlineLevel="0" collapsed="false">
      <c r="A16" s="86" t="s">
        <v>223</v>
      </c>
      <c r="B16" s="82" t="s">
        <v>224</v>
      </c>
      <c r="C16" s="87" t="n">
        <f aca="false">C14+C15</f>
        <v>20007</v>
      </c>
      <c r="D16" s="60" t="s">
        <v>220</v>
      </c>
    </row>
    <row r="18" customFormat="false" ht="36" hidden="false" customHeight="true" outlineLevel="0" collapsed="false">
      <c r="A18" s="88" t="s">
        <v>225</v>
      </c>
      <c r="B18" s="88"/>
      <c r="C18" s="88"/>
      <c r="D18" s="88"/>
    </row>
  </sheetData>
  <mergeCells count="3">
    <mergeCell ref="A1:D1"/>
    <mergeCell ref="A10:D10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80" t="s">
        <v>226</v>
      </c>
      <c r="B1" s="80"/>
      <c r="C1" s="80"/>
      <c r="D1" s="80"/>
      <c r="E1" s="80"/>
      <c r="F1" s="80"/>
      <c r="G1" s="80"/>
    </row>
    <row r="2" customFormat="false" ht="21.75" hidden="false" customHeight="true" outlineLevel="0" collapsed="false">
      <c r="A2" s="57" t="s">
        <v>227</v>
      </c>
      <c r="B2" s="57" t="s">
        <v>228</v>
      </c>
      <c r="C2" s="57" t="s">
        <v>24</v>
      </c>
      <c r="D2" s="57" t="s">
        <v>32</v>
      </c>
      <c r="E2" s="57" t="s">
        <v>229</v>
      </c>
      <c r="F2" s="57" t="s">
        <v>230</v>
      </c>
      <c r="G2" s="57" t="s">
        <v>177</v>
      </c>
    </row>
    <row r="3" customFormat="false" ht="15" hidden="false" customHeight="false" outlineLevel="0" collapsed="false">
      <c r="A3" s="44" t="s">
        <v>231</v>
      </c>
      <c r="B3" s="44" t="s">
        <v>232</v>
      </c>
      <c r="C3" s="44" t="s">
        <v>34</v>
      </c>
      <c r="D3" s="44" t="s">
        <v>39</v>
      </c>
      <c r="E3" s="43" t="n">
        <v>500</v>
      </c>
      <c r="F3" s="43" t="n">
        <v>405</v>
      </c>
      <c r="G3" s="44" t="s">
        <v>233</v>
      </c>
    </row>
    <row r="4" customFormat="false" ht="15" hidden="false" customHeight="false" outlineLevel="0" collapsed="false">
      <c r="A4" s="44" t="s">
        <v>234</v>
      </c>
      <c r="B4" s="44" t="s">
        <v>235</v>
      </c>
      <c r="C4" s="44" t="s">
        <v>41</v>
      </c>
      <c r="D4" s="44" t="s">
        <v>45</v>
      </c>
      <c r="E4" s="43" t="n">
        <v>5</v>
      </c>
      <c r="F4" s="43" t="n">
        <v>5</v>
      </c>
      <c r="G4" s="44" t="s">
        <v>233</v>
      </c>
    </row>
    <row r="5" customFormat="false" ht="15" hidden="false" customHeight="false" outlineLevel="0" collapsed="false">
      <c r="A5" s="44" t="s">
        <v>236</v>
      </c>
      <c r="B5" s="44" t="s">
        <v>235</v>
      </c>
      <c r="C5" s="44" t="s">
        <v>47</v>
      </c>
      <c r="D5" s="44" t="s">
        <v>39</v>
      </c>
      <c r="E5" s="43" t="n">
        <v>100</v>
      </c>
      <c r="F5" s="43" t="n">
        <v>100</v>
      </c>
      <c r="G5" s="44" t="s">
        <v>233</v>
      </c>
    </row>
    <row r="6" customFormat="false" ht="15" hidden="false" customHeight="false" outlineLevel="0" collapsed="false">
      <c r="A6" s="53" t="s">
        <v>237</v>
      </c>
      <c r="B6" s="53" t="s">
        <v>238</v>
      </c>
      <c r="C6" s="53" t="s">
        <v>34</v>
      </c>
      <c r="D6" s="53" t="s">
        <v>39</v>
      </c>
      <c r="E6" s="52" t="n">
        <v>60</v>
      </c>
      <c r="F6" s="52"/>
      <c r="G6" s="53" t="s">
        <v>239</v>
      </c>
    </row>
    <row r="7" customFormat="false" ht="15" hidden="false" customHeight="false" outlineLevel="0" collapsed="false">
      <c r="A7" s="53" t="s">
        <v>240</v>
      </c>
      <c r="B7" s="53" t="s">
        <v>238</v>
      </c>
      <c r="C7" s="53" t="s">
        <v>41</v>
      </c>
      <c r="D7" s="53" t="s">
        <v>45</v>
      </c>
      <c r="E7" s="52" t="n">
        <v>5</v>
      </c>
      <c r="F7" s="52"/>
      <c r="G7" s="53" t="s">
        <v>239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</cols>
  <sheetData>
    <row r="1" customFormat="false" ht="31.5" hidden="false" customHeight="true" outlineLevel="0" collapsed="false">
      <c r="A1" s="89" t="s">
        <v>241</v>
      </c>
      <c r="B1" s="89"/>
    </row>
    <row r="2" customFormat="false" ht="24" hidden="false" customHeight="true" outlineLevel="0" collapsed="false">
      <c r="A2" s="90" t="s">
        <v>242</v>
      </c>
      <c r="B2" s="91" t="s">
        <v>243</v>
      </c>
    </row>
    <row r="3" customFormat="false" ht="18" hidden="false" customHeight="true" outlineLevel="0" collapsed="false">
      <c r="A3" s="92" t="s">
        <v>244</v>
      </c>
      <c r="B3" s="93" t="s">
        <v>245</v>
      </c>
    </row>
    <row r="4" customFormat="false" ht="18" hidden="false" customHeight="true" outlineLevel="0" collapsed="false">
      <c r="A4" s="92" t="s">
        <v>244</v>
      </c>
      <c r="B4" s="94" t="s">
        <v>246</v>
      </c>
    </row>
    <row r="5" customFormat="false" ht="18" hidden="false" customHeight="true" outlineLevel="0" collapsed="false">
      <c r="A5" s="92" t="s">
        <v>244</v>
      </c>
      <c r="B5" s="93" t="s">
        <v>247</v>
      </c>
    </row>
    <row r="6" customFormat="false" ht="18" hidden="false" customHeight="true" outlineLevel="0" collapsed="false">
      <c r="A6" s="92" t="s">
        <v>244</v>
      </c>
      <c r="B6" s="94" t="s">
        <v>248</v>
      </c>
    </row>
    <row r="7" customFormat="false" ht="18" hidden="false" customHeight="true" outlineLevel="0" collapsed="false">
      <c r="A7" s="92" t="s">
        <v>244</v>
      </c>
      <c r="B7" s="93" t="s">
        <v>249</v>
      </c>
    </row>
    <row r="8" customFormat="false" ht="18" hidden="false" customHeight="true" outlineLevel="0" collapsed="false">
      <c r="A8" s="92" t="s">
        <v>244</v>
      </c>
      <c r="B8" s="94" t="s">
        <v>250</v>
      </c>
    </row>
    <row r="9" customFormat="false" ht="18" hidden="false" customHeight="true" outlineLevel="0" collapsed="false">
      <c r="A9" s="92" t="s">
        <v>244</v>
      </c>
      <c r="B9" s="93" t="s">
        <v>251</v>
      </c>
    </row>
    <row r="10" customFormat="false" ht="18" hidden="false" customHeight="true" outlineLevel="0" collapsed="false">
      <c r="A10" s="92" t="s">
        <v>244</v>
      </c>
      <c r="B10" s="94" t="s">
        <v>252</v>
      </c>
    </row>
    <row r="11" customFormat="false" ht="18" hidden="false" customHeight="true" outlineLevel="0" collapsed="false">
      <c r="A11" s="92"/>
      <c r="B11" s="93"/>
    </row>
    <row r="12" customFormat="false" ht="24" hidden="false" customHeight="true" outlineLevel="0" collapsed="false">
      <c r="A12" s="90" t="s">
        <v>242</v>
      </c>
      <c r="B12" s="91" t="s">
        <v>253</v>
      </c>
    </row>
    <row r="13" customFormat="false" ht="18" hidden="false" customHeight="true" outlineLevel="0" collapsed="false">
      <c r="A13" s="92" t="s">
        <v>244</v>
      </c>
      <c r="B13" s="93" t="s">
        <v>254</v>
      </c>
    </row>
    <row r="14" customFormat="false" ht="18" hidden="false" customHeight="true" outlineLevel="0" collapsed="false">
      <c r="A14" s="92" t="s">
        <v>244</v>
      </c>
      <c r="B14" s="94" t="s">
        <v>255</v>
      </c>
    </row>
    <row r="15" customFormat="false" ht="18" hidden="false" customHeight="true" outlineLevel="0" collapsed="false">
      <c r="A15" s="92" t="s">
        <v>244</v>
      </c>
      <c r="B15" s="93" t="s">
        <v>256</v>
      </c>
    </row>
    <row r="16" customFormat="false" ht="18" hidden="false" customHeight="true" outlineLevel="0" collapsed="false">
      <c r="A16" s="92"/>
      <c r="B16" s="94"/>
    </row>
    <row r="17" customFormat="false" ht="24" hidden="false" customHeight="true" outlineLevel="0" collapsed="false">
      <c r="A17" s="90" t="s">
        <v>242</v>
      </c>
      <c r="B17" s="91" t="s">
        <v>257</v>
      </c>
    </row>
    <row r="18" customFormat="false" ht="18" hidden="false" customHeight="true" outlineLevel="0" collapsed="false">
      <c r="A18" s="92" t="s">
        <v>258</v>
      </c>
      <c r="B18" s="94" t="s">
        <v>259</v>
      </c>
    </row>
    <row r="19" customFormat="false" ht="18" hidden="false" customHeight="true" outlineLevel="0" collapsed="false">
      <c r="A19" s="92" t="s">
        <v>258</v>
      </c>
      <c r="B19" s="93" t="s">
        <v>260</v>
      </c>
    </row>
    <row r="20" customFormat="false" ht="18" hidden="false" customHeight="true" outlineLevel="0" collapsed="false">
      <c r="A20" s="92" t="s">
        <v>258</v>
      </c>
      <c r="B20" s="94" t="s">
        <v>261</v>
      </c>
    </row>
    <row r="21" customFormat="false" ht="18" hidden="false" customHeight="true" outlineLevel="0" collapsed="false">
      <c r="A21" s="92"/>
      <c r="B21" s="93"/>
    </row>
    <row r="22" customFormat="false" ht="24" hidden="false" customHeight="true" outlineLevel="0" collapsed="false">
      <c r="A22" s="90" t="s">
        <v>242</v>
      </c>
      <c r="B22" s="91" t="s">
        <v>262</v>
      </c>
    </row>
    <row r="23" customFormat="false" ht="18" hidden="false" customHeight="true" outlineLevel="0" collapsed="false">
      <c r="A23" s="92" t="s">
        <v>263</v>
      </c>
      <c r="B23" s="93" t="s">
        <v>264</v>
      </c>
    </row>
    <row r="24" customFormat="false" ht="18" hidden="false" customHeight="true" outlineLevel="0" collapsed="false">
      <c r="A24" s="92" t="s">
        <v>265</v>
      </c>
      <c r="B24" s="94" t="s">
        <v>266</v>
      </c>
    </row>
    <row r="25" customFormat="false" ht="18" hidden="false" customHeight="true" outlineLevel="0" collapsed="false">
      <c r="A25" s="92" t="s">
        <v>267</v>
      </c>
      <c r="B25" s="93" t="s">
        <v>268</v>
      </c>
    </row>
    <row r="26" customFormat="false" ht="18" hidden="false" customHeight="true" outlineLevel="0" collapsed="false">
      <c r="A26" s="92" t="s">
        <v>269</v>
      </c>
      <c r="B26" s="94" t="s">
        <v>270</v>
      </c>
    </row>
    <row r="27" customFormat="false" ht="18" hidden="false" customHeight="true" outlineLevel="0" collapsed="false">
      <c r="A27" s="92"/>
      <c r="B27" s="93"/>
    </row>
    <row r="28" customFormat="false" ht="24" hidden="false" customHeight="true" outlineLevel="0" collapsed="false">
      <c r="A28" s="90" t="s">
        <v>242</v>
      </c>
      <c r="B28" s="91" t="s">
        <v>271</v>
      </c>
    </row>
    <row r="29" customFormat="false" ht="18" hidden="false" customHeight="true" outlineLevel="0" collapsed="false">
      <c r="A29" s="92" t="s">
        <v>272</v>
      </c>
      <c r="B29" s="93" t="s">
        <v>273</v>
      </c>
    </row>
    <row r="30" customFormat="false" ht="18" hidden="false" customHeight="true" outlineLevel="0" collapsed="false">
      <c r="A30" s="92" t="s">
        <v>274</v>
      </c>
      <c r="B30" s="94" t="s">
        <v>275</v>
      </c>
    </row>
    <row r="31" customFormat="false" ht="18" hidden="false" customHeight="true" outlineLevel="0" collapsed="false">
      <c r="A31" s="92"/>
      <c r="B31" s="93"/>
    </row>
    <row r="32" customFormat="false" ht="24" hidden="false" customHeight="true" outlineLevel="0" collapsed="false">
      <c r="A32" s="90" t="s">
        <v>242</v>
      </c>
      <c r="B32" s="91" t="s">
        <v>276</v>
      </c>
    </row>
    <row r="33" customFormat="false" ht="18" hidden="false" customHeight="true" outlineLevel="0" collapsed="false">
      <c r="A33" s="92" t="s">
        <v>277</v>
      </c>
      <c r="B33" s="93" t="s">
        <v>278</v>
      </c>
    </row>
    <row r="34" customFormat="false" ht="18" hidden="false" customHeight="true" outlineLevel="0" collapsed="false">
      <c r="A34" s="92" t="s">
        <v>279</v>
      </c>
      <c r="B34" s="94" t="s">
        <v>280</v>
      </c>
    </row>
    <row r="35" customFormat="false" ht="18" hidden="false" customHeight="true" outlineLevel="0" collapsed="false">
      <c r="A35" s="92" t="s">
        <v>281</v>
      </c>
      <c r="B35" s="93" t="s">
        <v>282</v>
      </c>
    </row>
    <row r="36" customFormat="false" ht="18" hidden="false" customHeight="true" outlineLevel="0" collapsed="false">
      <c r="A36" s="92" t="s">
        <v>283</v>
      </c>
      <c r="B36" s="94" t="s">
        <v>284</v>
      </c>
    </row>
    <row r="37" customFormat="false" ht="18" hidden="false" customHeight="true" outlineLevel="0" collapsed="false">
      <c r="A37" s="92" t="s">
        <v>285</v>
      </c>
      <c r="B37" s="93" t="s">
        <v>286</v>
      </c>
    </row>
    <row r="38" customFormat="false" ht="18" hidden="false" customHeight="true" outlineLevel="0" collapsed="false">
      <c r="A38" s="92" t="s">
        <v>287</v>
      </c>
      <c r="B38" s="94" t="s">
        <v>288</v>
      </c>
    </row>
    <row r="39" customFormat="false" ht="18" hidden="false" customHeight="true" outlineLevel="0" collapsed="false">
      <c r="A39" s="92"/>
      <c r="B39" s="93"/>
    </row>
    <row r="40" customFormat="false" ht="24" hidden="false" customHeight="true" outlineLevel="0" collapsed="false">
      <c r="A40" s="90" t="s">
        <v>242</v>
      </c>
      <c r="B40" s="91" t="s">
        <v>289</v>
      </c>
    </row>
    <row r="41" customFormat="false" ht="18" hidden="false" customHeight="true" outlineLevel="0" collapsed="false">
      <c r="A41" s="92" t="s">
        <v>290</v>
      </c>
      <c r="B41" s="93" t="s">
        <v>291</v>
      </c>
    </row>
    <row r="42" customFormat="false" ht="18" hidden="false" customHeight="true" outlineLevel="0" collapsed="false">
      <c r="A42" s="92" t="s">
        <v>290</v>
      </c>
      <c r="B42" s="94" t="s">
        <v>292</v>
      </c>
    </row>
    <row r="43" customFormat="false" ht="18" hidden="false" customHeight="true" outlineLevel="0" collapsed="false">
      <c r="A43" s="92" t="s">
        <v>290</v>
      </c>
      <c r="B43" s="93" t="s">
        <v>293</v>
      </c>
    </row>
    <row r="44" customFormat="false" ht="18" hidden="false" customHeight="true" outlineLevel="0" collapsed="false">
      <c r="A44" s="92" t="s">
        <v>290</v>
      </c>
      <c r="B44" s="94" t="s">
        <v>294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2026-04-01T08:33:29Z</dcterms:created>
  <dc:creator>openpyxl</dc:creator>
  <dc:description/>
  <dc:language>en-US</dc:language>
  <cp:lastModifiedBy/>
  <dcterms:modified xsi:type="dcterms:W3CDTF">2026-04-01T08:33:29Z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